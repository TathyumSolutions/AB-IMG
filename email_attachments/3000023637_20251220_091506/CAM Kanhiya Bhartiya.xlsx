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F447431\OneDrive - Aditya Birla Capital\Desktop\Cases\Mar-24\Kanhaiya Bhartiya\"/>
    </mc:Choice>
  </mc:AlternateContent>
  <bookViews>
    <workbookView xWindow="0" yWindow="0" windowWidth="20490" windowHeight="6900" tabRatio="877" activeTab="14"/>
  </bookViews>
  <sheets>
    <sheet name="BasicInput" sheetId="4" r:id="rId1"/>
    <sheet name="SalariedEligibility" sheetId="52" state="hidden" r:id="rId2"/>
    <sheet name="ApplicantSalary" sheetId="53" state="hidden" r:id="rId3"/>
    <sheet name="Co-app1Salary" sheetId="54" state="hidden" r:id="rId4"/>
    <sheet name="Co-app2Salary" sheetId="55" state="hidden" r:id="rId5"/>
    <sheet name="Co-app3Salary" sheetId="56" state="hidden" r:id="rId6"/>
    <sheet name="A3SP&amp;L" sheetId="44" state="hidden" r:id="rId7"/>
    <sheet name="A3SBalSheet" sheetId="43" state="hidden" r:id="rId8"/>
    <sheet name="44AD,44ADA,44AEIncome" sheetId="60" state="hidden" r:id="rId9"/>
    <sheet name="26ASMapping" sheetId="57" state="hidden" r:id="rId10"/>
    <sheet name="GSTSummary" sheetId="58" state="hidden" r:id="rId11"/>
    <sheet name="Banking - Non PDF" sheetId="17" r:id="rId12"/>
    <sheet name="ExistingLoans&amp;Facilities&amp;RTR" sheetId="3" r:id="rId13"/>
    <sheet name="SelfEmployedEligibility" sheetId="59" state="hidden" r:id="rId14"/>
    <sheet name="AffordableCMAssessedIncome" sheetId="50" r:id="rId15"/>
    <sheet name="CAAssessment" sheetId="48" state="hidden" r:id="rId16"/>
    <sheet name="AverageBankingProgram" sheetId="51" state="hidden" r:id="rId17"/>
    <sheet name="AffordConsolidated" sheetId="66" state="hidden" r:id="rId18"/>
    <sheet name="Afford1" sheetId="61" state="hidden" r:id="rId19"/>
    <sheet name="Afford2" sheetId="62" state="hidden" r:id="rId20"/>
    <sheet name="Afford3" sheetId="63" state="hidden" r:id="rId21"/>
    <sheet name="Afford4" sheetId="64" state="hidden" r:id="rId22"/>
    <sheet name="Afford5" sheetId="65" state="hidden" r:id="rId23"/>
    <sheet name="PrimeCashProfitMethod" sheetId="18" state="hidden" r:id="rId24"/>
    <sheet name="PrimeConsolidated" sheetId="5" state="hidden" r:id="rId25"/>
    <sheet name="PrimeRatios&amp;Indicators" sheetId="16" state="hidden" r:id="rId26"/>
    <sheet name="PrimeCashFlow" sheetId="15" state="hidden" r:id="rId27"/>
    <sheet name="Prime1" sheetId="1" state="hidden" r:id="rId28"/>
    <sheet name="Prime2" sheetId="6" state="hidden" r:id="rId29"/>
    <sheet name="Prime3" sheetId="7" state="hidden" r:id="rId30"/>
    <sheet name="Prime4" sheetId="8" state="hidden" r:id="rId31"/>
    <sheet name="Prime5" sheetId="9" state="hidden" r:id="rId32"/>
    <sheet name="Prime6" sheetId="10" state="hidden" r:id="rId33"/>
    <sheet name="Prime7" sheetId="46" state="hidden" r:id="rId34"/>
    <sheet name="Prime8" sheetId="12" state="hidden" r:id="rId35"/>
    <sheet name="Prime9" sheetId="13" state="hidden" r:id="rId36"/>
    <sheet name="Prime10" sheetId="14" state="hidden" r:id="rId37"/>
    <sheet name="CSV1" sheetId="33" state="hidden" r:id="rId38"/>
    <sheet name="CSV2" sheetId="34" state="hidden" r:id="rId39"/>
    <sheet name="CSV3" sheetId="35" state="hidden" r:id="rId40"/>
    <sheet name="CSV4" sheetId="36" state="hidden" r:id="rId41"/>
    <sheet name="CSV5" sheetId="37" state="hidden" r:id="rId42"/>
    <sheet name="CSV6" sheetId="38" state="hidden" r:id="rId43"/>
    <sheet name="CSV7" sheetId="39" state="hidden" r:id="rId44"/>
    <sheet name="CSV8" sheetId="40" state="hidden" r:id="rId45"/>
    <sheet name="CSV9" sheetId="41" state="hidden" r:id="rId46"/>
    <sheet name="CSV10" sheetId="42" state="hidden" r:id="rId47"/>
    <sheet name="PrimeGrossTurnover" sheetId="19" state="hidden" r:id="rId48"/>
    <sheet name="PrimeGrossReceipts" sheetId="30" state="hidden" r:id="rId49"/>
    <sheet name="PrimeGrossProfit" sheetId="31" state="hidden" r:id="rId50"/>
    <sheet name="Validation" sheetId="2" state="hidden" r:id="rId51"/>
  </sheets>
  <externalReferences>
    <externalReference r:id="rId52"/>
  </externalReferences>
  <definedNames>
    <definedName name="_xlnm._FilterDatabase" localSheetId="12" hidden="1">'ExistingLoans&amp;Facilities&amp;RTR'!$A$2:$Q$105</definedName>
    <definedName name="_xlnm._FilterDatabase" localSheetId="50" hidden="1">Validation!$L$1:$AA$586</definedName>
    <definedName name="AccessDatabase" hidden="1">"C:\Documents and Settings\Administrator\Desktop\files\JUNE 08\2160060266.mdb"</definedName>
    <definedName name="Button_1">"X2160060266_Sheet3_List"</definedName>
    <definedName name="KRT">#REF!</definedName>
    <definedName name="Manufacturing">Validation!$C$2:$C$115</definedName>
    <definedName name="Obligation">#REF!</definedName>
    <definedName name="Product">#REF!</definedName>
    <definedName name="Services">Validation!$I$2:$I$50</definedName>
    <definedName name="tata">#REF!</definedName>
    <definedName name="Teja">'[1]Oblig Details &amp; RTR'!$OQ$1:$OQ$6</definedName>
    <definedName name="Trading">Validation!$F$2:$F$118</definedName>
    <definedName name="Type">#REF!</definedName>
    <definedName name="X2160060266_Sheet3_List">#REF!</definedName>
  </definedNames>
  <calcPr calcId="162913" iterateDelta="1E-4"/>
</workbook>
</file>

<file path=xl/calcChain.xml><?xml version="1.0" encoding="utf-8"?>
<calcChain xmlns="http://schemas.openxmlformats.org/spreadsheetml/2006/main">
  <c r="O541" i="2" l="1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L44" i="31"/>
  <c r="K44" i="31"/>
  <c r="J44" i="31"/>
  <c r="I44" i="31"/>
  <c r="H44" i="31"/>
  <c r="G44" i="31"/>
  <c r="F44" i="31"/>
  <c r="E44" i="31"/>
  <c r="D44" i="31"/>
  <c r="C44" i="31"/>
  <c r="B44" i="31"/>
  <c r="L43" i="31"/>
  <c r="K43" i="31"/>
  <c r="J43" i="31"/>
  <c r="I43" i="31"/>
  <c r="H43" i="31"/>
  <c r="G43" i="31"/>
  <c r="F43" i="31"/>
  <c r="E43" i="31"/>
  <c r="D43" i="31"/>
  <c r="C43" i="31"/>
  <c r="B43" i="31"/>
  <c r="L42" i="31"/>
  <c r="K42" i="31"/>
  <c r="J42" i="31"/>
  <c r="I42" i="31"/>
  <c r="H42" i="31"/>
  <c r="G42" i="31"/>
  <c r="F42" i="31"/>
  <c r="E42" i="31"/>
  <c r="D42" i="31"/>
  <c r="C42" i="31"/>
  <c r="B42" i="31"/>
  <c r="L41" i="31"/>
  <c r="K41" i="31"/>
  <c r="J41" i="31"/>
  <c r="I41" i="31"/>
  <c r="H41" i="31"/>
  <c r="G41" i="31"/>
  <c r="F41" i="31"/>
  <c r="E41" i="31"/>
  <c r="D41" i="31"/>
  <c r="C41" i="31"/>
  <c r="B41" i="31"/>
  <c r="L40" i="31"/>
  <c r="K40" i="31"/>
  <c r="J40" i="31"/>
  <c r="I40" i="31"/>
  <c r="H40" i="31"/>
  <c r="G40" i="31"/>
  <c r="F40" i="31"/>
  <c r="E40" i="31"/>
  <c r="D40" i="31"/>
  <c r="C40" i="31"/>
  <c r="B40" i="31"/>
  <c r="L27" i="31"/>
  <c r="L26" i="31"/>
  <c r="L20" i="31"/>
  <c r="L18" i="31"/>
  <c r="L17" i="31"/>
  <c r="L16" i="31"/>
  <c r="L15" i="31"/>
  <c r="L13" i="31"/>
  <c r="F13" i="31"/>
  <c r="E13" i="31"/>
  <c r="D13" i="31"/>
  <c r="C13" i="31"/>
  <c r="B13" i="31"/>
  <c r="F12" i="31"/>
  <c r="E12" i="31"/>
  <c r="L12" i="31" s="1"/>
  <c r="D12" i="31"/>
  <c r="C12" i="31"/>
  <c r="B12" i="31"/>
  <c r="F11" i="31"/>
  <c r="E11" i="31"/>
  <c r="D11" i="31"/>
  <c r="C11" i="31"/>
  <c r="L11" i="31" s="1"/>
  <c r="B11" i="31"/>
  <c r="L10" i="31"/>
  <c r="F10" i="31"/>
  <c r="E10" i="31"/>
  <c r="D10" i="31"/>
  <c r="C10" i="31"/>
  <c r="B10" i="31"/>
  <c r="F9" i="31"/>
  <c r="E9" i="31"/>
  <c r="D9" i="31"/>
  <c r="C9" i="31"/>
  <c r="L9" i="31" s="1"/>
  <c r="B9" i="31"/>
  <c r="F8" i="31"/>
  <c r="E8" i="31"/>
  <c r="D8" i="31"/>
  <c r="C8" i="31"/>
  <c r="L8" i="31" s="1"/>
  <c r="B8" i="31"/>
  <c r="L7" i="31"/>
  <c r="F7" i="31"/>
  <c r="E7" i="31"/>
  <c r="D7" i="31"/>
  <c r="C7" i="31"/>
  <c r="B7" i="31"/>
  <c r="L6" i="31"/>
  <c r="F6" i="31"/>
  <c r="E6" i="31"/>
  <c r="D6" i="31"/>
  <c r="C6" i="31"/>
  <c r="B6" i="31"/>
  <c r="L5" i="31"/>
  <c r="F5" i="31"/>
  <c r="E5" i="31"/>
  <c r="D5" i="31"/>
  <c r="C5" i="31"/>
  <c r="B5" i="31"/>
  <c r="F4" i="31"/>
  <c r="E4" i="31"/>
  <c r="D4" i="31"/>
  <c r="C4" i="31"/>
  <c r="B4" i="31"/>
  <c r="L44" i="30"/>
  <c r="K44" i="30"/>
  <c r="J44" i="30"/>
  <c r="I44" i="30"/>
  <c r="H44" i="30"/>
  <c r="G44" i="30"/>
  <c r="F44" i="30"/>
  <c r="E44" i="30"/>
  <c r="D44" i="30"/>
  <c r="C44" i="30"/>
  <c r="B44" i="30"/>
  <c r="L43" i="30"/>
  <c r="K43" i="30"/>
  <c r="J43" i="30"/>
  <c r="I43" i="30"/>
  <c r="H43" i="30"/>
  <c r="G43" i="30"/>
  <c r="F43" i="30"/>
  <c r="E43" i="30"/>
  <c r="D43" i="30"/>
  <c r="C43" i="30"/>
  <c r="B43" i="30"/>
  <c r="L42" i="30"/>
  <c r="K42" i="30"/>
  <c r="J42" i="30"/>
  <c r="I42" i="30"/>
  <c r="H42" i="30"/>
  <c r="G42" i="30"/>
  <c r="F42" i="30"/>
  <c r="E42" i="30"/>
  <c r="D42" i="30"/>
  <c r="C42" i="30"/>
  <c r="B42" i="30"/>
  <c r="L41" i="30"/>
  <c r="K41" i="30"/>
  <c r="J41" i="30"/>
  <c r="I41" i="30"/>
  <c r="H41" i="30"/>
  <c r="G41" i="30"/>
  <c r="F41" i="30"/>
  <c r="E41" i="30"/>
  <c r="D41" i="30"/>
  <c r="C41" i="30"/>
  <c r="B41" i="30"/>
  <c r="L40" i="30"/>
  <c r="K40" i="30"/>
  <c r="J40" i="30"/>
  <c r="I40" i="30"/>
  <c r="H40" i="30"/>
  <c r="G40" i="30"/>
  <c r="F40" i="30"/>
  <c r="E40" i="30"/>
  <c r="D40" i="30"/>
  <c r="C40" i="30"/>
  <c r="B40" i="30"/>
  <c r="I27" i="30"/>
  <c r="I26" i="30"/>
  <c r="I20" i="30"/>
  <c r="I18" i="30"/>
  <c r="I17" i="30"/>
  <c r="I16" i="30"/>
  <c r="I15" i="30"/>
  <c r="J13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4" i="30"/>
  <c r="E4" i="30"/>
  <c r="D4" i="30"/>
  <c r="C4" i="30"/>
  <c r="B4" i="30"/>
  <c r="L46" i="19"/>
  <c r="K46" i="19"/>
  <c r="J46" i="19"/>
  <c r="I46" i="19"/>
  <c r="H46" i="19"/>
  <c r="G46" i="19"/>
  <c r="F46" i="19"/>
  <c r="E46" i="19"/>
  <c r="D46" i="19"/>
  <c r="C46" i="19"/>
  <c r="B46" i="19"/>
  <c r="L45" i="19"/>
  <c r="K45" i="19"/>
  <c r="J45" i="19"/>
  <c r="I45" i="19"/>
  <c r="H45" i="19"/>
  <c r="H47" i="19" s="1"/>
  <c r="G45" i="19"/>
  <c r="F45" i="19"/>
  <c r="E45" i="19"/>
  <c r="D45" i="19"/>
  <c r="C45" i="19"/>
  <c r="B45" i="19"/>
  <c r="L44" i="19"/>
  <c r="K44" i="19"/>
  <c r="J44" i="19"/>
  <c r="I44" i="19"/>
  <c r="H44" i="19"/>
  <c r="G44" i="19"/>
  <c r="F44" i="19"/>
  <c r="E44" i="19"/>
  <c r="D44" i="19"/>
  <c r="C44" i="19"/>
  <c r="B44" i="19"/>
  <c r="L43" i="19"/>
  <c r="K43" i="19"/>
  <c r="J43" i="19"/>
  <c r="I43" i="19"/>
  <c r="H43" i="19"/>
  <c r="G43" i="19"/>
  <c r="F43" i="19"/>
  <c r="E43" i="19"/>
  <c r="D43" i="19"/>
  <c r="C43" i="19"/>
  <c r="B43" i="19"/>
  <c r="L42" i="19"/>
  <c r="K42" i="19"/>
  <c r="J42" i="19"/>
  <c r="I42" i="19"/>
  <c r="H42" i="19"/>
  <c r="G42" i="19"/>
  <c r="F42" i="19"/>
  <c r="E42" i="19"/>
  <c r="D42" i="19"/>
  <c r="C42" i="19"/>
  <c r="B42" i="19"/>
  <c r="J29" i="19"/>
  <c r="J28" i="19"/>
  <c r="J22" i="19"/>
  <c r="J20" i="19"/>
  <c r="J19" i="19"/>
  <c r="J18" i="19"/>
  <c r="J17" i="19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E117" i="14"/>
  <c r="B115" i="14"/>
  <c r="B110" i="14"/>
  <c r="B109" i="14"/>
  <c r="B108" i="14"/>
  <c r="E107" i="14"/>
  <c r="B107" i="14"/>
  <c r="E106" i="14"/>
  <c r="E100" i="14"/>
  <c r="G97" i="14"/>
  <c r="E97" i="14"/>
  <c r="D97" i="14"/>
  <c r="C97" i="14"/>
  <c r="F97" i="14" s="1"/>
  <c r="E95" i="14"/>
  <c r="D95" i="14"/>
  <c r="C95" i="14"/>
  <c r="F95" i="14" s="1"/>
  <c r="G94" i="14"/>
  <c r="F94" i="14"/>
  <c r="E93" i="14"/>
  <c r="D93" i="14"/>
  <c r="G93" i="14" s="1"/>
  <c r="C93" i="14"/>
  <c r="G92" i="14"/>
  <c r="F92" i="14"/>
  <c r="E90" i="14"/>
  <c r="D90" i="14"/>
  <c r="C90" i="14"/>
  <c r="G89" i="14"/>
  <c r="E89" i="14"/>
  <c r="E86" i="14" s="1"/>
  <c r="D89" i="14"/>
  <c r="F89" i="14" s="1"/>
  <c r="C89" i="14"/>
  <c r="E88" i="14"/>
  <c r="D88" i="14"/>
  <c r="G88" i="14" s="1"/>
  <c r="C88" i="14"/>
  <c r="F87" i="14"/>
  <c r="E87" i="14"/>
  <c r="D87" i="14"/>
  <c r="C87" i="14"/>
  <c r="B86" i="14"/>
  <c r="B117" i="14" s="1"/>
  <c r="E85" i="14"/>
  <c r="D85" i="14"/>
  <c r="G85" i="14" s="1"/>
  <c r="C85" i="14"/>
  <c r="F85" i="14" s="1"/>
  <c r="G84" i="14"/>
  <c r="F84" i="14"/>
  <c r="E84" i="14"/>
  <c r="D84" i="14"/>
  <c r="C84" i="14"/>
  <c r="E83" i="14"/>
  <c r="D83" i="14"/>
  <c r="G83" i="14" s="1"/>
  <c r="C83" i="14"/>
  <c r="G82" i="14"/>
  <c r="E82" i="14"/>
  <c r="D82" i="14"/>
  <c r="C82" i="14"/>
  <c r="F82" i="14" s="1"/>
  <c r="E81" i="14"/>
  <c r="D81" i="14"/>
  <c r="C81" i="14"/>
  <c r="E80" i="14"/>
  <c r="B80" i="14"/>
  <c r="G79" i="14"/>
  <c r="E79" i="14"/>
  <c r="D79" i="14"/>
  <c r="C79" i="14"/>
  <c r="F79" i="14" s="1"/>
  <c r="G78" i="14"/>
  <c r="F78" i="14"/>
  <c r="E78" i="14"/>
  <c r="D78" i="14"/>
  <c r="C78" i="14"/>
  <c r="E77" i="14"/>
  <c r="G77" i="14" s="1"/>
  <c r="D77" i="14"/>
  <c r="C77" i="14"/>
  <c r="E76" i="14"/>
  <c r="D76" i="14"/>
  <c r="C76" i="14"/>
  <c r="B75" i="14"/>
  <c r="B74" i="14"/>
  <c r="B116" i="14" s="1"/>
  <c r="G73" i="14"/>
  <c r="E73" i="14"/>
  <c r="D73" i="14"/>
  <c r="C73" i="14"/>
  <c r="F73" i="14" s="1"/>
  <c r="F72" i="14"/>
  <c r="E72" i="14"/>
  <c r="D72" i="14"/>
  <c r="C72" i="14"/>
  <c r="E71" i="14"/>
  <c r="D71" i="14"/>
  <c r="G71" i="14" s="1"/>
  <c r="C71" i="14"/>
  <c r="F71" i="14" s="1"/>
  <c r="G70" i="14"/>
  <c r="F70" i="14"/>
  <c r="G68" i="14"/>
  <c r="F68" i="14"/>
  <c r="E68" i="14"/>
  <c r="D68" i="14"/>
  <c r="C68" i="14"/>
  <c r="E67" i="14"/>
  <c r="E115" i="14" s="1"/>
  <c r="D67" i="14"/>
  <c r="C67" i="14"/>
  <c r="B66" i="14"/>
  <c r="B69" i="14" s="1"/>
  <c r="E65" i="14"/>
  <c r="D65" i="14"/>
  <c r="C65" i="14"/>
  <c r="F64" i="14"/>
  <c r="E64" i="14"/>
  <c r="G64" i="14" s="1"/>
  <c r="D64" i="14"/>
  <c r="C64" i="14"/>
  <c r="C63" i="14"/>
  <c r="C66" i="14" s="1"/>
  <c r="B63" i="14"/>
  <c r="G62" i="14"/>
  <c r="F62" i="14"/>
  <c r="E62" i="14"/>
  <c r="D62" i="14"/>
  <c r="C62" i="14"/>
  <c r="E61" i="14"/>
  <c r="D61" i="14"/>
  <c r="C61" i="14"/>
  <c r="E60" i="14"/>
  <c r="D60" i="14"/>
  <c r="G60" i="14" s="1"/>
  <c r="C60" i="14"/>
  <c r="F59" i="14"/>
  <c r="E59" i="14"/>
  <c r="G59" i="14" s="1"/>
  <c r="D59" i="14"/>
  <c r="C59" i="14"/>
  <c r="E58" i="14"/>
  <c r="D58" i="14"/>
  <c r="D100" i="14" s="1"/>
  <c r="C58" i="14"/>
  <c r="C100" i="14" s="1"/>
  <c r="B58" i="14"/>
  <c r="B100" i="14" s="1"/>
  <c r="E53" i="14"/>
  <c r="D53" i="14"/>
  <c r="G53" i="14" s="1"/>
  <c r="C53" i="14"/>
  <c r="F53" i="14" s="1"/>
  <c r="G52" i="14"/>
  <c r="E52" i="14"/>
  <c r="D52" i="14"/>
  <c r="C52" i="14"/>
  <c r="F52" i="14" s="1"/>
  <c r="E50" i="14"/>
  <c r="D50" i="14"/>
  <c r="G50" i="14" s="1"/>
  <c r="C50" i="14"/>
  <c r="F50" i="14" s="1"/>
  <c r="F48" i="14"/>
  <c r="E48" i="14"/>
  <c r="D48" i="14"/>
  <c r="C48" i="14"/>
  <c r="G47" i="14"/>
  <c r="F47" i="14"/>
  <c r="E46" i="14"/>
  <c r="D46" i="14"/>
  <c r="G46" i="14" s="1"/>
  <c r="C46" i="14"/>
  <c r="G45" i="14"/>
  <c r="F45" i="14"/>
  <c r="G44" i="14"/>
  <c r="E44" i="14"/>
  <c r="D44" i="14"/>
  <c r="C44" i="14"/>
  <c r="G42" i="14"/>
  <c r="F42" i="14"/>
  <c r="G41" i="14"/>
  <c r="F41" i="14"/>
  <c r="F40" i="14"/>
  <c r="E40" i="14"/>
  <c r="D40" i="14"/>
  <c r="G40" i="14" s="1"/>
  <c r="C40" i="14"/>
  <c r="G39" i="14"/>
  <c r="E39" i="14"/>
  <c r="D39" i="14"/>
  <c r="C39" i="14"/>
  <c r="E37" i="14"/>
  <c r="D37" i="14"/>
  <c r="G37" i="14" s="1"/>
  <c r="C37" i="14"/>
  <c r="F36" i="14"/>
  <c r="E36" i="14"/>
  <c r="G36" i="14" s="1"/>
  <c r="D36" i="14"/>
  <c r="C36" i="14"/>
  <c r="E35" i="14"/>
  <c r="E109" i="14" s="1"/>
  <c r="D35" i="14"/>
  <c r="C35" i="14"/>
  <c r="E34" i="14"/>
  <c r="G34" i="14" s="1"/>
  <c r="D34" i="14"/>
  <c r="C34" i="14"/>
  <c r="F34" i="14" s="1"/>
  <c r="F32" i="14"/>
  <c r="E32" i="14"/>
  <c r="D32" i="14"/>
  <c r="C32" i="14"/>
  <c r="E31" i="14"/>
  <c r="E28" i="14" s="1"/>
  <c r="D31" i="14"/>
  <c r="C31" i="14"/>
  <c r="G30" i="14"/>
  <c r="F30" i="14"/>
  <c r="E30" i="14"/>
  <c r="D30" i="14"/>
  <c r="C30" i="14"/>
  <c r="G29" i="14"/>
  <c r="E29" i="14"/>
  <c r="D29" i="14"/>
  <c r="D28" i="14" s="1"/>
  <c r="G28" i="14" s="1"/>
  <c r="C29" i="14"/>
  <c r="F29" i="14" s="1"/>
  <c r="B28" i="14"/>
  <c r="B112" i="14" s="1"/>
  <c r="D27" i="14"/>
  <c r="B27" i="14"/>
  <c r="B33" i="14" s="1"/>
  <c r="E26" i="14"/>
  <c r="D26" i="14"/>
  <c r="G26" i="14" s="1"/>
  <c r="C26" i="14"/>
  <c r="F25" i="14"/>
  <c r="E25" i="14"/>
  <c r="G25" i="14" s="1"/>
  <c r="D25" i="14"/>
  <c r="C25" i="14"/>
  <c r="F24" i="14"/>
  <c r="E24" i="14"/>
  <c r="D24" i="14"/>
  <c r="C24" i="14"/>
  <c r="G22" i="14"/>
  <c r="F22" i="14"/>
  <c r="E22" i="14"/>
  <c r="D22" i="14"/>
  <c r="C22" i="14"/>
  <c r="G21" i="14"/>
  <c r="E21" i="14"/>
  <c r="D21" i="14"/>
  <c r="H13" i="30" s="1"/>
  <c r="C21" i="14"/>
  <c r="G20" i="14"/>
  <c r="F20" i="14"/>
  <c r="G19" i="14"/>
  <c r="F19" i="14"/>
  <c r="E19" i="14"/>
  <c r="D19" i="14"/>
  <c r="C19" i="14"/>
  <c r="G18" i="14"/>
  <c r="E18" i="14"/>
  <c r="D18" i="14"/>
  <c r="C18" i="14"/>
  <c r="G17" i="14"/>
  <c r="E17" i="14"/>
  <c r="E108" i="14" s="1"/>
  <c r="D17" i="14"/>
  <c r="F17" i="14" s="1"/>
  <c r="C17" i="14"/>
  <c r="G16" i="14"/>
  <c r="F16" i="14"/>
  <c r="G15" i="14"/>
  <c r="F15" i="14"/>
  <c r="E15" i="14"/>
  <c r="D15" i="14"/>
  <c r="C15" i="14"/>
  <c r="E14" i="14"/>
  <c r="D14" i="14"/>
  <c r="C14" i="14"/>
  <c r="A12" i="14"/>
  <c r="B10" i="14"/>
  <c r="G13" i="19" s="1"/>
  <c r="C117" i="13"/>
  <c r="B115" i="13"/>
  <c r="B110" i="13"/>
  <c r="B109" i="13"/>
  <c r="B108" i="13"/>
  <c r="B107" i="13"/>
  <c r="C100" i="13"/>
  <c r="E97" i="13"/>
  <c r="D97" i="13"/>
  <c r="G97" i="13" s="1"/>
  <c r="C97" i="13"/>
  <c r="G95" i="13"/>
  <c r="E95" i="13"/>
  <c r="D95" i="13"/>
  <c r="C95" i="13"/>
  <c r="F95" i="13" s="1"/>
  <c r="G94" i="13"/>
  <c r="F94" i="13"/>
  <c r="F93" i="13"/>
  <c r="E93" i="13"/>
  <c r="G93" i="13" s="1"/>
  <c r="D93" i="13"/>
  <c r="C93" i="13"/>
  <c r="G92" i="13"/>
  <c r="F92" i="13"/>
  <c r="E90" i="13"/>
  <c r="G90" i="13" s="1"/>
  <c r="D90" i="13"/>
  <c r="C90" i="13"/>
  <c r="F90" i="13" s="1"/>
  <c r="G89" i="13"/>
  <c r="E89" i="13"/>
  <c r="D89" i="13"/>
  <c r="C89" i="13"/>
  <c r="E88" i="13"/>
  <c r="D88" i="13"/>
  <c r="C88" i="13"/>
  <c r="F87" i="13"/>
  <c r="E87" i="13"/>
  <c r="D87" i="13"/>
  <c r="C87" i="13"/>
  <c r="C86" i="13"/>
  <c r="B86" i="13"/>
  <c r="B117" i="13" s="1"/>
  <c r="G85" i="13"/>
  <c r="E85" i="13"/>
  <c r="D85" i="13"/>
  <c r="F85" i="13" s="1"/>
  <c r="C85" i="13"/>
  <c r="E84" i="13"/>
  <c r="D84" i="13"/>
  <c r="C84" i="13"/>
  <c r="G83" i="13"/>
  <c r="F83" i="13"/>
  <c r="E83" i="13"/>
  <c r="D83" i="13"/>
  <c r="C83" i="13"/>
  <c r="F82" i="13"/>
  <c r="E82" i="13"/>
  <c r="D82" i="13"/>
  <c r="G82" i="13" s="1"/>
  <c r="C82" i="13"/>
  <c r="E81" i="13"/>
  <c r="D81" i="13"/>
  <c r="C81" i="13"/>
  <c r="E80" i="13"/>
  <c r="B80" i="13"/>
  <c r="B111" i="13" s="1"/>
  <c r="G79" i="13"/>
  <c r="F79" i="13"/>
  <c r="E79" i="13"/>
  <c r="D79" i="13"/>
  <c r="C79" i="13"/>
  <c r="E78" i="13"/>
  <c r="D78" i="13"/>
  <c r="C78" i="13"/>
  <c r="F78" i="13" s="1"/>
  <c r="F77" i="13"/>
  <c r="E77" i="13"/>
  <c r="G77" i="13" s="1"/>
  <c r="D77" i="13"/>
  <c r="C77" i="13"/>
  <c r="E76" i="13"/>
  <c r="D76" i="13"/>
  <c r="C76" i="13"/>
  <c r="B75" i="13"/>
  <c r="B113" i="13" s="1"/>
  <c r="B74" i="13"/>
  <c r="G73" i="13"/>
  <c r="F73" i="13"/>
  <c r="E73" i="13"/>
  <c r="D73" i="13"/>
  <c r="C73" i="13"/>
  <c r="E72" i="13"/>
  <c r="D72" i="13"/>
  <c r="C72" i="13"/>
  <c r="G71" i="13"/>
  <c r="F71" i="13"/>
  <c r="E71" i="13"/>
  <c r="D71" i="13"/>
  <c r="C71" i="13"/>
  <c r="G70" i="13"/>
  <c r="F70" i="13"/>
  <c r="E68" i="13"/>
  <c r="D68" i="13"/>
  <c r="G68" i="13" s="1"/>
  <c r="C68" i="13"/>
  <c r="G67" i="13"/>
  <c r="E67" i="13"/>
  <c r="D67" i="13"/>
  <c r="D115" i="13" s="1"/>
  <c r="C67" i="13"/>
  <c r="C115" i="13" s="1"/>
  <c r="E66" i="13"/>
  <c r="G65" i="13"/>
  <c r="F65" i="13"/>
  <c r="E65" i="13"/>
  <c r="D65" i="13"/>
  <c r="C65" i="13"/>
  <c r="E64" i="13"/>
  <c r="D64" i="13"/>
  <c r="G64" i="13" s="1"/>
  <c r="C64" i="13"/>
  <c r="B63" i="13"/>
  <c r="B66" i="13" s="1"/>
  <c r="G62" i="13"/>
  <c r="F62" i="13"/>
  <c r="E62" i="13"/>
  <c r="E63" i="13" s="1"/>
  <c r="D62" i="13"/>
  <c r="C62" i="13"/>
  <c r="E61" i="13"/>
  <c r="D61" i="13"/>
  <c r="G61" i="13" s="1"/>
  <c r="C61" i="13"/>
  <c r="F61" i="13" s="1"/>
  <c r="G60" i="13"/>
  <c r="F60" i="13"/>
  <c r="E60" i="13"/>
  <c r="D60" i="13"/>
  <c r="C60" i="13"/>
  <c r="E59" i="13"/>
  <c r="D59" i="13"/>
  <c r="G59" i="13" s="1"/>
  <c r="C59" i="13"/>
  <c r="E58" i="13"/>
  <c r="E100" i="13" s="1"/>
  <c r="D58" i="13"/>
  <c r="D100" i="13" s="1"/>
  <c r="C58" i="13"/>
  <c r="B58" i="13"/>
  <c r="B100" i="13" s="1"/>
  <c r="G53" i="13"/>
  <c r="E53" i="13"/>
  <c r="D53" i="13"/>
  <c r="F53" i="13" s="1"/>
  <c r="C53" i="13"/>
  <c r="F52" i="13"/>
  <c r="E52" i="13"/>
  <c r="D52" i="13"/>
  <c r="C52" i="13"/>
  <c r="G50" i="13"/>
  <c r="F50" i="13"/>
  <c r="E50" i="13"/>
  <c r="D50" i="13"/>
  <c r="C50" i="13"/>
  <c r="G48" i="13"/>
  <c r="E48" i="13"/>
  <c r="D48" i="13"/>
  <c r="C48" i="13"/>
  <c r="F48" i="13" s="1"/>
  <c r="G47" i="13"/>
  <c r="F47" i="13"/>
  <c r="G46" i="13"/>
  <c r="F46" i="13"/>
  <c r="E46" i="13"/>
  <c r="D46" i="13"/>
  <c r="C46" i="13"/>
  <c r="G45" i="13"/>
  <c r="F45" i="13"/>
  <c r="G44" i="13"/>
  <c r="F44" i="13"/>
  <c r="E44" i="13"/>
  <c r="D44" i="13"/>
  <c r="C44" i="13"/>
  <c r="I12" i="31" s="1"/>
  <c r="G42" i="13"/>
  <c r="F42" i="13"/>
  <c r="G41" i="13"/>
  <c r="F41" i="13"/>
  <c r="F40" i="13"/>
  <c r="E40" i="13"/>
  <c r="D40" i="13"/>
  <c r="C40" i="13"/>
  <c r="G39" i="13"/>
  <c r="E39" i="13"/>
  <c r="E106" i="13" s="1"/>
  <c r="D39" i="13"/>
  <c r="C39" i="13"/>
  <c r="E37" i="13"/>
  <c r="D37" i="13"/>
  <c r="C37" i="13"/>
  <c r="F37" i="13" s="1"/>
  <c r="G36" i="13"/>
  <c r="F36" i="13"/>
  <c r="E36" i="13"/>
  <c r="D36" i="13"/>
  <c r="C36" i="13"/>
  <c r="G35" i="13"/>
  <c r="F35" i="13"/>
  <c r="E35" i="13"/>
  <c r="D35" i="13"/>
  <c r="C35" i="13"/>
  <c r="C109" i="13" s="1"/>
  <c r="E34" i="13"/>
  <c r="D34" i="13"/>
  <c r="G34" i="13" s="1"/>
  <c r="C34" i="13"/>
  <c r="G32" i="13"/>
  <c r="F32" i="13"/>
  <c r="E32" i="13"/>
  <c r="D32" i="13"/>
  <c r="C32" i="13"/>
  <c r="C110" i="13" s="1"/>
  <c r="E31" i="13"/>
  <c r="D31" i="13"/>
  <c r="C31" i="13"/>
  <c r="G30" i="13"/>
  <c r="F30" i="13"/>
  <c r="E30" i="13"/>
  <c r="D30" i="13"/>
  <c r="C30" i="13"/>
  <c r="F29" i="13"/>
  <c r="E29" i="13"/>
  <c r="E28" i="13" s="1"/>
  <c r="D29" i="13"/>
  <c r="C29" i="13"/>
  <c r="C28" i="13"/>
  <c r="B28" i="13"/>
  <c r="B112" i="13" s="1"/>
  <c r="B27" i="13"/>
  <c r="B33" i="13" s="1"/>
  <c r="G26" i="13"/>
  <c r="F26" i="13"/>
  <c r="E26" i="13"/>
  <c r="D26" i="13"/>
  <c r="C26" i="13"/>
  <c r="E25" i="13"/>
  <c r="D25" i="13"/>
  <c r="G25" i="13" s="1"/>
  <c r="C25" i="13"/>
  <c r="F25" i="13" s="1"/>
  <c r="G24" i="13"/>
  <c r="F24" i="13"/>
  <c r="E24" i="13"/>
  <c r="D24" i="13"/>
  <c r="C24" i="13"/>
  <c r="E22" i="13"/>
  <c r="D22" i="13"/>
  <c r="C22" i="13"/>
  <c r="G21" i="13"/>
  <c r="E21" i="13"/>
  <c r="D21" i="13"/>
  <c r="H12" i="30" s="1"/>
  <c r="C21" i="13"/>
  <c r="G20" i="13"/>
  <c r="F20" i="13"/>
  <c r="G19" i="13"/>
  <c r="F19" i="13"/>
  <c r="E19" i="13"/>
  <c r="D19" i="13"/>
  <c r="C19" i="13"/>
  <c r="F18" i="13"/>
  <c r="E18" i="13"/>
  <c r="D18" i="13"/>
  <c r="C18" i="13"/>
  <c r="E17" i="13"/>
  <c r="D17" i="13"/>
  <c r="G17" i="13" s="1"/>
  <c r="C17" i="13"/>
  <c r="F17" i="13" s="1"/>
  <c r="G16" i="13"/>
  <c r="F16" i="13"/>
  <c r="G15" i="13"/>
  <c r="E15" i="13"/>
  <c r="D15" i="13"/>
  <c r="C15" i="13"/>
  <c r="E14" i="13"/>
  <c r="D14" i="13"/>
  <c r="C14" i="13"/>
  <c r="A12" i="13"/>
  <c r="B10" i="13"/>
  <c r="G12" i="19" s="1"/>
  <c r="E117" i="12"/>
  <c r="B116" i="12"/>
  <c r="B115" i="12"/>
  <c r="B110" i="12"/>
  <c r="B109" i="12"/>
  <c r="B108" i="12"/>
  <c r="B107" i="12"/>
  <c r="B106" i="12"/>
  <c r="G97" i="12"/>
  <c r="E97" i="12"/>
  <c r="D97" i="12"/>
  <c r="C97" i="12"/>
  <c r="F97" i="12" s="1"/>
  <c r="F95" i="12"/>
  <c r="E95" i="12"/>
  <c r="D95" i="12"/>
  <c r="C95" i="12"/>
  <c r="G94" i="12"/>
  <c r="F94" i="12"/>
  <c r="E93" i="12"/>
  <c r="D93" i="12"/>
  <c r="G93" i="12" s="1"/>
  <c r="C93" i="12"/>
  <c r="F93" i="12" s="1"/>
  <c r="G92" i="12"/>
  <c r="F92" i="12"/>
  <c r="F90" i="12"/>
  <c r="E90" i="12"/>
  <c r="D90" i="12"/>
  <c r="G90" i="12" s="1"/>
  <c r="C90" i="12"/>
  <c r="F89" i="12"/>
  <c r="E89" i="12"/>
  <c r="G89" i="12" s="1"/>
  <c r="D89" i="12"/>
  <c r="C89" i="12"/>
  <c r="E88" i="12"/>
  <c r="D88" i="12"/>
  <c r="G88" i="12" s="1"/>
  <c r="C88" i="12"/>
  <c r="G87" i="12"/>
  <c r="E87" i="12"/>
  <c r="D87" i="12"/>
  <c r="C87" i="12"/>
  <c r="F87" i="12" s="1"/>
  <c r="E86" i="12"/>
  <c r="B86" i="12"/>
  <c r="B117" i="12" s="1"/>
  <c r="B119" i="12" s="1"/>
  <c r="E85" i="12"/>
  <c r="D85" i="12"/>
  <c r="G85" i="12" s="1"/>
  <c r="C85" i="12"/>
  <c r="F85" i="12" s="1"/>
  <c r="E84" i="12"/>
  <c r="G84" i="12" s="1"/>
  <c r="D84" i="12"/>
  <c r="C84" i="12"/>
  <c r="F84" i="12" s="1"/>
  <c r="F83" i="12"/>
  <c r="E83" i="12"/>
  <c r="D83" i="12"/>
  <c r="C83" i="12"/>
  <c r="G82" i="12"/>
  <c r="E82" i="12"/>
  <c r="D82" i="12"/>
  <c r="C82" i="12"/>
  <c r="F82" i="12" s="1"/>
  <c r="E81" i="12"/>
  <c r="D81" i="12"/>
  <c r="F81" i="12" s="1"/>
  <c r="C81" i="12"/>
  <c r="E80" i="12"/>
  <c r="D80" i="12"/>
  <c r="C80" i="12"/>
  <c r="B80" i="12"/>
  <c r="B111" i="12" s="1"/>
  <c r="G79" i="12"/>
  <c r="E79" i="12"/>
  <c r="D79" i="12"/>
  <c r="C79" i="12"/>
  <c r="F79" i="12" s="1"/>
  <c r="F78" i="12"/>
  <c r="E78" i="12"/>
  <c r="D78" i="12"/>
  <c r="G78" i="12" s="1"/>
  <c r="C78" i="12"/>
  <c r="E77" i="12"/>
  <c r="D77" i="12"/>
  <c r="G77" i="12" s="1"/>
  <c r="C77" i="12"/>
  <c r="F76" i="12"/>
  <c r="E76" i="12"/>
  <c r="E108" i="12" s="1"/>
  <c r="D76" i="12"/>
  <c r="G76" i="12" s="1"/>
  <c r="C76" i="12"/>
  <c r="E75" i="12"/>
  <c r="C75" i="12"/>
  <c r="B75" i="12"/>
  <c r="B113" i="12" s="1"/>
  <c r="E74" i="12"/>
  <c r="E91" i="12" s="1"/>
  <c r="E96" i="12" s="1"/>
  <c r="E98" i="12" s="1"/>
  <c r="B74" i="12"/>
  <c r="G73" i="12"/>
  <c r="E73" i="12"/>
  <c r="D73" i="12"/>
  <c r="C73" i="12"/>
  <c r="F73" i="12" s="1"/>
  <c r="G72" i="12"/>
  <c r="F72" i="12"/>
  <c r="E72" i="12"/>
  <c r="D72" i="12"/>
  <c r="C72" i="12"/>
  <c r="E71" i="12"/>
  <c r="D71" i="12"/>
  <c r="C71" i="12"/>
  <c r="F71" i="12" s="1"/>
  <c r="G70" i="12"/>
  <c r="F70" i="12"/>
  <c r="F68" i="12"/>
  <c r="E68" i="12"/>
  <c r="D68" i="12"/>
  <c r="G68" i="12" s="1"/>
  <c r="C68" i="12"/>
  <c r="G67" i="12"/>
  <c r="E67" i="12"/>
  <c r="E115" i="12" s="1"/>
  <c r="D67" i="12"/>
  <c r="C67" i="12"/>
  <c r="F67" i="12" s="1"/>
  <c r="B66" i="12"/>
  <c r="F65" i="12"/>
  <c r="E65" i="12"/>
  <c r="D65" i="12"/>
  <c r="G65" i="12" s="1"/>
  <c r="C65" i="12"/>
  <c r="G64" i="12"/>
  <c r="E64" i="12"/>
  <c r="D64" i="12"/>
  <c r="C64" i="12"/>
  <c r="F64" i="12" s="1"/>
  <c r="D63" i="12"/>
  <c r="G63" i="12" s="1"/>
  <c r="B63" i="12"/>
  <c r="F62" i="12"/>
  <c r="E62" i="12"/>
  <c r="D62" i="12"/>
  <c r="G62" i="12" s="1"/>
  <c r="C62" i="12"/>
  <c r="G61" i="12"/>
  <c r="E61" i="12"/>
  <c r="D61" i="12"/>
  <c r="C61" i="12"/>
  <c r="F61" i="12" s="1"/>
  <c r="E60" i="12"/>
  <c r="D60" i="12"/>
  <c r="G60" i="12" s="1"/>
  <c r="C60" i="12"/>
  <c r="G59" i="12"/>
  <c r="F59" i="12"/>
  <c r="E59" i="12"/>
  <c r="E63" i="12" s="1"/>
  <c r="D59" i="12"/>
  <c r="C59" i="12"/>
  <c r="E58" i="12"/>
  <c r="E100" i="12" s="1"/>
  <c r="D58" i="12"/>
  <c r="D100" i="12" s="1"/>
  <c r="C58" i="12"/>
  <c r="C100" i="12" s="1"/>
  <c r="B58" i="12"/>
  <c r="B100" i="12" s="1"/>
  <c r="E53" i="12"/>
  <c r="D53" i="12"/>
  <c r="G53" i="12" s="1"/>
  <c r="C53" i="12"/>
  <c r="F53" i="12" s="1"/>
  <c r="G52" i="12"/>
  <c r="E52" i="12"/>
  <c r="D52" i="12"/>
  <c r="C52" i="12"/>
  <c r="F52" i="12" s="1"/>
  <c r="E50" i="12"/>
  <c r="D50" i="12"/>
  <c r="C50" i="12"/>
  <c r="F50" i="12" s="1"/>
  <c r="E48" i="12"/>
  <c r="D48" i="12"/>
  <c r="C48" i="12"/>
  <c r="G47" i="12"/>
  <c r="F47" i="12"/>
  <c r="E46" i="12"/>
  <c r="D46" i="12"/>
  <c r="G46" i="12" s="1"/>
  <c r="C46" i="12"/>
  <c r="G45" i="12"/>
  <c r="F45" i="12"/>
  <c r="E44" i="12"/>
  <c r="D44" i="12"/>
  <c r="C44" i="12"/>
  <c r="G42" i="12"/>
  <c r="F42" i="12"/>
  <c r="G41" i="12"/>
  <c r="F41" i="12"/>
  <c r="E40" i="12"/>
  <c r="G40" i="12" s="1"/>
  <c r="D40" i="12"/>
  <c r="C40" i="12"/>
  <c r="F40" i="12" s="1"/>
  <c r="G39" i="12"/>
  <c r="F39" i="12"/>
  <c r="E39" i="12"/>
  <c r="E106" i="12" s="1"/>
  <c r="D39" i="12"/>
  <c r="D106" i="12" s="1"/>
  <c r="C39" i="12"/>
  <c r="C106" i="12" s="1"/>
  <c r="E37" i="12"/>
  <c r="G37" i="12" s="1"/>
  <c r="D37" i="12"/>
  <c r="C37" i="12"/>
  <c r="F37" i="12" s="1"/>
  <c r="G36" i="12"/>
  <c r="F36" i="12"/>
  <c r="E36" i="12"/>
  <c r="D36" i="12"/>
  <c r="C36" i="12"/>
  <c r="E35" i="12"/>
  <c r="E109" i="12" s="1"/>
  <c r="D35" i="12"/>
  <c r="C35" i="12"/>
  <c r="E34" i="12"/>
  <c r="D34" i="12"/>
  <c r="F34" i="12" s="1"/>
  <c r="C34" i="12"/>
  <c r="E32" i="12"/>
  <c r="E110" i="12" s="1"/>
  <c r="D32" i="12"/>
  <c r="C32" i="12"/>
  <c r="E31" i="12"/>
  <c r="D31" i="12"/>
  <c r="F31" i="12" s="1"/>
  <c r="C31" i="12"/>
  <c r="F30" i="12"/>
  <c r="E30" i="12"/>
  <c r="D30" i="12"/>
  <c r="C30" i="12"/>
  <c r="E29" i="12"/>
  <c r="D29" i="12"/>
  <c r="G29" i="12" s="1"/>
  <c r="C29" i="12"/>
  <c r="B28" i="12"/>
  <c r="B112" i="12" s="1"/>
  <c r="E27" i="12"/>
  <c r="B27" i="12"/>
  <c r="B33" i="12" s="1"/>
  <c r="E26" i="12"/>
  <c r="D26" i="12"/>
  <c r="G26" i="12" s="1"/>
  <c r="C26" i="12"/>
  <c r="F26" i="12" s="1"/>
  <c r="E25" i="12"/>
  <c r="D25" i="12"/>
  <c r="F25" i="12" s="1"/>
  <c r="C25" i="12"/>
  <c r="F24" i="12"/>
  <c r="E24" i="12"/>
  <c r="G24" i="12" s="1"/>
  <c r="D24" i="12"/>
  <c r="C24" i="12"/>
  <c r="E22" i="12"/>
  <c r="D22" i="12"/>
  <c r="G22" i="12" s="1"/>
  <c r="C22" i="12"/>
  <c r="F22" i="12" s="1"/>
  <c r="G21" i="12"/>
  <c r="E21" i="12"/>
  <c r="D21" i="12"/>
  <c r="H11" i="30" s="1"/>
  <c r="C21" i="12"/>
  <c r="G11" i="30" s="1"/>
  <c r="I11" i="30" s="1"/>
  <c r="G20" i="12"/>
  <c r="F20" i="12"/>
  <c r="G19" i="12"/>
  <c r="F19" i="12"/>
  <c r="E19" i="12"/>
  <c r="D19" i="12"/>
  <c r="C19" i="12"/>
  <c r="E18" i="12"/>
  <c r="D18" i="12"/>
  <c r="G18" i="12" s="1"/>
  <c r="C18" i="12"/>
  <c r="F18" i="12" s="1"/>
  <c r="E17" i="12"/>
  <c r="D17" i="12"/>
  <c r="F17" i="12" s="1"/>
  <c r="C17" i="12"/>
  <c r="G16" i="12"/>
  <c r="F16" i="12"/>
  <c r="G15" i="12"/>
  <c r="E15" i="12"/>
  <c r="E107" i="12" s="1"/>
  <c r="D15" i="12"/>
  <c r="C15" i="12"/>
  <c r="E14" i="12"/>
  <c r="D14" i="12"/>
  <c r="C14" i="12"/>
  <c r="A12" i="12"/>
  <c r="B10" i="12"/>
  <c r="G11" i="19" s="1"/>
  <c r="C117" i="46"/>
  <c r="B115" i="46"/>
  <c r="B110" i="46"/>
  <c r="B109" i="46"/>
  <c r="B108" i="46"/>
  <c r="B107" i="46"/>
  <c r="C100" i="46"/>
  <c r="G97" i="46"/>
  <c r="E97" i="46"/>
  <c r="D97" i="46"/>
  <c r="C97" i="46"/>
  <c r="F97" i="46" s="1"/>
  <c r="E95" i="46"/>
  <c r="D95" i="46"/>
  <c r="G95" i="46" s="1"/>
  <c r="C95" i="46"/>
  <c r="F95" i="46" s="1"/>
  <c r="G94" i="46"/>
  <c r="F94" i="46"/>
  <c r="E93" i="46"/>
  <c r="G93" i="46" s="1"/>
  <c r="D93" i="46"/>
  <c r="C93" i="46"/>
  <c r="F93" i="46" s="1"/>
  <c r="G92" i="46"/>
  <c r="F92" i="46"/>
  <c r="G90" i="46"/>
  <c r="F90" i="46"/>
  <c r="E90" i="46"/>
  <c r="D90" i="46"/>
  <c r="C90" i="46"/>
  <c r="E89" i="46"/>
  <c r="D89" i="46"/>
  <c r="G89" i="46" s="1"/>
  <c r="C89" i="46"/>
  <c r="E88" i="46"/>
  <c r="D88" i="46"/>
  <c r="F88" i="46" s="1"/>
  <c r="C88" i="46"/>
  <c r="F87" i="46"/>
  <c r="E87" i="46"/>
  <c r="D87" i="46"/>
  <c r="C87" i="46"/>
  <c r="C86" i="46"/>
  <c r="B86" i="46"/>
  <c r="B117" i="46" s="1"/>
  <c r="E85" i="46"/>
  <c r="D85" i="46"/>
  <c r="F85" i="46" s="1"/>
  <c r="C85" i="46"/>
  <c r="F84" i="46"/>
  <c r="E84" i="46"/>
  <c r="D84" i="46"/>
  <c r="G84" i="46" s="1"/>
  <c r="C84" i="46"/>
  <c r="E83" i="46"/>
  <c r="D83" i="46"/>
  <c r="G83" i="46" s="1"/>
  <c r="C83" i="46"/>
  <c r="F83" i="46" s="1"/>
  <c r="G82" i="46"/>
  <c r="E82" i="46"/>
  <c r="D82" i="46"/>
  <c r="C82" i="46"/>
  <c r="F82" i="46" s="1"/>
  <c r="E81" i="46"/>
  <c r="E80" i="46" s="1"/>
  <c r="D81" i="46"/>
  <c r="C81" i="46"/>
  <c r="B80" i="46"/>
  <c r="B111" i="46" s="1"/>
  <c r="G79" i="46"/>
  <c r="E79" i="46"/>
  <c r="D79" i="46"/>
  <c r="C79" i="46"/>
  <c r="F79" i="46" s="1"/>
  <c r="E78" i="46"/>
  <c r="D78" i="46"/>
  <c r="C78" i="46"/>
  <c r="E77" i="46"/>
  <c r="G77" i="46" s="1"/>
  <c r="D77" i="46"/>
  <c r="C77" i="46"/>
  <c r="F77" i="46" s="1"/>
  <c r="G76" i="46"/>
  <c r="F76" i="46"/>
  <c r="E76" i="46"/>
  <c r="D76" i="46"/>
  <c r="C76" i="46"/>
  <c r="D75" i="46"/>
  <c r="C75" i="46"/>
  <c r="B75" i="46"/>
  <c r="B113" i="46" s="1"/>
  <c r="B74" i="46"/>
  <c r="G73" i="46"/>
  <c r="E73" i="46"/>
  <c r="D73" i="46"/>
  <c r="C73" i="46"/>
  <c r="F73" i="46" s="1"/>
  <c r="E72" i="46"/>
  <c r="D72" i="46"/>
  <c r="C72" i="46"/>
  <c r="E71" i="46"/>
  <c r="G71" i="46" s="1"/>
  <c r="D71" i="46"/>
  <c r="C71" i="46"/>
  <c r="F71" i="46" s="1"/>
  <c r="G70" i="46"/>
  <c r="F70" i="46"/>
  <c r="G68" i="46"/>
  <c r="F68" i="46"/>
  <c r="E68" i="46"/>
  <c r="D68" i="46"/>
  <c r="C68" i="46"/>
  <c r="E67" i="46"/>
  <c r="D67" i="46"/>
  <c r="G67" i="46" s="1"/>
  <c r="C67" i="46"/>
  <c r="G65" i="46"/>
  <c r="F65" i="46"/>
  <c r="E65" i="46"/>
  <c r="D65" i="46"/>
  <c r="C65" i="46"/>
  <c r="G64" i="46"/>
  <c r="E64" i="46"/>
  <c r="D64" i="46"/>
  <c r="C64" i="46"/>
  <c r="F64" i="46" s="1"/>
  <c r="D63" i="46"/>
  <c r="B63" i="46"/>
  <c r="B66" i="46" s="1"/>
  <c r="G62" i="46"/>
  <c r="F62" i="46"/>
  <c r="E62" i="46"/>
  <c r="D62" i="46"/>
  <c r="C62" i="46"/>
  <c r="G61" i="46"/>
  <c r="E61" i="46"/>
  <c r="D61" i="46"/>
  <c r="C61" i="46"/>
  <c r="E60" i="46"/>
  <c r="D60" i="46"/>
  <c r="C60" i="46"/>
  <c r="F59" i="46"/>
  <c r="E59" i="46"/>
  <c r="G59" i="46" s="1"/>
  <c r="D59" i="46"/>
  <c r="C59" i="46"/>
  <c r="C63" i="46" s="1"/>
  <c r="E58" i="46"/>
  <c r="E100" i="46" s="1"/>
  <c r="D58" i="46"/>
  <c r="D100" i="46" s="1"/>
  <c r="C58" i="46"/>
  <c r="B58" i="46"/>
  <c r="B100" i="46" s="1"/>
  <c r="E53" i="46"/>
  <c r="D53" i="46"/>
  <c r="C53" i="46"/>
  <c r="F52" i="46"/>
  <c r="E52" i="46"/>
  <c r="G52" i="46" s="1"/>
  <c r="D52" i="46"/>
  <c r="C52" i="46"/>
  <c r="E50" i="46"/>
  <c r="D50" i="46"/>
  <c r="C50" i="46"/>
  <c r="E48" i="46"/>
  <c r="D48" i="46"/>
  <c r="G48" i="46" s="1"/>
  <c r="C48" i="46"/>
  <c r="G47" i="46"/>
  <c r="F47" i="46"/>
  <c r="E46" i="46"/>
  <c r="D46" i="46"/>
  <c r="G46" i="46" s="1"/>
  <c r="C46" i="46"/>
  <c r="F46" i="46" s="1"/>
  <c r="G45" i="46"/>
  <c r="F45" i="46"/>
  <c r="E44" i="46"/>
  <c r="D44" i="46"/>
  <c r="C44" i="46"/>
  <c r="I10" i="31" s="1"/>
  <c r="G42" i="46"/>
  <c r="F42" i="46"/>
  <c r="G41" i="46"/>
  <c r="F41" i="46"/>
  <c r="E40" i="46"/>
  <c r="D40" i="46"/>
  <c r="C40" i="46"/>
  <c r="F39" i="46"/>
  <c r="E39" i="46"/>
  <c r="D39" i="46"/>
  <c r="D106" i="46" s="1"/>
  <c r="C39" i="46"/>
  <c r="E37" i="46"/>
  <c r="D37" i="46"/>
  <c r="C37" i="46"/>
  <c r="G36" i="46"/>
  <c r="F36" i="46"/>
  <c r="E36" i="46"/>
  <c r="D36" i="46"/>
  <c r="C36" i="46"/>
  <c r="E35" i="46"/>
  <c r="E109" i="46" s="1"/>
  <c r="D35" i="46"/>
  <c r="C35" i="46"/>
  <c r="G34" i="46"/>
  <c r="E34" i="46"/>
  <c r="D34" i="46"/>
  <c r="C34" i="46"/>
  <c r="F34" i="46" s="1"/>
  <c r="E32" i="46"/>
  <c r="D32" i="46"/>
  <c r="C32" i="46"/>
  <c r="F32" i="46" s="1"/>
  <c r="G31" i="46"/>
  <c r="E31" i="46"/>
  <c r="D31" i="46"/>
  <c r="C31" i="46"/>
  <c r="F30" i="46"/>
  <c r="E30" i="46"/>
  <c r="D30" i="46"/>
  <c r="C30" i="46"/>
  <c r="E29" i="46"/>
  <c r="G29" i="46" s="1"/>
  <c r="D29" i="46"/>
  <c r="C29" i="46"/>
  <c r="F29" i="46" s="1"/>
  <c r="E28" i="46"/>
  <c r="B28" i="46"/>
  <c r="B112" i="46" s="1"/>
  <c r="B27" i="46"/>
  <c r="B33" i="46" s="1"/>
  <c r="E26" i="46"/>
  <c r="D26" i="46"/>
  <c r="G26" i="46" s="1"/>
  <c r="C26" i="46"/>
  <c r="F26" i="46" s="1"/>
  <c r="G25" i="46"/>
  <c r="E25" i="46"/>
  <c r="D25" i="46"/>
  <c r="C25" i="46"/>
  <c r="F25" i="46" s="1"/>
  <c r="E24" i="46"/>
  <c r="D24" i="46"/>
  <c r="G24" i="46" s="1"/>
  <c r="C24" i="46"/>
  <c r="E22" i="46"/>
  <c r="G22" i="46" s="1"/>
  <c r="D22" i="46"/>
  <c r="C22" i="46"/>
  <c r="F22" i="46" s="1"/>
  <c r="G21" i="46"/>
  <c r="F21" i="46"/>
  <c r="E21" i="46"/>
  <c r="D21" i="46"/>
  <c r="H10" i="30" s="1"/>
  <c r="C21" i="46"/>
  <c r="G10" i="30" s="1"/>
  <c r="I10" i="30" s="1"/>
  <c r="G20" i="46"/>
  <c r="F20" i="46"/>
  <c r="G19" i="46"/>
  <c r="F19" i="46"/>
  <c r="E19" i="46"/>
  <c r="D19" i="46"/>
  <c r="D107" i="46" s="1"/>
  <c r="C19" i="46"/>
  <c r="E18" i="46"/>
  <c r="D18" i="46"/>
  <c r="C18" i="46"/>
  <c r="C27" i="46" s="1"/>
  <c r="G17" i="46"/>
  <c r="F17" i="46"/>
  <c r="E17" i="46"/>
  <c r="D17" i="46"/>
  <c r="C17" i="46"/>
  <c r="C107" i="46" s="1"/>
  <c r="G16" i="46"/>
  <c r="F16" i="46"/>
  <c r="G15" i="46"/>
  <c r="F15" i="46"/>
  <c r="E15" i="46"/>
  <c r="E27" i="46" s="1"/>
  <c r="E33" i="46" s="1"/>
  <c r="D15" i="46"/>
  <c r="C15" i="46"/>
  <c r="E14" i="46"/>
  <c r="D14" i="46"/>
  <c r="C14" i="46"/>
  <c r="A12" i="46"/>
  <c r="B10" i="46"/>
  <c r="G10" i="19" s="1"/>
  <c r="B117" i="10"/>
  <c r="B115" i="10"/>
  <c r="E110" i="10"/>
  <c r="B110" i="10"/>
  <c r="B109" i="10"/>
  <c r="B108" i="10"/>
  <c r="D107" i="10"/>
  <c r="B107" i="10"/>
  <c r="D100" i="10"/>
  <c r="B100" i="10"/>
  <c r="E97" i="10"/>
  <c r="G97" i="10" s="1"/>
  <c r="D97" i="10"/>
  <c r="F97" i="10" s="1"/>
  <c r="C97" i="10"/>
  <c r="E95" i="10"/>
  <c r="D95" i="10"/>
  <c r="G95" i="10" s="1"/>
  <c r="C95" i="10"/>
  <c r="G94" i="10"/>
  <c r="F94" i="10"/>
  <c r="E93" i="10"/>
  <c r="D93" i="10"/>
  <c r="G93" i="10" s="1"/>
  <c r="C93" i="10"/>
  <c r="F93" i="10" s="1"/>
  <c r="G92" i="10"/>
  <c r="F92" i="10"/>
  <c r="G90" i="10"/>
  <c r="E90" i="10"/>
  <c r="D90" i="10"/>
  <c r="C90" i="10"/>
  <c r="F90" i="10" s="1"/>
  <c r="E89" i="10"/>
  <c r="D89" i="10"/>
  <c r="C89" i="10"/>
  <c r="F89" i="10" s="1"/>
  <c r="E88" i="10"/>
  <c r="G88" i="10" s="1"/>
  <c r="D88" i="10"/>
  <c r="C88" i="10"/>
  <c r="F88" i="10" s="1"/>
  <c r="G87" i="10"/>
  <c r="F87" i="10"/>
  <c r="E87" i="10"/>
  <c r="D87" i="10"/>
  <c r="C87" i="10"/>
  <c r="C86" i="10"/>
  <c r="B86" i="10"/>
  <c r="E85" i="10"/>
  <c r="G85" i="10" s="1"/>
  <c r="D85" i="10"/>
  <c r="F85" i="10" s="1"/>
  <c r="C85" i="10"/>
  <c r="G84" i="10"/>
  <c r="F84" i="10"/>
  <c r="E84" i="10"/>
  <c r="D84" i="10"/>
  <c r="C84" i="10"/>
  <c r="E83" i="10"/>
  <c r="D83" i="10"/>
  <c r="G83" i="10" s="1"/>
  <c r="C83" i="10"/>
  <c r="F83" i="10" s="1"/>
  <c r="E82" i="10"/>
  <c r="D82" i="10"/>
  <c r="F82" i="10" s="1"/>
  <c r="C82" i="10"/>
  <c r="F81" i="10"/>
  <c r="E81" i="10"/>
  <c r="E80" i="10" s="1"/>
  <c r="D81" i="10"/>
  <c r="C81" i="10"/>
  <c r="C80" i="10"/>
  <c r="B80" i="10"/>
  <c r="E79" i="10"/>
  <c r="D79" i="10"/>
  <c r="F79" i="10" s="1"/>
  <c r="C79" i="10"/>
  <c r="F78" i="10"/>
  <c r="E78" i="10"/>
  <c r="D78" i="10"/>
  <c r="C78" i="10"/>
  <c r="E77" i="10"/>
  <c r="G77" i="10" s="1"/>
  <c r="D77" i="10"/>
  <c r="C77" i="10"/>
  <c r="F77" i="10" s="1"/>
  <c r="G76" i="10"/>
  <c r="E76" i="10"/>
  <c r="E108" i="10" s="1"/>
  <c r="D76" i="10"/>
  <c r="D108" i="10" s="1"/>
  <c r="C76" i="10"/>
  <c r="F76" i="10" s="1"/>
  <c r="E75" i="10"/>
  <c r="D75" i="10"/>
  <c r="B75" i="10"/>
  <c r="B113" i="10" s="1"/>
  <c r="E73" i="10"/>
  <c r="D73" i="10"/>
  <c r="F73" i="10" s="1"/>
  <c r="C73" i="10"/>
  <c r="F72" i="10"/>
  <c r="E72" i="10"/>
  <c r="D72" i="10"/>
  <c r="C72" i="10"/>
  <c r="B106" i="10" s="1"/>
  <c r="E71" i="10"/>
  <c r="G71" i="10" s="1"/>
  <c r="D71" i="10"/>
  <c r="C71" i="10"/>
  <c r="F71" i="10" s="1"/>
  <c r="G70" i="10"/>
  <c r="F70" i="10"/>
  <c r="G68" i="10"/>
  <c r="E68" i="10"/>
  <c r="D68" i="10"/>
  <c r="C68" i="10"/>
  <c r="F68" i="10" s="1"/>
  <c r="E67" i="10"/>
  <c r="D67" i="10"/>
  <c r="C67" i="10"/>
  <c r="C115" i="10" s="1"/>
  <c r="G65" i="10"/>
  <c r="E65" i="10"/>
  <c r="D65" i="10"/>
  <c r="C65" i="10"/>
  <c r="E64" i="10"/>
  <c r="D64" i="10"/>
  <c r="C64" i="10"/>
  <c r="F64" i="10" s="1"/>
  <c r="B63" i="10"/>
  <c r="B66" i="10" s="1"/>
  <c r="G62" i="10"/>
  <c r="E62" i="10"/>
  <c r="D62" i="10"/>
  <c r="C62" i="10"/>
  <c r="C63" i="10" s="1"/>
  <c r="F63" i="10" s="1"/>
  <c r="E61" i="10"/>
  <c r="D61" i="10"/>
  <c r="C61" i="10"/>
  <c r="F61" i="10" s="1"/>
  <c r="E60" i="10"/>
  <c r="G60" i="10" s="1"/>
  <c r="D60" i="10"/>
  <c r="F60" i="10" s="1"/>
  <c r="C60" i="10"/>
  <c r="G59" i="10"/>
  <c r="F59" i="10"/>
  <c r="E59" i="10"/>
  <c r="D59" i="10"/>
  <c r="D63" i="10" s="1"/>
  <c r="C59" i="10"/>
  <c r="E58" i="10"/>
  <c r="E100" i="10" s="1"/>
  <c r="D58" i="10"/>
  <c r="C58" i="10"/>
  <c r="C100" i="10" s="1"/>
  <c r="B58" i="10"/>
  <c r="E53" i="10"/>
  <c r="G53" i="10" s="1"/>
  <c r="D53" i="10"/>
  <c r="C53" i="10"/>
  <c r="F53" i="10" s="1"/>
  <c r="G52" i="10"/>
  <c r="F52" i="10"/>
  <c r="E52" i="10"/>
  <c r="D52" i="10"/>
  <c r="C52" i="10"/>
  <c r="E50" i="10"/>
  <c r="G50" i="10" s="1"/>
  <c r="D50" i="10"/>
  <c r="C50" i="10"/>
  <c r="F50" i="10" s="1"/>
  <c r="E48" i="10"/>
  <c r="D48" i="10"/>
  <c r="G48" i="10" s="1"/>
  <c r="C48" i="10"/>
  <c r="G47" i="10"/>
  <c r="F47" i="10"/>
  <c r="E46" i="10"/>
  <c r="D46" i="10"/>
  <c r="G46" i="10" s="1"/>
  <c r="C46" i="10"/>
  <c r="F46" i="10" s="1"/>
  <c r="G45" i="10"/>
  <c r="F45" i="10"/>
  <c r="E44" i="10"/>
  <c r="D44" i="10"/>
  <c r="G44" i="10" s="1"/>
  <c r="C44" i="10"/>
  <c r="G42" i="10"/>
  <c r="F42" i="10"/>
  <c r="G41" i="10"/>
  <c r="F41" i="10"/>
  <c r="E40" i="10"/>
  <c r="G40" i="10" s="1"/>
  <c r="D40" i="10"/>
  <c r="C40" i="10"/>
  <c r="F40" i="10" s="1"/>
  <c r="G39" i="10"/>
  <c r="F39" i="10"/>
  <c r="E39" i="10"/>
  <c r="D39" i="10"/>
  <c r="D106" i="10" s="1"/>
  <c r="C39" i="10"/>
  <c r="E37" i="10"/>
  <c r="G37" i="10" s="1"/>
  <c r="D37" i="10"/>
  <c r="C37" i="10"/>
  <c r="F37" i="10" s="1"/>
  <c r="G36" i="10"/>
  <c r="F36" i="10"/>
  <c r="E36" i="10"/>
  <c r="D36" i="10"/>
  <c r="C36" i="10"/>
  <c r="E35" i="10"/>
  <c r="D35" i="10"/>
  <c r="C35" i="10"/>
  <c r="E34" i="10"/>
  <c r="D34" i="10"/>
  <c r="F34" i="10" s="1"/>
  <c r="C34" i="10"/>
  <c r="E32" i="10"/>
  <c r="D32" i="10"/>
  <c r="C32" i="10"/>
  <c r="E31" i="10"/>
  <c r="D31" i="10"/>
  <c r="F31" i="10" s="1"/>
  <c r="C31" i="10"/>
  <c r="F30" i="10"/>
  <c r="E30" i="10"/>
  <c r="E28" i="10" s="1"/>
  <c r="D30" i="10"/>
  <c r="G30" i="10" s="1"/>
  <c r="C30" i="10"/>
  <c r="E29" i="10"/>
  <c r="D29" i="10"/>
  <c r="G29" i="10" s="1"/>
  <c r="C29" i="10"/>
  <c r="B28" i="10"/>
  <c r="B112" i="10" s="1"/>
  <c r="B27" i="10"/>
  <c r="B33" i="10" s="1"/>
  <c r="E26" i="10"/>
  <c r="D26" i="10"/>
  <c r="G26" i="10" s="1"/>
  <c r="C26" i="10"/>
  <c r="F26" i="10" s="1"/>
  <c r="E25" i="10"/>
  <c r="D25" i="10"/>
  <c r="F25" i="10" s="1"/>
  <c r="C25" i="10"/>
  <c r="F24" i="10"/>
  <c r="E24" i="10"/>
  <c r="E27" i="10" s="1"/>
  <c r="E33" i="10" s="1"/>
  <c r="D24" i="10"/>
  <c r="C24" i="10"/>
  <c r="E22" i="10"/>
  <c r="D22" i="10"/>
  <c r="G22" i="10" s="1"/>
  <c r="C22" i="10"/>
  <c r="F22" i="10" s="1"/>
  <c r="G21" i="10"/>
  <c r="E21" i="10"/>
  <c r="D21" i="10"/>
  <c r="H9" i="30" s="1"/>
  <c r="C21" i="10"/>
  <c r="G9" i="30" s="1"/>
  <c r="I9" i="30" s="1"/>
  <c r="G20" i="10"/>
  <c r="F20" i="10"/>
  <c r="G19" i="10"/>
  <c r="F19" i="10"/>
  <c r="E19" i="10"/>
  <c r="D19" i="10"/>
  <c r="C19" i="10"/>
  <c r="E18" i="10"/>
  <c r="D18" i="10"/>
  <c r="G18" i="10" s="1"/>
  <c r="C18" i="10"/>
  <c r="F18" i="10" s="1"/>
  <c r="E17" i="10"/>
  <c r="D17" i="10"/>
  <c r="F17" i="10" s="1"/>
  <c r="C17" i="10"/>
  <c r="G16" i="10"/>
  <c r="F16" i="10"/>
  <c r="G15" i="10"/>
  <c r="E15" i="10"/>
  <c r="D15" i="10"/>
  <c r="C15" i="10"/>
  <c r="C27" i="10" s="1"/>
  <c r="E14" i="10"/>
  <c r="D14" i="10"/>
  <c r="C14" i="10"/>
  <c r="A12" i="10"/>
  <c r="B10" i="10"/>
  <c r="G9" i="19" s="1"/>
  <c r="B115" i="9"/>
  <c r="B110" i="9"/>
  <c r="B109" i="9"/>
  <c r="B108" i="9"/>
  <c r="B107" i="9"/>
  <c r="G97" i="9"/>
  <c r="E97" i="9"/>
  <c r="D97" i="9"/>
  <c r="C97" i="9"/>
  <c r="F97" i="9" s="1"/>
  <c r="G95" i="9"/>
  <c r="E95" i="9"/>
  <c r="D95" i="9"/>
  <c r="C95" i="9"/>
  <c r="F95" i="9" s="1"/>
  <c r="G94" i="9"/>
  <c r="F94" i="9"/>
  <c r="F93" i="9"/>
  <c r="E93" i="9"/>
  <c r="G93" i="9" s="1"/>
  <c r="D93" i="9"/>
  <c r="C93" i="9"/>
  <c r="G92" i="9"/>
  <c r="F92" i="9"/>
  <c r="G90" i="9"/>
  <c r="F90" i="9"/>
  <c r="E90" i="9"/>
  <c r="D90" i="9"/>
  <c r="C90" i="9"/>
  <c r="E89" i="9"/>
  <c r="D89" i="9"/>
  <c r="G89" i="9" s="1"/>
  <c r="C89" i="9"/>
  <c r="E88" i="9"/>
  <c r="D88" i="9"/>
  <c r="F88" i="9" s="1"/>
  <c r="C88" i="9"/>
  <c r="F87" i="9"/>
  <c r="E87" i="9"/>
  <c r="D87" i="9"/>
  <c r="C87" i="9"/>
  <c r="C86" i="9"/>
  <c r="B86" i="9"/>
  <c r="B117" i="9" s="1"/>
  <c r="E85" i="9"/>
  <c r="D85" i="9"/>
  <c r="F85" i="9" s="1"/>
  <c r="C85" i="9"/>
  <c r="F84" i="9"/>
  <c r="E84" i="9"/>
  <c r="D84" i="9"/>
  <c r="G84" i="9" s="1"/>
  <c r="C84" i="9"/>
  <c r="G83" i="9"/>
  <c r="E83" i="9"/>
  <c r="D83" i="9"/>
  <c r="C83" i="9"/>
  <c r="F83" i="9" s="1"/>
  <c r="G82" i="9"/>
  <c r="E82" i="9"/>
  <c r="D82" i="9"/>
  <c r="C82" i="9"/>
  <c r="F82" i="9" s="1"/>
  <c r="E81" i="9"/>
  <c r="E80" i="9" s="1"/>
  <c r="D81" i="9"/>
  <c r="C81" i="9"/>
  <c r="F81" i="9" s="1"/>
  <c r="B80" i="9"/>
  <c r="G79" i="9"/>
  <c r="E79" i="9"/>
  <c r="D79" i="9"/>
  <c r="C79" i="9"/>
  <c r="F79" i="9" s="1"/>
  <c r="E78" i="9"/>
  <c r="D78" i="9"/>
  <c r="C78" i="9"/>
  <c r="F78" i="9" s="1"/>
  <c r="F77" i="9"/>
  <c r="E77" i="9"/>
  <c r="G77" i="9" s="1"/>
  <c r="D77" i="9"/>
  <c r="C77" i="9"/>
  <c r="G76" i="9"/>
  <c r="F76" i="9"/>
  <c r="E76" i="9"/>
  <c r="D76" i="9"/>
  <c r="C76" i="9"/>
  <c r="C75" i="9"/>
  <c r="B75" i="9"/>
  <c r="B74" i="9"/>
  <c r="G73" i="9"/>
  <c r="E73" i="9"/>
  <c r="D73" i="9"/>
  <c r="C73" i="9"/>
  <c r="F73" i="9" s="1"/>
  <c r="E72" i="9"/>
  <c r="D72" i="9"/>
  <c r="C72" i="9"/>
  <c r="F71" i="9"/>
  <c r="E71" i="9"/>
  <c r="G71" i="9" s="1"/>
  <c r="D71" i="9"/>
  <c r="C71" i="9"/>
  <c r="G70" i="9"/>
  <c r="F70" i="9"/>
  <c r="G68" i="9"/>
  <c r="F68" i="9"/>
  <c r="E68" i="9"/>
  <c r="D68" i="9"/>
  <c r="C68" i="9"/>
  <c r="G67" i="9"/>
  <c r="E67" i="9"/>
  <c r="D67" i="9"/>
  <c r="C67" i="9"/>
  <c r="G65" i="9"/>
  <c r="F65" i="9"/>
  <c r="E65" i="9"/>
  <c r="D65" i="9"/>
  <c r="C65" i="9"/>
  <c r="E64" i="9"/>
  <c r="D64" i="9"/>
  <c r="G64" i="9" s="1"/>
  <c r="C64" i="9"/>
  <c r="E63" i="9"/>
  <c r="B63" i="9"/>
  <c r="B66" i="9" s="1"/>
  <c r="G62" i="9"/>
  <c r="F62" i="9"/>
  <c r="E62" i="9"/>
  <c r="D62" i="9"/>
  <c r="C62" i="9"/>
  <c r="G61" i="9"/>
  <c r="E61" i="9"/>
  <c r="D61" i="9"/>
  <c r="C61" i="9"/>
  <c r="F61" i="9" s="1"/>
  <c r="G60" i="9"/>
  <c r="F60" i="9"/>
  <c r="E60" i="9"/>
  <c r="D60" i="9"/>
  <c r="C60" i="9"/>
  <c r="E59" i="9"/>
  <c r="D59" i="9"/>
  <c r="C59" i="9"/>
  <c r="E58" i="9"/>
  <c r="E100" i="9" s="1"/>
  <c r="D58" i="9"/>
  <c r="D100" i="9" s="1"/>
  <c r="C58" i="9"/>
  <c r="C100" i="9" s="1"/>
  <c r="B58" i="9"/>
  <c r="B100" i="9" s="1"/>
  <c r="G53" i="9"/>
  <c r="F53" i="9"/>
  <c r="E53" i="9"/>
  <c r="D53" i="9"/>
  <c r="C53" i="9"/>
  <c r="F52" i="9"/>
  <c r="E52" i="9"/>
  <c r="D52" i="9"/>
  <c r="C52" i="9"/>
  <c r="G50" i="9"/>
  <c r="F50" i="9"/>
  <c r="E50" i="9"/>
  <c r="D50" i="9"/>
  <c r="C50" i="9"/>
  <c r="E48" i="9"/>
  <c r="G48" i="9" s="1"/>
  <c r="D48" i="9"/>
  <c r="C48" i="9"/>
  <c r="F48" i="9" s="1"/>
  <c r="G47" i="9"/>
  <c r="F47" i="9"/>
  <c r="E46" i="9"/>
  <c r="D46" i="9"/>
  <c r="G46" i="9" s="1"/>
  <c r="C46" i="9"/>
  <c r="F46" i="9" s="1"/>
  <c r="G45" i="9"/>
  <c r="F45" i="9"/>
  <c r="G44" i="9"/>
  <c r="E44" i="9"/>
  <c r="D44" i="9"/>
  <c r="C44" i="9"/>
  <c r="I8" i="31" s="1"/>
  <c r="G42" i="9"/>
  <c r="F42" i="9"/>
  <c r="G41" i="9"/>
  <c r="F41" i="9"/>
  <c r="G40" i="9"/>
  <c r="F40" i="9"/>
  <c r="E40" i="9"/>
  <c r="D40" i="9"/>
  <c r="C40" i="9"/>
  <c r="E39" i="9"/>
  <c r="D39" i="9"/>
  <c r="C39" i="9"/>
  <c r="G37" i="9"/>
  <c r="F37" i="9"/>
  <c r="E37" i="9"/>
  <c r="D37" i="9"/>
  <c r="C37" i="9"/>
  <c r="E36" i="9"/>
  <c r="D36" i="9"/>
  <c r="G36" i="9" s="1"/>
  <c r="C36" i="9"/>
  <c r="E35" i="9"/>
  <c r="D35" i="9"/>
  <c r="C35" i="9"/>
  <c r="F35" i="9" s="1"/>
  <c r="F34" i="9"/>
  <c r="E34" i="9"/>
  <c r="D34" i="9"/>
  <c r="G34" i="9" s="1"/>
  <c r="C34" i="9"/>
  <c r="B33" i="9"/>
  <c r="E32" i="9"/>
  <c r="D32" i="9"/>
  <c r="G32" i="9" s="1"/>
  <c r="C32" i="9"/>
  <c r="F31" i="9"/>
  <c r="E31" i="9"/>
  <c r="D31" i="9"/>
  <c r="G31" i="9" s="1"/>
  <c r="C31" i="9"/>
  <c r="G30" i="9"/>
  <c r="E30" i="9"/>
  <c r="D30" i="9"/>
  <c r="C30" i="9"/>
  <c r="F30" i="9" s="1"/>
  <c r="G29" i="9"/>
  <c r="E29" i="9"/>
  <c r="D29" i="9"/>
  <c r="C29" i="9"/>
  <c r="F29" i="9" s="1"/>
  <c r="E28" i="9"/>
  <c r="D28" i="9"/>
  <c r="B28" i="9"/>
  <c r="B112" i="9" s="1"/>
  <c r="B27" i="9"/>
  <c r="E26" i="9"/>
  <c r="D26" i="9"/>
  <c r="G26" i="9" s="1"/>
  <c r="C26" i="9"/>
  <c r="F26" i="9" s="1"/>
  <c r="F25" i="9"/>
  <c r="E25" i="9"/>
  <c r="D25" i="9"/>
  <c r="C25" i="9"/>
  <c r="G24" i="9"/>
  <c r="E24" i="9"/>
  <c r="D24" i="9"/>
  <c r="C24" i="9"/>
  <c r="F24" i="9" s="1"/>
  <c r="G22" i="9"/>
  <c r="E22" i="9"/>
  <c r="D22" i="9"/>
  <c r="C22" i="9"/>
  <c r="F22" i="9" s="1"/>
  <c r="E21" i="9"/>
  <c r="D21" i="9"/>
  <c r="C21" i="9"/>
  <c r="G8" i="30" s="1"/>
  <c r="I8" i="30" s="1"/>
  <c r="G20" i="9"/>
  <c r="F20" i="9"/>
  <c r="E19" i="9"/>
  <c r="D19" i="9"/>
  <c r="G19" i="9" s="1"/>
  <c r="C19" i="9"/>
  <c r="F19" i="9" s="1"/>
  <c r="E18" i="9"/>
  <c r="G18" i="9" s="1"/>
  <c r="D18" i="9"/>
  <c r="F18" i="9" s="1"/>
  <c r="C18" i="9"/>
  <c r="F17" i="9"/>
  <c r="E17" i="9"/>
  <c r="D17" i="9"/>
  <c r="C17" i="9"/>
  <c r="G16" i="9"/>
  <c r="F16" i="9"/>
  <c r="E15" i="9"/>
  <c r="D15" i="9"/>
  <c r="C15" i="9"/>
  <c r="E14" i="9"/>
  <c r="D14" i="9"/>
  <c r="C14" i="9"/>
  <c r="A12" i="9"/>
  <c r="B10" i="9"/>
  <c r="G8" i="19" s="1"/>
  <c r="B115" i="8"/>
  <c r="B110" i="8"/>
  <c r="B109" i="8"/>
  <c r="E108" i="8"/>
  <c r="D108" i="8"/>
  <c r="B108" i="8"/>
  <c r="B107" i="8"/>
  <c r="E106" i="8"/>
  <c r="D106" i="8"/>
  <c r="D100" i="8"/>
  <c r="E97" i="8"/>
  <c r="D97" i="8"/>
  <c r="G97" i="8" s="1"/>
  <c r="C97" i="8"/>
  <c r="F97" i="8" s="1"/>
  <c r="G95" i="8"/>
  <c r="E95" i="8"/>
  <c r="D95" i="8"/>
  <c r="F95" i="8" s="1"/>
  <c r="C95" i="8"/>
  <c r="G94" i="8"/>
  <c r="F94" i="8"/>
  <c r="G93" i="8"/>
  <c r="F93" i="8"/>
  <c r="E93" i="8"/>
  <c r="D93" i="8"/>
  <c r="C93" i="8"/>
  <c r="G92" i="8"/>
  <c r="F92" i="8"/>
  <c r="E90" i="8"/>
  <c r="D90" i="8"/>
  <c r="C90" i="8"/>
  <c r="E89" i="8"/>
  <c r="D89" i="8"/>
  <c r="G89" i="8" s="1"/>
  <c r="C89" i="8"/>
  <c r="F89" i="8" s="1"/>
  <c r="F88" i="8"/>
  <c r="E88" i="8"/>
  <c r="D88" i="8"/>
  <c r="C88" i="8"/>
  <c r="G87" i="8"/>
  <c r="E87" i="8"/>
  <c r="D87" i="8"/>
  <c r="C87" i="8"/>
  <c r="B86" i="8"/>
  <c r="B117" i="8" s="1"/>
  <c r="F85" i="8"/>
  <c r="E85" i="8"/>
  <c r="G85" i="8" s="1"/>
  <c r="D85" i="8"/>
  <c r="C85" i="8"/>
  <c r="G84" i="8"/>
  <c r="E84" i="8"/>
  <c r="D84" i="8"/>
  <c r="C84" i="8"/>
  <c r="F84" i="8" s="1"/>
  <c r="G83" i="8"/>
  <c r="E83" i="8"/>
  <c r="D83" i="8"/>
  <c r="C83" i="8"/>
  <c r="F83" i="8" s="1"/>
  <c r="E82" i="8"/>
  <c r="D82" i="8"/>
  <c r="C82" i="8"/>
  <c r="F81" i="8"/>
  <c r="E81" i="8"/>
  <c r="E80" i="8" s="1"/>
  <c r="D81" i="8"/>
  <c r="G81" i="8" s="1"/>
  <c r="C81" i="8"/>
  <c r="C80" i="8"/>
  <c r="B80" i="8"/>
  <c r="E79" i="8"/>
  <c r="E75" i="8" s="1"/>
  <c r="D79" i="8"/>
  <c r="C79" i="8"/>
  <c r="F78" i="8"/>
  <c r="E78" i="8"/>
  <c r="D78" i="8"/>
  <c r="G78" i="8" s="1"/>
  <c r="C78" i="8"/>
  <c r="G77" i="8"/>
  <c r="F77" i="8"/>
  <c r="E77" i="8"/>
  <c r="D77" i="8"/>
  <c r="C77" i="8"/>
  <c r="E76" i="8"/>
  <c r="D76" i="8"/>
  <c r="C76" i="8"/>
  <c r="B75" i="8"/>
  <c r="B74" i="8" s="1"/>
  <c r="E73" i="8"/>
  <c r="D73" i="8"/>
  <c r="C73" i="8"/>
  <c r="F72" i="8"/>
  <c r="E72" i="8"/>
  <c r="D72" i="8"/>
  <c r="G72" i="8" s="1"/>
  <c r="C72" i="8"/>
  <c r="B106" i="8" s="1"/>
  <c r="G71" i="8"/>
  <c r="F71" i="8"/>
  <c r="E71" i="8"/>
  <c r="D71" i="8"/>
  <c r="C71" i="8"/>
  <c r="G70" i="8"/>
  <c r="F70" i="8"/>
  <c r="E68" i="8"/>
  <c r="D68" i="8"/>
  <c r="G68" i="8" s="1"/>
  <c r="C68" i="8"/>
  <c r="E67" i="8"/>
  <c r="D67" i="8"/>
  <c r="C67" i="8"/>
  <c r="F67" i="8" s="1"/>
  <c r="E65" i="8"/>
  <c r="D65" i="8"/>
  <c r="C65" i="8"/>
  <c r="E64" i="8"/>
  <c r="G64" i="8" s="1"/>
  <c r="D64" i="8"/>
  <c r="C64" i="8"/>
  <c r="F64" i="8" s="1"/>
  <c r="E63" i="8"/>
  <c r="E66" i="8" s="1"/>
  <c r="B63" i="8"/>
  <c r="B66" i="8" s="1"/>
  <c r="E62" i="8"/>
  <c r="D62" i="8"/>
  <c r="C62" i="8"/>
  <c r="E61" i="8"/>
  <c r="D61" i="8"/>
  <c r="G61" i="8" s="1"/>
  <c r="C61" i="8"/>
  <c r="F61" i="8" s="1"/>
  <c r="F60" i="8"/>
  <c r="E60" i="8"/>
  <c r="D60" i="8"/>
  <c r="C60" i="8"/>
  <c r="G59" i="8"/>
  <c r="E59" i="8"/>
  <c r="D59" i="8"/>
  <c r="C59" i="8"/>
  <c r="F59" i="8" s="1"/>
  <c r="E58" i="8"/>
  <c r="E100" i="8" s="1"/>
  <c r="D58" i="8"/>
  <c r="C58" i="8"/>
  <c r="C100" i="8" s="1"/>
  <c r="B58" i="8"/>
  <c r="B100" i="8" s="1"/>
  <c r="F53" i="8"/>
  <c r="E53" i="8"/>
  <c r="D53" i="8"/>
  <c r="G53" i="8" s="1"/>
  <c r="C53" i="8"/>
  <c r="G52" i="8"/>
  <c r="E52" i="8"/>
  <c r="D52" i="8"/>
  <c r="C52" i="8"/>
  <c r="F52" i="8" s="1"/>
  <c r="F50" i="8"/>
  <c r="E50" i="8"/>
  <c r="D50" i="8"/>
  <c r="G50" i="8" s="1"/>
  <c r="C50" i="8"/>
  <c r="E48" i="8"/>
  <c r="G48" i="8" s="1"/>
  <c r="D48" i="8"/>
  <c r="C48" i="8"/>
  <c r="F48" i="8" s="1"/>
  <c r="G47" i="8"/>
  <c r="F47" i="8"/>
  <c r="G46" i="8"/>
  <c r="E46" i="8"/>
  <c r="D46" i="8"/>
  <c r="F46" i="8" s="1"/>
  <c r="C46" i="8"/>
  <c r="G45" i="8"/>
  <c r="F45" i="8"/>
  <c r="G44" i="8"/>
  <c r="F44" i="8"/>
  <c r="E44" i="8"/>
  <c r="D44" i="8"/>
  <c r="C44" i="8"/>
  <c r="G42" i="8"/>
  <c r="F42" i="8"/>
  <c r="G41" i="8"/>
  <c r="F41" i="8"/>
  <c r="F40" i="8"/>
  <c r="E40" i="8"/>
  <c r="D40" i="8"/>
  <c r="C40" i="8"/>
  <c r="G39" i="8"/>
  <c r="E39" i="8"/>
  <c r="D39" i="8"/>
  <c r="C39" i="8"/>
  <c r="F37" i="8"/>
  <c r="E37" i="8"/>
  <c r="D37" i="8"/>
  <c r="G37" i="8" s="1"/>
  <c r="C37" i="8"/>
  <c r="G36" i="8"/>
  <c r="E36" i="8"/>
  <c r="D36" i="8"/>
  <c r="C36" i="8"/>
  <c r="F36" i="8" s="1"/>
  <c r="E35" i="8"/>
  <c r="D35" i="8"/>
  <c r="C35" i="8"/>
  <c r="E34" i="8"/>
  <c r="D34" i="8"/>
  <c r="C34" i="8"/>
  <c r="E32" i="8"/>
  <c r="D32" i="8"/>
  <c r="F32" i="8" s="1"/>
  <c r="C32" i="8"/>
  <c r="E31" i="8"/>
  <c r="E28" i="8" s="1"/>
  <c r="E112" i="8" s="1"/>
  <c r="D31" i="8"/>
  <c r="C31" i="8"/>
  <c r="F30" i="8"/>
  <c r="E30" i="8"/>
  <c r="D30" i="8"/>
  <c r="G30" i="8" s="1"/>
  <c r="C30" i="8"/>
  <c r="G29" i="8"/>
  <c r="F29" i="8"/>
  <c r="E29" i="8"/>
  <c r="D29" i="8"/>
  <c r="C29" i="8"/>
  <c r="C28" i="8"/>
  <c r="B28" i="8"/>
  <c r="B112" i="8" s="1"/>
  <c r="B27" i="8"/>
  <c r="B33" i="8" s="1"/>
  <c r="G26" i="8"/>
  <c r="E26" i="8"/>
  <c r="D26" i="8"/>
  <c r="F26" i="8" s="1"/>
  <c r="C26" i="8"/>
  <c r="E25" i="8"/>
  <c r="D25" i="8"/>
  <c r="C25" i="8"/>
  <c r="F24" i="8"/>
  <c r="E24" i="8"/>
  <c r="D24" i="8"/>
  <c r="G24" i="8" s="1"/>
  <c r="C24" i="8"/>
  <c r="G22" i="8"/>
  <c r="E22" i="8"/>
  <c r="D22" i="8"/>
  <c r="C22" i="8"/>
  <c r="F22" i="8" s="1"/>
  <c r="E21" i="8"/>
  <c r="D21" i="8"/>
  <c r="C21" i="8"/>
  <c r="G20" i="8"/>
  <c r="F20" i="8"/>
  <c r="G19" i="8"/>
  <c r="E19" i="8"/>
  <c r="D19" i="8"/>
  <c r="C19" i="8"/>
  <c r="F19" i="8" s="1"/>
  <c r="G18" i="8"/>
  <c r="E18" i="8"/>
  <c r="D18" i="8"/>
  <c r="F18" i="8" s="1"/>
  <c r="C18" i="8"/>
  <c r="E17" i="8"/>
  <c r="E110" i="8" s="1"/>
  <c r="D17" i="8"/>
  <c r="C17" i="8"/>
  <c r="G16" i="8"/>
  <c r="F16" i="8"/>
  <c r="E15" i="8"/>
  <c r="D15" i="8"/>
  <c r="C15" i="8"/>
  <c r="E14" i="8"/>
  <c r="D14" i="8"/>
  <c r="C14" i="8"/>
  <c r="A12" i="8"/>
  <c r="B10" i="8"/>
  <c r="G7" i="19" s="1"/>
  <c r="B115" i="7"/>
  <c r="B110" i="7"/>
  <c r="B109" i="7"/>
  <c r="B108" i="7"/>
  <c r="B107" i="7"/>
  <c r="D106" i="7"/>
  <c r="E97" i="7"/>
  <c r="D97" i="7"/>
  <c r="G97" i="7" s="1"/>
  <c r="C97" i="7"/>
  <c r="F97" i="7" s="1"/>
  <c r="G95" i="7"/>
  <c r="F95" i="7"/>
  <c r="E95" i="7"/>
  <c r="D95" i="7"/>
  <c r="C95" i="7"/>
  <c r="G94" i="7"/>
  <c r="F94" i="7"/>
  <c r="F93" i="7"/>
  <c r="E93" i="7"/>
  <c r="G93" i="7" s="1"/>
  <c r="D93" i="7"/>
  <c r="C93" i="7"/>
  <c r="G92" i="7"/>
  <c r="F92" i="7"/>
  <c r="G90" i="7"/>
  <c r="E90" i="7"/>
  <c r="D90" i="7"/>
  <c r="C90" i="7"/>
  <c r="F90" i="7" s="1"/>
  <c r="E89" i="7"/>
  <c r="D89" i="7"/>
  <c r="G89" i="7" s="1"/>
  <c r="C89" i="7"/>
  <c r="F89" i="7" s="1"/>
  <c r="G88" i="7"/>
  <c r="E88" i="7"/>
  <c r="D88" i="7"/>
  <c r="F88" i="7" s="1"/>
  <c r="C88" i="7"/>
  <c r="E87" i="7"/>
  <c r="D87" i="7"/>
  <c r="C87" i="7"/>
  <c r="C86" i="7"/>
  <c r="B86" i="7"/>
  <c r="B117" i="7" s="1"/>
  <c r="F85" i="7"/>
  <c r="E85" i="7"/>
  <c r="D85" i="7"/>
  <c r="C85" i="7"/>
  <c r="E84" i="7"/>
  <c r="D84" i="7"/>
  <c r="G84" i="7" s="1"/>
  <c r="C84" i="7"/>
  <c r="F84" i="7" s="1"/>
  <c r="G83" i="7"/>
  <c r="F83" i="7"/>
  <c r="E83" i="7"/>
  <c r="D83" i="7"/>
  <c r="C83" i="7"/>
  <c r="E82" i="7"/>
  <c r="E80" i="7" s="1"/>
  <c r="D82" i="7"/>
  <c r="C82" i="7"/>
  <c r="F82" i="7" s="1"/>
  <c r="G81" i="7"/>
  <c r="E81" i="7"/>
  <c r="D81" i="7"/>
  <c r="C81" i="7"/>
  <c r="F81" i="7" s="1"/>
  <c r="B80" i="7"/>
  <c r="E79" i="7"/>
  <c r="D79" i="7"/>
  <c r="G79" i="7" s="1"/>
  <c r="C79" i="7"/>
  <c r="G78" i="7"/>
  <c r="E78" i="7"/>
  <c r="D78" i="7"/>
  <c r="C78" i="7"/>
  <c r="F78" i="7" s="1"/>
  <c r="G77" i="7"/>
  <c r="F77" i="7"/>
  <c r="E77" i="7"/>
  <c r="D77" i="7"/>
  <c r="C77" i="7"/>
  <c r="E76" i="7"/>
  <c r="D76" i="7"/>
  <c r="C76" i="7"/>
  <c r="B75" i="7"/>
  <c r="E73" i="7"/>
  <c r="D73" i="7"/>
  <c r="G73" i="7" s="1"/>
  <c r="C73" i="7"/>
  <c r="G72" i="7"/>
  <c r="E72" i="7"/>
  <c r="D72" i="7"/>
  <c r="C72" i="7"/>
  <c r="B106" i="7" s="1"/>
  <c r="G71" i="7"/>
  <c r="F71" i="7"/>
  <c r="E71" i="7"/>
  <c r="D71" i="7"/>
  <c r="C71" i="7"/>
  <c r="G70" i="7"/>
  <c r="F70" i="7"/>
  <c r="E69" i="7"/>
  <c r="E68" i="7"/>
  <c r="D68" i="7"/>
  <c r="G68" i="7" s="1"/>
  <c r="C68" i="7"/>
  <c r="G67" i="7"/>
  <c r="F67" i="7"/>
  <c r="E67" i="7"/>
  <c r="D67" i="7"/>
  <c r="C67" i="7"/>
  <c r="E65" i="7"/>
  <c r="D65" i="7"/>
  <c r="C65" i="7"/>
  <c r="G64" i="7"/>
  <c r="F64" i="7"/>
  <c r="E64" i="7"/>
  <c r="D64" i="7"/>
  <c r="C64" i="7"/>
  <c r="B63" i="7"/>
  <c r="B66" i="7" s="1"/>
  <c r="E62" i="7"/>
  <c r="D62" i="7"/>
  <c r="C62" i="7"/>
  <c r="G61" i="7"/>
  <c r="F61" i="7"/>
  <c r="E61" i="7"/>
  <c r="D61" i="7"/>
  <c r="C61" i="7"/>
  <c r="F60" i="7"/>
  <c r="E60" i="7"/>
  <c r="E63" i="7" s="1"/>
  <c r="E66" i="7" s="1"/>
  <c r="E114" i="7" s="1"/>
  <c r="D60" i="7"/>
  <c r="C60" i="7"/>
  <c r="E59" i="7"/>
  <c r="D59" i="7"/>
  <c r="G59" i="7" s="1"/>
  <c r="C59" i="7"/>
  <c r="F59" i="7" s="1"/>
  <c r="E58" i="7"/>
  <c r="E100" i="7" s="1"/>
  <c r="D58" i="7"/>
  <c r="D100" i="7" s="1"/>
  <c r="C58" i="7"/>
  <c r="C100" i="7" s="1"/>
  <c r="B58" i="7"/>
  <c r="B100" i="7" s="1"/>
  <c r="F53" i="7"/>
  <c r="E53" i="7"/>
  <c r="D53" i="7"/>
  <c r="G53" i="7" s="1"/>
  <c r="C53" i="7"/>
  <c r="E52" i="7"/>
  <c r="D52" i="7"/>
  <c r="G52" i="7" s="1"/>
  <c r="C52" i="7"/>
  <c r="F52" i="7" s="1"/>
  <c r="F50" i="7"/>
  <c r="E50" i="7"/>
  <c r="D50" i="7"/>
  <c r="G50" i="7" s="1"/>
  <c r="C50" i="7"/>
  <c r="G48" i="7"/>
  <c r="F48" i="7"/>
  <c r="E48" i="7"/>
  <c r="D48" i="7"/>
  <c r="C48" i="7"/>
  <c r="G47" i="7"/>
  <c r="F47" i="7"/>
  <c r="G46" i="7"/>
  <c r="F46" i="7"/>
  <c r="E46" i="7"/>
  <c r="D46" i="7"/>
  <c r="C46" i="7"/>
  <c r="G45" i="7"/>
  <c r="F45" i="7"/>
  <c r="G44" i="7"/>
  <c r="F44" i="7"/>
  <c r="E44" i="7"/>
  <c r="D44" i="7"/>
  <c r="C44" i="7"/>
  <c r="G42" i="7"/>
  <c r="F42" i="7"/>
  <c r="G41" i="7"/>
  <c r="F41" i="7"/>
  <c r="F40" i="7"/>
  <c r="E40" i="7"/>
  <c r="D40" i="7"/>
  <c r="G40" i="7" s="1"/>
  <c r="C40" i="7"/>
  <c r="E39" i="7"/>
  <c r="E106" i="7" s="1"/>
  <c r="D39" i="7"/>
  <c r="G39" i="7" s="1"/>
  <c r="C39" i="7"/>
  <c r="F37" i="7"/>
  <c r="E37" i="7"/>
  <c r="D37" i="7"/>
  <c r="G37" i="7" s="1"/>
  <c r="C37" i="7"/>
  <c r="E36" i="7"/>
  <c r="D36" i="7"/>
  <c r="G36" i="7" s="1"/>
  <c r="C36" i="7"/>
  <c r="F36" i="7" s="1"/>
  <c r="G35" i="7"/>
  <c r="F35" i="7"/>
  <c r="E35" i="7"/>
  <c r="D35" i="7"/>
  <c r="C35" i="7"/>
  <c r="E34" i="7"/>
  <c r="D34" i="7"/>
  <c r="C34" i="7"/>
  <c r="F34" i="7" s="1"/>
  <c r="G32" i="7"/>
  <c r="F32" i="7"/>
  <c r="E32" i="7"/>
  <c r="D32" i="7"/>
  <c r="C32" i="7"/>
  <c r="E31" i="7"/>
  <c r="E28" i="7" s="1"/>
  <c r="D31" i="7"/>
  <c r="G31" i="7" s="1"/>
  <c r="C31" i="7"/>
  <c r="G30" i="7"/>
  <c r="E30" i="7"/>
  <c r="D30" i="7"/>
  <c r="C30" i="7"/>
  <c r="F30" i="7" s="1"/>
  <c r="G29" i="7"/>
  <c r="F29" i="7"/>
  <c r="E29" i="7"/>
  <c r="D29" i="7"/>
  <c r="C29" i="7"/>
  <c r="C28" i="7"/>
  <c r="B28" i="7"/>
  <c r="B112" i="7" s="1"/>
  <c r="B27" i="7"/>
  <c r="B33" i="7" s="1"/>
  <c r="G26" i="7"/>
  <c r="F26" i="7"/>
  <c r="E26" i="7"/>
  <c r="D26" i="7"/>
  <c r="C26" i="7"/>
  <c r="E25" i="7"/>
  <c r="D25" i="7"/>
  <c r="G25" i="7" s="1"/>
  <c r="C25" i="7"/>
  <c r="F25" i="7" s="1"/>
  <c r="G24" i="7"/>
  <c r="E24" i="7"/>
  <c r="D24" i="7"/>
  <c r="C24" i="7"/>
  <c r="F24" i="7" s="1"/>
  <c r="G22" i="7"/>
  <c r="F22" i="7"/>
  <c r="E22" i="7"/>
  <c r="D22" i="7"/>
  <c r="C22" i="7"/>
  <c r="E21" i="7"/>
  <c r="D21" i="7"/>
  <c r="C21" i="7"/>
  <c r="G20" i="7"/>
  <c r="F20" i="7"/>
  <c r="E19" i="7"/>
  <c r="D19" i="7"/>
  <c r="G19" i="7" s="1"/>
  <c r="C19" i="7"/>
  <c r="F19" i="7" s="1"/>
  <c r="G18" i="7"/>
  <c r="F18" i="7"/>
  <c r="E18" i="7"/>
  <c r="D18" i="7"/>
  <c r="C18" i="7"/>
  <c r="E17" i="7"/>
  <c r="D17" i="7"/>
  <c r="G17" i="7" s="1"/>
  <c r="C17" i="7"/>
  <c r="G16" i="7"/>
  <c r="F16" i="7"/>
  <c r="E15" i="7"/>
  <c r="D15" i="7"/>
  <c r="C15" i="7"/>
  <c r="E14" i="7"/>
  <c r="D14" i="7"/>
  <c r="C14" i="7"/>
  <c r="A12" i="7"/>
  <c r="B10" i="7"/>
  <c r="G6" i="19" s="1"/>
  <c r="B115" i="6"/>
  <c r="B112" i="6"/>
  <c r="D110" i="6"/>
  <c r="B110" i="6"/>
  <c r="B109" i="6"/>
  <c r="C108" i="6"/>
  <c r="B108" i="6"/>
  <c r="B107" i="6"/>
  <c r="D106" i="6"/>
  <c r="C106" i="6"/>
  <c r="B106" i="6"/>
  <c r="D100" i="6"/>
  <c r="C100" i="6"/>
  <c r="B100" i="6"/>
  <c r="E97" i="6"/>
  <c r="D97" i="6"/>
  <c r="G97" i="6" s="1"/>
  <c r="C97" i="6"/>
  <c r="F97" i="6" s="1"/>
  <c r="E95" i="6"/>
  <c r="D95" i="6"/>
  <c r="G95" i="6" s="1"/>
  <c r="C95" i="6"/>
  <c r="F95" i="6" s="1"/>
  <c r="G94" i="6"/>
  <c r="F94" i="6"/>
  <c r="E93" i="6"/>
  <c r="D93" i="6"/>
  <c r="G93" i="6" s="1"/>
  <c r="C93" i="6"/>
  <c r="F93" i="6" s="1"/>
  <c r="G92" i="6"/>
  <c r="F92" i="6"/>
  <c r="B91" i="6"/>
  <c r="B96" i="6" s="1"/>
  <c r="B98" i="6" s="1"/>
  <c r="G90" i="6"/>
  <c r="E90" i="6"/>
  <c r="D90" i="6"/>
  <c r="C90" i="6"/>
  <c r="F90" i="6" s="1"/>
  <c r="F89" i="6"/>
  <c r="E89" i="6"/>
  <c r="D89" i="6"/>
  <c r="G89" i="6" s="1"/>
  <c r="C89" i="6"/>
  <c r="E88" i="6"/>
  <c r="D88" i="6"/>
  <c r="G88" i="6" s="1"/>
  <c r="C88" i="6"/>
  <c r="G87" i="6"/>
  <c r="F87" i="6"/>
  <c r="E87" i="6"/>
  <c r="D87" i="6"/>
  <c r="C87" i="6"/>
  <c r="E86" i="6"/>
  <c r="D86" i="6"/>
  <c r="G86" i="6" s="1"/>
  <c r="B86" i="6"/>
  <c r="B117" i="6" s="1"/>
  <c r="E85" i="6"/>
  <c r="D85" i="6"/>
  <c r="G85" i="6" s="1"/>
  <c r="C85" i="6"/>
  <c r="F85" i="6" s="1"/>
  <c r="G84" i="6"/>
  <c r="F84" i="6"/>
  <c r="E84" i="6"/>
  <c r="F83" i="6"/>
  <c r="E83" i="6"/>
  <c r="G83" i="6" s="1"/>
  <c r="F82" i="6"/>
  <c r="E82" i="6"/>
  <c r="D82" i="6"/>
  <c r="G82" i="6" s="1"/>
  <c r="C82" i="6"/>
  <c r="F81" i="6"/>
  <c r="E81" i="6"/>
  <c r="G81" i="6" s="1"/>
  <c r="F80" i="6"/>
  <c r="E80" i="6"/>
  <c r="D80" i="6"/>
  <c r="C80" i="6"/>
  <c r="B80" i="6"/>
  <c r="B111" i="6" s="1"/>
  <c r="E79" i="6"/>
  <c r="D79" i="6"/>
  <c r="G79" i="6" s="1"/>
  <c r="C79" i="6"/>
  <c r="F79" i="6" s="1"/>
  <c r="G78" i="6"/>
  <c r="F78" i="6"/>
  <c r="E78" i="6"/>
  <c r="D78" i="6"/>
  <c r="C78" i="6"/>
  <c r="F77" i="6"/>
  <c r="E77" i="6"/>
  <c r="E75" i="6" s="1"/>
  <c r="D77" i="6"/>
  <c r="G77" i="6" s="1"/>
  <c r="C77" i="6"/>
  <c r="E76" i="6"/>
  <c r="D76" i="6"/>
  <c r="G76" i="6" s="1"/>
  <c r="C76" i="6"/>
  <c r="B75" i="6"/>
  <c r="B74" i="6" s="1"/>
  <c r="B116" i="6" s="1"/>
  <c r="E74" i="6"/>
  <c r="F73" i="6"/>
  <c r="E73" i="6"/>
  <c r="G73" i="6" s="1"/>
  <c r="G72" i="6"/>
  <c r="F72" i="6"/>
  <c r="E72" i="6"/>
  <c r="G71" i="6"/>
  <c r="E71" i="6"/>
  <c r="D71" i="6"/>
  <c r="C71" i="6"/>
  <c r="F71" i="6" s="1"/>
  <c r="G70" i="6"/>
  <c r="F70" i="6"/>
  <c r="G68" i="6"/>
  <c r="F68" i="6"/>
  <c r="E68" i="6"/>
  <c r="D68" i="6"/>
  <c r="C68" i="6"/>
  <c r="E67" i="6"/>
  <c r="D67" i="6"/>
  <c r="C67" i="6"/>
  <c r="G65" i="6"/>
  <c r="F65" i="6"/>
  <c r="E65" i="6"/>
  <c r="D65" i="6"/>
  <c r="C65" i="6"/>
  <c r="E64" i="6"/>
  <c r="D64" i="6"/>
  <c r="G64" i="6" s="1"/>
  <c r="C64" i="6"/>
  <c r="F64" i="6" s="1"/>
  <c r="B63" i="6"/>
  <c r="B66" i="6" s="1"/>
  <c r="F62" i="6"/>
  <c r="E62" i="6"/>
  <c r="E63" i="6" s="1"/>
  <c r="G61" i="6"/>
  <c r="E61" i="6"/>
  <c r="D61" i="6"/>
  <c r="C61" i="6"/>
  <c r="F61" i="6" s="1"/>
  <c r="F60" i="6"/>
  <c r="E60" i="6"/>
  <c r="G60" i="6" s="1"/>
  <c r="D60" i="6"/>
  <c r="D63" i="6" s="1"/>
  <c r="G63" i="6" s="1"/>
  <c r="C60" i="6"/>
  <c r="F59" i="6"/>
  <c r="E59" i="6"/>
  <c r="G59" i="6" s="1"/>
  <c r="E58" i="6"/>
  <c r="E100" i="6" s="1"/>
  <c r="D58" i="6"/>
  <c r="C58" i="6"/>
  <c r="B58" i="6"/>
  <c r="E53" i="6"/>
  <c r="D53" i="6"/>
  <c r="C53" i="6"/>
  <c r="F53" i="6" s="1"/>
  <c r="G52" i="6"/>
  <c r="E52" i="6"/>
  <c r="D52" i="6"/>
  <c r="C52" i="6"/>
  <c r="F52" i="6" s="1"/>
  <c r="E50" i="6"/>
  <c r="D50" i="6"/>
  <c r="G50" i="6" s="1"/>
  <c r="C50" i="6"/>
  <c r="F50" i="6" s="1"/>
  <c r="G48" i="6"/>
  <c r="F48" i="6"/>
  <c r="E48" i="6"/>
  <c r="D48" i="6"/>
  <c r="C48" i="6"/>
  <c r="G47" i="6"/>
  <c r="F47" i="6"/>
  <c r="G46" i="6"/>
  <c r="F46" i="6"/>
  <c r="E46" i="6"/>
  <c r="D46" i="6"/>
  <c r="C46" i="6"/>
  <c r="G45" i="6"/>
  <c r="F45" i="6"/>
  <c r="F44" i="6"/>
  <c r="E44" i="6"/>
  <c r="D44" i="6"/>
  <c r="C44" i="6"/>
  <c r="I5" i="31" s="1"/>
  <c r="G42" i="6"/>
  <c r="F42" i="6"/>
  <c r="G41" i="6"/>
  <c r="F41" i="6"/>
  <c r="E40" i="6"/>
  <c r="D40" i="6"/>
  <c r="C40" i="6"/>
  <c r="F40" i="6" s="1"/>
  <c r="G39" i="6"/>
  <c r="F39" i="6"/>
  <c r="E39" i="6"/>
  <c r="E106" i="6" s="1"/>
  <c r="E37" i="6"/>
  <c r="D37" i="6"/>
  <c r="G37" i="6" s="1"/>
  <c r="C37" i="6"/>
  <c r="F37" i="6" s="1"/>
  <c r="G36" i="6"/>
  <c r="F36" i="6"/>
  <c r="E36" i="6"/>
  <c r="E35" i="6"/>
  <c r="D35" i="6"/>
  <c r="D109" i="6" s="1"/>
  <c r="C35" i="6"/>
  <c r="G34" i="6"/>
  <c r="F34" i="6"/>
  <c r="E34" i="6"/>
  <c r="D34" i="6"/>
  <c r="C34" i="6"/>
  <c r="E32" i="6"/>
  <c r="D32" i="6"/>
  <c r="G32" i="6" s="1"/>
  <c r="C32" i="6"/>
  <c r="F32" i="6" s="1"/>
  <c r="G31" i="6"/>
  <c r="F31" i="6"/>
  <c r="E31" i="6"/>
  <c r="D31" i="6"/>
  <c r="C31" i="6"/>
  <c r="E30" i="6"/>
  <c r="D30" i="6"/>
  <c r="C30" i="6"/>
  <c r="F30" i="6" s="1"/>
  <c r="G29" i="6"/>
  <c r="E29" i="6"/>
  <c r="D29" i="6"/>
  <c r="C29" i="6"/>
  <c r="F29" i="6" s="1"/>
  <c r="E28" i="6"/>
  <c r="B28" i="6"/>
  <c r="E27" i="6"/>
  <c r="E33" i="6" s="1"/>
  <c r="E101" i="6" s="1"/>
  <c r="D27" i="6"/>
  <c r="B27" i="6"/>
  <c r="B33" i="6" s="1"/>
  <c r="E26" i="6"/>
  <c r="D26" i="6"/>
  <c r="G26" i="6" s="1"/>
  <c r="C26" i="6"/>
  <c r="F26" i="6" s="1"/>
  <c r="G25" i="6"/>
  <c r="F25" i="6"/>
  <c r="E25" i="6"/>
  <c r="D25" i="6"/>
  <c r="C25" i="6"/>
  <c r="E24" i="6"/>
  <c r="D24" i="6"/>
  <c r="G24" i="6" s="1"/>
  <c r="C24" i="6"/>
  <c r="F24" i="6" s="1"/>
  <c r="G22" i="6"/>
  <c r="E22" i="6"/>
  <c r="D22" i="6"/>
  <c r="C22" i="6"/>
  <c r="F22" i="6" s="1"/>
  <c r="G21" i="6"/>
  <c r="F21" i="6"/>
  <c r="E21" i="6"/>
  <c r="D21" i="6"/>
  <c r="H5" i="30" s="1"/>
  <c r="C21" i="6"/>
  <c r="G5" i="30" s="1"/>
  <c r="I5" i="30" s="1"/>
  <c r="G20" i="6"/>
  <c r="F20" i="6"/>
  <c r="F19" i="6"/>
  <c r="E19" i="6"/>
  <c r="D19" i="6"/>
  <c r="D108" i="6" s="1"/>
  <c r="C19" i="6"/>
  <c r="G18" i="6"/>
  <c r="E18" i="6"/>
  <c r="D18" i="6"/>
  <c r="C18" i="6"/>
  <c r="G17" i="6"/>
  <c r="F17" i="6"/>
  <c r="E17" i="6"/>
  <c r="D17" i="6"/>
  <c r="C17" i="6"/>
  <c r="G16" i="6"/>
  <c r="F16" i="6"/>
  <c r="G15" i="6"/>
  <c r="F15" i="6"/>
  <c r="E15" i="6"/>
  <c r="E14" i="6"/>
  <c r="D14" i="6"/>
  <c r="C14" i="6"/>
  <c r="A12" i="6"/>
  <c r="B10" i="6"/>
  <c r="G5" i="19" s="1"/>
  <c r="D115" i="1"/>
  <c r="C115" i="1"/>
  <c r="B115" i="1"/>
  <c r="D112" i="1"/>
  <c r="C110" i="1"/>
  <c r="B110" i="1"/>
  <c r="B109" i="1"/>
  <c r="E108" i="1"/>
  <c r="B108" i="1"/>
  <c r="B107" i="1"/>
  <c r="E106" i="1"/>
  <c r="D106" i="1"/>
  <c r="C106" i="1"/>
  <c r="B106" i="1"/>
  <c r="E100" i="1"/>
  <c r="D100" i="1"/>
  <c r="C100" i="1"/>
  <c r="E97" i="1"/>
  <c r="D97" i="1"/>
  <c r="C97" i="1"/>
  <c r="F95" i="1"/>
  <c r="E95" i="1"/>
  <c r="E88" i="5" s="1"/>
  <c r="D95" i="1"/>
  <c r="C95" i="1"/>
  <c r="G94" i="1"/>
  <c r="F94" i="1"/>
  <c r="F93" i="1"/>
  <c r="E93" i="1"/>
  <c r="D93" i="1"/>
  <c r="C93" i="1"/>
  <c r="C117" i="1" s="1"/>
  <c r="G92" i="1"/>
  <c r="F92" i="1"/>
  <c r="F90" i="1"/>
  <c r="E90" i="1"/>
  <c r="G90" i="1" s="1"/>
  <c r="F89" i="1"/>
  <c r="E89" i="1"/>
  <c r="G88" i="1"/>
  <c r="F88" i="1"/>
  <c r="E88" i="1"/>
  <c r="D88" i="1"/>
  <c r="C88" i="1"/>
  <c r="F87" i="1"/>
  <c r="E87" i="1"/>
  <c r="F86" i="1"/>
  <c r="D86" i="1"/>
  <c r="C86" i="1"/>
  <c r="B86" i="1"/>
  <c r="B117" i="1" s="1"/>
  <c r="F85" i="1"/>
  <c r="E85" i="1"/>
  <c r="E78" i="5" s="1"/>
  <c r="G84" i="1"/>
  <c r="F84" i="1"/>
  <c r="E84" i="1"/>
  <c r="G83" i="1"/>
  <c r="F83" i="1"/>
  <c r="F82" i="1"/>
  <c r="E82" i="1"/>
  <c r="E75" i="5" s="1"/>
  <c r="G81" i="1"/>
  <c r="F81" i="1"/>
  <c r="E81" i="1"/>
  <c r="E80" i="1"/>
  <c r="D80" i="1"/>
  <c r="C80" i="1"/>
  <c r="B80" i="1"/>
  <c r="B111" i="1" s="1"/>
  <c r="E79" i="1"/>
  <c r="D79" i="1"/>
  <c r="G79" i="1" s="1"/>
  <c r="C79" i="1"/>
  <c r="G78" i="1"/>
  <c r="F78" i="1"/>
  <c r="E78" i="1"/>
  <c r="D78" i="1"/>
  <c r="C78" i="1"/>
  <c r="E77" i="1"/>
  <c r="E75" i="1" s="1"/>
  <c r="D77" i="1"/>
  <c r="C77" i="1"/>
  <c r="G76" i="1"/>
  <c r="F76" i="1"/>
  <c r="E76" i="1"/>
  <c r="B75" i="1"/>
  <c r="B113" i="1" s="1"/>
  <c r="B74" i="1"/>
  <c r="G73" i="1"/>
  <c r="F73" i="1"/>
  <c r="E73" i="1"/>
  <c r="F72" i="1"/>
  <c r="E72" i="1"/>
  <c r="G72" i="1" s="1"/>
  <c r="F71" i="1"/>
  <c r="E71" i="1"/>
  <c r="G70" i="1"/>
  <c r="F70" i="1"/>
  <c r="G68" i="1"/>
  <c r="F68" i="1"/>
  <c r="E68" i="1"/>
  <c r="F67" i="1"/>
  <c r="E67" i="1"/>
  <c r="E65" i="1"/>
  <c r="D65" i="1"/>
  <c r="C65" i="1"/>
  <c r="G64" i="1"/>
  <c r="F64" i="1"/>
  <c r="E63" i="1"/>
  <c r="B63" i="1"/>
  <c r="B66" i="1" s="1"/>
  <c r="G62" i="1"/>
  <c r="E62" i="1"/>
  <c r="D62" i="1"/>
  <c r="C62" i="1"/>
  <c r="F62" i="1" s="1"/>
  <c r="G61" i="1"/>
  <c r="F61" i="1"/>
  <c r="E61" i="1"/>
  <c r="C61" i="1"/>
  <c r="E60" i="1"/>
  <c r="D60" i="1"/>
  <c r="C60" i="1"/>
  <c r="G59" i="1"/>
  <c r="F59" i="1"/>
  <c r="E59" i="1"/>
  <c r="E58" i="1"/>
  <c r="D58" i="1"/>
  <c r="C58" i="1"/>
  <c r="B58" i="1"/>
  <c r="B100" i="1" s="1"/>
  <c r="G53" i="1"/>
  <c r="F53" i="1"/>
  <c r="E53" i="1"/>
  <c r="D53" i="1"/>
  <c r="C53" i="1"/>
  <c r="G52" i="1"/>
  <c r="F52" i="1"/>
  <c r="E52" i="1"/>
  <c r="E45" i="5" s="1"/>
  <c r="D52" i="1"/>
  <c r="C52" i="1"/>
  <c r="G50" i="1"/>
  <c r="F50" i="1"/>
  <c r="E50" i="1"/>
  <c r="G48" i="1"/>
  <c r="E48" i="1"/>
  <c r="D48" i="1"/>
  <c r="C48" i="1"/>
  <c r="G47" i="1"/>
  <c r="F47" i="1"/>
  <c r="G46" i="1"/>
  <c r="F46" i="1"/>
  <c r="E46" i="1"/>
  <c r="D46" i="1"/>
  <c r="C46" i="1"/>
  <c r="G45" i="1"/>
  <c r="F45" i="1"/>
  <c r="G44" i="1"/>
  <c r="F44" i="1"/>
  <c r="E44" i="1"/>
  <c r="D44" i="1"/>
  <c r="C44" i="1"/>
  <c r="I4" i="31" s="1"/>
  <c r="G42" i="1"/>
  <c r="F42" i="1"/>
  <c r="G41" i="1"/>
  <c r="F41" i="1"/>
  <c r="G40" i="1"/>
  <c r="F40" i="1"/>
  <c r="E40" i="1"/>
  <c r="D40" i="1"/>
  <c r="C40" i="1"/>
  <c r="F39" i="1"/>
  <c r="E39" i="1"/>
  <c r="G39" i="1" s="1"/>
  <c r="F37" i="1"/>
  <c r="E37" i="1"/>
  <c r="E30" i="5" s="1"/>
  <c r="D37" i="1"/>
  <c r="G36" i="1"/>
  <c r="F36" i="1"/>
  <c r="E36" i="1"/>
  <c r="E35" i="1"/>
  <c r="D35" i="1"/>
  <c r="C35" i="1"/>
  <c r="G34" i="1"/>
  <c r="F34" i="1"/>
  <c r="E34" i="1"/>
  <c r="B33" i="1"/>
  <c r="B38" i="1" s="1"/>
  <c r="G32" i="1"/>
  <c r="E32" i="1"/>
  <c r="D32" i="1"/>
  <c r="C32" i="1"/>
  <c r="F32" i="1" s="1"/>
  <c r="G31" i="1"/>
  <c r="F31" i="1"/>
  <c r="E31" i="1"/>
  <c r="G30" i="1"/>
  <c r="F30" i="1"/>
  <c r="E30" i="1"/>
  <c r="F29" i="1"/>
  <c r="E29" i="1"/>
  <c r="G29" i="1" s="1"/>
  <c r="F28" i="1"/>
  <c r="D28" i="1"/>
  <c r="C28" i="1"/>
  <c r="B28" i="1"/>
  <c r="B112" i="1" s="1"/>
  <c r="B27" i="1"/>
  <c r="E26" i="1"/>
  <c r="D26" i="1"/>
  <c r="G26" i="1" s="1"/>
  <c r="C26" i="1"/>
  <c r="F26" i="1" s="1"/>
  <c r="G25" i="1"/>
  <c r="F25" i="1"/>
  <c r="E25" i="1"/>
  <c r="D25" i="1"/>
  <c r="C25" i="1"/>
  <c r="F24" i="1"/>
  <c r="E24" i="1"/>
  <c r="G24" i="1" s="1"/>
  <c r="D24" i="1"/>
  <c r="G23" i="1"/>
  <c r="F23" i="1"/>
  <c r="E22" i="1"/>
  <c r="E110" i="1" s="1"/>
  <c r="D22" i="1"/>
  <c r="G22" i="1" s="1"/>
  <c r="C22" i="1"/>
  <c r="G21" i="1"/>
  <c r="F21" i="1"/>
  <c r="E21" i="1"/>
  <c r="D21" i="1"/>
  <c r="H4" i="30" s="1"/>
  <c r="C21" i="1"/>
  <c r="G4" i="30" s="1"/>
  <c r="I4" i="30" s="1"/>
  <c r="G20" i="1"/>
  <c r="F20" i="1"/>
  <c r="G19" i="1"/>
  <c r="F19" i="1"/>
  <c r="E19" i="1"/>
  <c r="D19" i="1"/>
  <c r="C19" i="1"/>
  <c r="F18" i="1"/>
  <c r="E18" i="1"/>
  <c r="E27" i="1" s="1"/>
  <c r="D18" i="1"/>
  <c r="C18" i="1"/>
  <c r="G17" i="1"/>
  <c r="E17" i="1"/>
  <c r="D17" i="1"/>
  <c r="C17" i="1"/>
  <c r="G16" i="1"/>
  <c r="F16" i="1"/>
  <c r="G15" i="1"/>
  <c r="F15" i="1"/>
  <c r="E15" i="1"/>
  <c r="E14" i="1"/>
  <c r="D14" i="1"/>
  <c r="C14" i="1"/>
  <c r="A12" i="1"/>
  <c r="B10" i="1"/>
  <c r="G4" i="19" s="1"/>
  <c r="E39" i="15"/>
  <c r="C22" i="15"/>
  <c r="E21" i="15"/>
  <c r="D13" i="15"/>
  <c r="C20" i="16"/>
  <c r="B20" i="16"/>
  <c r="C11" i="16"/>
  <c r="B11" i="16"/>
  <c r="D108" i="5"/>
  <c r="E90" i="5"/>
  <c r="C90" i="5"/>
  <c r="B90" i="5"/>
  <c r="G88" i="5"/>
  <c r="F88" i="5"/>
  <c r="D88" i="5"/>
  <c r="C88" i="5"/>
  <c r="B88" i="5"/>
  <c r="F87" i="5"/>
  <c r="E87" i="5"/>
  <c r="D87" i="5"/>
  <c r="C87" i="5"/>
  <c r="B87" i="5"/>
  <c r="E86" i="5"/>
  <c r="D86" i="5"/>
  <c r="C86" i="5"/>
  <c r="B86" i="5"/>
  <c r="E28" i="15" s="1"/>
  <c r="G85" i="5"/>
  <c r="F85" i="5"/>
  <c r="E83" i="5"/>
  <c r="D83" i="5"/>
  <c r="G83" i="5" s="1"/>
  <c r="C83" i="5"/>
  <c r="F83" i="5" s="1"/>
  <c r="B83" i="5"/>
  <c r="F82" i="5"/>
  <c r="D82" i="5"/>
  <c r="C82" i="5"/>
  <c r="B82" i="5"/>
  <c r="G81" i="5"/>
  <c r="F81" i="5"/>
  <c r="E81" i="5"/>
  <c r="D81" i="5"/>
  <c r="C81" i="5"/>
  <c r="B81" i="5"/>
  <c r="E80" i="5"/>
  <c r="D80" i="5"/>
  <c r="C80" i="5"/>
  <c r="C79" i="5" s="1"/>
  <c r="B80" i="5"/>
  <c r="G78" i="5"/>
  <c r="F78" i="5"/>
  <c r="D78" i="5"/>
  <c r="C78" i="5"/>
  <c r="B78" i="5"/>
  <c r="G77" i="5"/>
  <c r="F77" i="5"/>
  <c r="E77" i="5"/>
  <c r="D37" i="15" s="1"/>
  <c r="D77" i="5"/>
  <c r="C37" i="15" s="1"/>
  <c r="C77" i="5"/>
  <c r="C39" i="15" s="1"/>
  <c r="B77" i="5"/>
  <c r="E76" i="5"/>
  <c r="D76" i="5"/>
  <c r="G76" i="5" s="1"/>
  <c r="C76" i="5"/>
  <c r="B76" i="5"/>
  <c r="D75" i="5"/>
  <c r="G75" i="5" s="1"/>
  <c r="C75" i="5"/>
  <c r="B75" i="5"/>
  <c r="G74" i="5"/>
  <c r="F74" i="5"/>
  <c r="E74" i="5"/>
  <c r="D74" i="5"/>
  <c r="C74" i="5"/>
  <c r="B74" i="5"/>
  <c r="G73" i="5"/>
  <c r="E73" i="5"/>
  <c r="D73" i="5"/>
  <c r="D12" i="15" s="1"/>
  <c r="B73" i="5"/>
  <c r="E72" i="5"/>
  <c r="D72" i="5"/>
  <c r="G72" i="5" s="1"/>
  <c r="B72" i="5"/>
  <c r="E71" i="5"/>
  <c r="D71" i="5"/>
  <c r="G71" i="5" s="1"/>
  <c r="C71" i="5"/>
  <c r="F71" i="5" s="1"/>
  <c r="B71" i="5"/>
  <c r="B68" i="5" s="1"/>
  <c r="E70" i="5"/>
  <c r="B70" i="5"/>
  <c r="G69" i="5"/>
  <c r="F69" i="5"/>
  <c r="E69" i="5"/>
  <c r="D69" i="5"/>
  <c r="C69" i="5"/>
  <c r="B69" i="5"/>
  <c r="E68" i="5"/>
  <c r="G66" i="5"/>
  <c r="F66" i="5"/>
  <c r="E66" i="5"/>
  <c r="D66" i="5"/>
  <c r="C66" i="5"/>
  <c r="C21" i="15" s="1"/>
  <c r="B66" i="5"/>
  <c r="F65" i="5"/>
  <c r="E65" i="5"/>
  <c r="D65" i="5"/>
  <c r="C65" i="5"/>
  <c r="B65" i="5"/>
  <c r="D64" i="5"/>
  <c r="C64" i="5"/>
  <c r="B64" i="5"/>
  <c r="G61" i="5"/>
  <c r="F61" i="5"/>
  <c r="E61" i="5"/>
  <c r="D21" i="16" s="1"/>
  <c r="D61" i="5"/>
  <c r="C61" i="5"/>
  <c r="B61" i="5"/>
  <c r="E31" i="15" s="1"/>
  <c r="F60" i="5"/>
  <c r="E60" i="5"/>
  <c r="D60" i="5"/>
  <c r="C60" i="5"/>
  <c r="C29" i="15" s="1"/>
  <c r="B60" i="5"/>
  <c r="C58" i="5"/>
  <c r="B58" i="5"/>
  <c r="G57" i="5"/>
  <c r="F57" i="5"/>
  <c r="E57" i="5"/>
  <c r="D57" i="5"/>
  <c r="C57" i="5"/>
  <c r="B57" i="5"/>
  <c r="E55" i="5"/>
  <c r="E56" i="5" s="1"/>
  <c r="D18" i="16" s="1"/>
  <c r="D55" i="5"/>
  <c r="C55" i="5"/>
  <c r="B55" i="5"/>
  <c r="G54" i="5"/>
  <c r="E54" i="5"/>
  <c r="D54" i="5"/>
  <c r="C54" i="5"/>
  <c r="F54" i="5" s="1"/>
  <c r="B54" i="5"/>
  <c r="E53" i="5"/>
  <c r="C53" i="5"/>
  <c r="B53" i="5"/>
  <c r="F52" i="5"/>
  <c r="E52" i="5"/>
  <c r="G52" i="5" s="1"/>
  <c r="D52" i="5"/>
  <c r="C52" i="5"/>
  <c r="B52" i="5"/>
  <c r="E51" i="5"/>
  <c r="E93" i="5" s="1"/>
  <c r="D51" i="5"/>
  <c r="D93" i="5" s="1"/>
  <c r="C51" i="5"/>
  <c r="C93" i="5" s="1"/>
  <c r="G46" i="5"/>
  <c r="E46" i="5"/>
  <c r="D46" i="5"/>
  <c r="C46" i="5"/>
  <c r="F46" i="5" s="1"/>
  <c r="B46" i="5"/>
  <c r="G45" i="5"/>
  <c r="F45" i="5"/>
  <c r="D45" i="5"/>
  <c r="C45" i="5"/>
  <c r="B45" i="5"/>
  <c r="E43" i="5"/>
  <c r="D43" i="5"/>
  <c r="C43" i="5"/>
  <c r="B43" i="5"/>
  <c r="E15" i="15" s="1"/>
  <c r="G41" i="5"/>
  <c r="E41" i="5"/>
  <c r="D41" i="5"/>
  <c r="B41" i="5"/>
  <c r="G40" i="5"/>
  <c r="F40" i="5"/>
  <c r="E40" i="5"/>
  <c r="D40" i="5"/>
  <c r="C40" i="5"/>
  <c r="B40" i="5"/>
  <c r="E39" i="5"/>
  <c r="D39" i="5"/>
  <c r="C39" i="5"/>
  <c r="F39" i="5" s="1"/>
  <c r="B39" i="5"/>
  <c r="G38" i="5"/>
  <c r="E38" i="5"/>
  <c r="D38" i="5"/>
  <c r="C38" i="5"/>
  <c r="B38" i="5"/>
  <c r="G37" i="5"/>
  <c r="F37" i="5"/>
  <c r="E37" i="5"/>
  <c r="D8" i="16" s="1"/>
  <c r="D37" i="5"/>
  <c r="C37" i="5"/>
  <c r="B37" i="5"/>
  <c r="E35" i="5"/>
  <c r="D35" i="5"/>
  <c r="G35" i="5" s="1"/>
  <c r="C35" i="5"/>
  <c r="B35" i="5"/>
  <c r="G34" i="5"/>
  <c r="E34" i="5"/>
  <c r="D34" i="5"/>
  <c r="C34" i="5"/>
  <c r="F34" i="5" s="1"/>
  <c r="B34" i="5"/>
  <c r="G33" i="5"/>
  <c r="F33" i="5"/>
  <c r="E33" i="5"/>
  <c r="D33" i="5"/>
  <c r="C33" i="5"/>
  <c r="B33" i="5"/>
  <c r="G32" i="5"/>
  <c r="F32" i="5"/>
  <c r="E32" i="5"/>
  <c r="D32" i="5"/>
  <c r="C32" i="5"/>
  <c r="C99" i="5" s="1"/>
  <c r="B32" i="5"/>
  <c r="L30" i="5"/>
  <c r="K30" i="5"/>
  <c r="J30" i="5"/>
  <c r="D30" i="5"/>
  <c r="G30" i="5" s="1"/>
  <c r="C30" i="5"/>
  <c r="B30" i="5"/>
  <c r="E29" i="5"/>
  <c r="D29" i="5"/>
  <c r="G29" i="5" s="1"/>
  <c r="C29" i="5"/>
  <c r="B29" i="5"/>
  <c r="E28" i="5"/>
  <c r="D28" i="5"/>
  <c r="B28" i="5"/>
  <c r="G27" i="5"/>
  <c r="F27" i="5"/>
  <c r="E27" i="5"/>
  <c r="D11" i="16" s="1"/>
  <c r="D27" i="5"/>
  <c r="C27" i="5"/>
  <c r="B27" i="5"/>
  <c r="F25" i="5"/>
  <c r="E25" i="5"/>
  <c r="D25" i="5"/>
  <c r="C25" i="5"/>
  <c r="B25" i="5"/>
  <c r="G24" i="5"/>
  <c r="F24" i="5"/>
  <c r="E24" i="5"/>
  <c r="E21" i="5" s="1"/>
  <c r="D24" i="5"/>
  <c r="D21" i="5" s="1"/>
  <c r="G21" i="5" s="1"/>
  <c r="C24" i="5"/>
  <c r="C21" i="5" s="1"/>
  <c r="B24" i="5"/>
  <c r="L23" i="5"/>
  <c r="K23" i="5"/>
  <c r="J23" i="5"/>
  <c r="G23" i="5"/>
  <c r="F23" i="5"/>
  <c r="E23" i="5"/>
  <c r="D23" i="5"/>
  <c r="C23" i="5"/>
  <c r="B23" i="5"/>
  <c r="K22" i="5"/>
  <c r="J22" i="5"/>
  <c r="G22" i="5"/>
  <c r="F22" i="5"/>
  <c r="E22" i="5"/>
  <c r="D22" i="5"/>
  <c r="C22" i="5"/>
  <c r="B22" i="5"/>
  <c r="B21" i="5"/>
  <c r="J19" i="5"/>
  <c r="J27" i="5" s="1"/>
  <c r="G19" i="5"/>
  <c r="F19" i="5"/>
  <c r="E19" i="5"/>
  <c r="D19" i="5"/>
  <c r="C19" i="5"/>
  <c r="B19" i="5"/>
  <c r="F18" i="5"/>
  <c r="E18" i="5"/>
  <c r="G18" i="5" s="1"/>
  <c r="D18" i="5"/>
  <c r="C18" i="5"/>
  <c r="B18" i="5"/>
  <c r="E17" i="5"/>
  <c r="D17" i="5"/>
  <c r="C17" i="5"/>
  <c r="B17" i="5"/>
  <c r="E20" i="15" s="1"/>
  <c r="G16" i="5"/>
  <c r="E16" i="5"/>
  <c r="D16" i="5"/>
  <c r="C16" i="5"/>
  <c r="F16" i="5" s="1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E13" i="5"/>
  <c r="D13" i="5"/>
  <c r="G13" i="5" s="1"/>
  <c r="C13" i="5"/>
  <c r="B13" i="5"/>
  <c r="G12" i="5"/>
  <c r="E12" i="5"/>
  <c r="D12" i="5"/>
  <c r="C12" i="5"/>
  <c r="F12" i="5" s="1"/>
  <c r="B12" i="5"/>
  <c r="G11" i="5"/>
  <c r="F11" i="5"/>
  <c r="E11" i="5"/>
  <c r="D11" i="5"/>
  <c r="C11" i="5"/>
  <c r="B11" i="5"/>
  <c r="E10" i="5"/>
  <c r="G10" i="5" s="1"/>
  <c r="D10" i="5"/>
  <c r="B10" i="5"/>
  <c r="E9" i="5"/>
  <c r="D9" i="5"/>
  <c r="C9" i="5"/>
  <c r="B9" i="5"/>
  <c r="G8" i="5"/>
  <c r="E8" i="5"/>
  <c r="D8" i="5"/>
  <c r="C8" i="5"/>
  <c r="B8" i="5"/>
  <c r="E7" i="5"/>
  <c r="D2" i="16" s="1"/>
  <c r="D7" i="5"/>
  <c r="D1" i="15" s="1"/>
  <c r="B7" i="5"/>
  <c r="E1" i="15" s="1"/>
  <c r="B3" i="5"/>
  <c r="G43" i="18"/>
  <c r="K42" i="18"/>
  <c r="J42" i="18"/>
  <c r="I42" i="18"/>
  <c r="H42" i="18"/>
  <c r="G42" i="18"/>
  <c r="F42" i="18"/>
  <c r="E42" i="18"/>
  <c r="D42" i="18"/>
  <c r="C42" i="18"/>
  <c r="B42" i="18"/>
  <c r="A42" i="18"/>
  <c r="K41" i="18"/>
  <c r="J41" i="18"/>
  <c r="I41" i="18"/>
  <c r="H41" i="18"/>
  <c r="G41" i="18"/>
  <c r="F41" i="18"/>
  <c r="E41" i="18"/>
  <c r="D41" i="18"/>
  <c r="C41" i="18"/>
  <c r="B41" i="18"/>
  <c r="A41" i="18"/>
  <c r="K40" i="18"/>
  <c r="J40" i="18"/>
  <c r="I40" i="18"/>
  <c r="H40" i="18"/>
  <c r="G40" i="18"/>
  <c r="F40" i="18"/>
  <c r="E40" i="18"/>
  <c r="D40" i="18"/>
  <c r="C40" i="18"/>
  <c r="B40" i="18"/>
  <c r="A40" i="18"/>
  <c r="K39" i="18"/>
  <c r="J39" i="18"/>
  <c r="I39" i="18"/>
  <c r="H39" i="18"/>
  <c r="G39" i="18"/>
  <c r="F39" i="18"/>
  <c r="E39" i="18"/>
  <c r="D39" i="18"/>
  <c r="C39" i="18"/>
  <c r="B39" i="18"/>
  <c r="A39" i="18"/>
  <c r="K38" i="18"/>
  <c r="J38" i="18"/>
  <c r="I38" i="18"/>
  <c r="H38" i="18"/>
  <c r="G38" i="18"/>
  <c r="F38" i="18"/>
  <c r="E38" i="18"/>
  <c r="D38" i="18"/>
  <c r="C38" i="18"/>
  <c r="B38" i="18"/>
  <c r="A38" i="18"/>
  <c r="B25" i="18"/>
  <c r="B24" i="18"/>
  <c r="B18" i="18"/>
  <c r="B16" i="18"/>
  <c r="B15" i="18"/>
  <c r="B14" i="18"/>
  <c r="B13" i="18"/>
  <c r="C11" i="18"/>
  <c r="B11" i="18"/>
  <c r="C9" i="18"/>
  <c r="B9" i="18"/>
  <c r="C8" i="18"/>
  <c r="B8" i="18"/>
  <c r="C7" i="18"/>
  <c r="C5" i="18"/>
  <c r="B5" i="18"/>
  <c r="C3" i="18"/>
  <c r="B129" i="65"/>
  <c r="E128" i="65"/>
  <c r="E130" i="65" s="1"/>
  <c r="E122" i="65"/>
  <c r="C121" i="65"/>
  <c r="B121" i="65"/>
  <c r="D120" i="65"/>
  <c r="B120" i="65"/>
  <c r="B119" i="65"/>
  <c r="D118" i="65"/>
  <c r="C118" i="65"/>
  <c r="B118" i="65"/>
  <c r="B117" i="65"/>
  <c r="B116" i="65"/>
  <c r="B115" i="65"/>
  <c r="C112" i="65"/>
  <c r="B112" i="65"/>
  <c r="B99" i="65"/>
  <c r="B97" i="65"/>
  <c r="B95" i="65"/>
  <c r="E94" i="65"/>
  <c r="D94" i="65"/>
  <c r="B89" i="65"/>
  <c r="G86" i="65"/>
  <c r="F86" i="65"/>
  <c r="E86" i="65"/>
  <c r="D86" i="65"/>
  <c r="C86" i="65"/>
  <c r="G85" i="65"/>
  <c r="F85" i="65"/>
  <c r="E85" i="65"/>
  <c r="E84" i="65" s="1"/>
  <c r="D125" i="65" s="1"/>
  <c r="D85" i="65"/>
  <c r="C85" i="65"/>
  <c r="D84" i="65"/>
  <c r="C84" i="65"/>
  <c r="B84" i="65"/>
  <c r="B77" i="65" s="1"/>
  <c r="B87" i="65" s="1"/>
  <c r="G83" i="65"/>
  <c r="F83" i="65"/>
  <c r="E83" i="65"/>
  <c r="D83" i="65"/>
  <c r="C83" i="65"/>
  <c r="F82" i="65"/>
  <c r="E82" i="65"/>
  <c r="E80" i="65" s="1"/>
  <c r="E97" i="65" s="1"/>
  <c r="D82" i="65"/>
  <c r="C82" i="65"/>
  <c r="E81" i="65"/>
  <c r="D81" i="65"/>
  <c r="C81" i="65"/>
  <c r="B80" i="65"/>
  <c r="G79" i="65"/>
  <c r="F79" i="65"/>
  <c r="E79" i="65"/>
  <c r="D79" i="65"/>
  <c r="C124" i="65" s="1"/>
  <c r="C79" i="65"/>
  <c r="B124" i="65" s="1"/>
  <c r="E78" i="65"/>
  <c r="D78" i="65"/>
  <c r="C78" i="65"/>
  <c r="G76" i="65"/>
  <c r="F76" i="65"/>
  <c r="E76" i="65"/>
  <c r="D76" i="65"/>
  <c r="C76" i="65"/>
  <c r="G75" i="65"/>
  <c r="F75" i="65"/>
  <c r="G74" i="65"/>
  <c r="F74" i="65"/>
  <c r="G73" i="65"/>
  <c r="F73" i="65"/>
  <c r="E73" i="65"/>
  <c r="D73" i="65"/>
  <c r="C73" i="65"/>
  <c r="G72" i="65"/>
  <c r="F72" i="65"/>
  <c r="G71" i="65"/>
  <c r="F71" i="65"/>
  <c r="E71" i="65"/>
  <c r="D71" i="65"/>
  <c r="C71" i="65"/>
  <c r="E67" i="65"/>
  <c r="B67" i="65"/>
  <c r="E66" i="65"/>
  <c r="D66" i="65"/>
  <c r="G66" i="65" s="1"/>
  <c r="C66" i="65"/>
  <c r="F66" i="65" s="1"/>
  <c r="G65" i="65"/>
  <c r="F65" i="65"/>
  <c r="E65" i="65"/>
  <c r="D65" i="65"/>
  <c r="C65" i="65"/>
  <c r="E64" i="65"/>
  <c r="D64" i="65"/>
  <c r="C64" i="65"/>
  <c r="G63" i="65"/>
  <c r="E63" i="65"/>
  <c r="D63" i="65"/>
  <c r="C63" i="65"/>
  <c r="G62" i="65"/>
  <c r="F62" i="65"/>
  <c r="B60" i="65"/>
  <c r="G59" i="65"/>
  <c r="F59" i="65"/>
  <c r="G58" i="65"/>
  <c r="F58" i="65"/>
  <c r="E58" i="65"/>
  <c r="D58" i="65"/>
  <c r="C58" i="65"/>
  <c r="G57" i="65"/>
  <c r="F57" i="65"/>
  <c r="E57" i="65"/>
  <c r="E60" i="65" s="1"/>
  <c r="E68" i="65" s="1"/>
  <c r="E90" i="65" s="1"/>
  <c r="D57" i="65"/>
  <c r="D60" i="65" s="1"/>
  <c r="C57" i="65"/>
  <c r="C60" i="65" s="1"/>
  <c r="G56" i="65"/>
  <c r="F56" i="65"/>
  <c r="E54" i="65"/>
  <c r="E69" i="65" s="1"/>
  <c r="B54" i="65"/>
  <c r="E53" i="65"/>
  <c r="D53" i="65"/>
  <c r="G53" i="65" s="1"/>
  <c r="C53" i="65"/>
  <c r="G52" i="65"/>
  <c r="F52" i="65"/>
  <c r="G51" i="65"/>
  <c r="F51" i="65"/>
  <c r="E50" i="65"/>
  <c r="B50" i="65"/>
  <c r="G49" i="65"/>
  <c r="E49" i="65"/>
  <c r="D49" i="65"/>
  <c r="C49" i="65"/>
  <c r="F49" i="65" s="1"/>
  <c r="G48" i="65"/>
  <c r="F48" i="65"/>
  <c r="E48" i="65"/>
  <c r="D48" i="65"/>
  <c r="C48" i="65"/>
  <c r="E47" i="65"/>
  <c r="D47" i="65"/>
  <c r="C47" i="65"/>
  <c r="C50" i="65" s="1"/>
  <c r="E45" i="65"/>
  <c r="E89" i="65" s="1"/>
  <c r="E112" i="65" s="1"/>
  <c r="D45" i="65"/>
  <c r="D89" i="65" s="1"/>
  <c r="D112" i="65" s="1"/>
  <c r="C45" i="65"/>
  <c r="C89" i="65" s="1"/>
  <c r="B45" i="65"/>
  <c r="E42" i="65"/>
  <c r="D42" i="65"/>
  <c r="G42" i="65" s="1"/>
  <c r="C42" i="65"/>
  <c r="G41" i="65"/>
  <c r="F41" i="65"/>
  <c r="E41" i="65"/>
  <c r="D41" i="65"/>
  <c r="C41" i="65"/>
  <c r="F40" i="65"/>
  <c r="E40" i="65"/>
  <c r="D40" i="65"/>
  <c r="C40" i="65"/>
  <c r="C117" i="65" s="1"/>
  <c r="G39" i="65"/>
  <c r="E39" i="65"/>
  <c r="D39" i="65"/>
  <c r="C39" i="65"/>
  <c r="F39" i="65" s="1"/>
  <c r="G36" i="65"/>
  <c r="F36" i="65"/>
  <c r="E36" i="65"/>
  <c r="D36" i="65"/>
  <c r="D129" i="65" s="1"/>
  <c r="C36" i="65"/>
  <c r="C129" i="65" s="1"/>
  <c r="G34" i="65"/>
  <c r="F34" i="65"/>
  <c r="G33" i="65"/>
  <c r="F33" i="65"/>
  <c r="E33" i="65"/>
  <c r="D33" i="65"/>
  <c r="D121" i="65" s="1"/>
  <c r="C33" i="65"/>
  <c r="G31" i="65"/>
  <c r="F31" i="65"/>
  <c r="E31" i="65"/>
  <c r="D31" i="65"/>
  <c r="C31" i="65"/>
  <c r="C120" i="65" s="1"/>
  <c r="E29" i="65"/>
  <c r="D29" i="65"/>
  <c r="D115" i="65" s="1"/>
  <c r="C29" i="65"/>
  <c r="F29" i="65" s="1"/>
  <c r="B27" i="65"/>
  <c r="E26" i="65"/>
  <c r="E27" i="65" s="1"/>
  <c r="D26" i="65"/>
  <c r="F26" i="65" s="1"/>
  <c r="C26" i="65"/>
  <c r="C116" i="65" s="1"/>
  <c r="G25" i="65"/>
  <c r="E25" i="65"/>
  <c r="D25" i="65"/>
  <c r="C25" i="65"/>
  <c r="B23" i="65"/>
  <c r="F22" i="65"/>
  <c r="E22" i="65"/>
  <c r="E23" i="65" s="1"/>
  <c r="D22" i="65"/>
  <c r="C22" i="65"/>
  <c r="G21" i="65"/>
  <c r="E21" i="65"/>
  <c r="D21" i="65"/>
  <c r="C21" i="65"/>
  <c r="E18" i="65"/>
  <c r="D18" i="65"/>
  <c r="G18" i="65" s="1"/>
  <c r="C18" i="65"/>
  <c r="C17" i="65"/>
  <c r="B17" i="65"/>
  <c r="G16" i="65"/>
  <c r="F16" i="65"/>
  <c r="G15" i="65"/>
  <c r="E15" i="65"/>
  <c r="E17" i="65" s="1"/>
  <c r="E19" i="65" s="1"/>
  <c r="D15" i="65"/>
  <c r="D17" i="65" s="1"/>
  <c r="C15" i="65"/>
  <c r="F15" i="65" s="1"/>
  <c r="E13" i="65"/>
  <c r="D13" i="65"/>
  <c r="C13" i="65"/>
  <c r="A11" i="65"/>
  <c r="B129" i="64"/>
  <c r="E128" i="64"/>
  <c r="E130" i="64" s="1"/>
  <c r="D124" i="64"/>
  <c r="D123" i="64"/>
  <c r="E122" i="64"/>
  <c r="B121" i="64"/>
  <c r="B120" i="64"/>
  <c r="D119" i="64"/>
  <c r="B119" i="64"/>
  <c r="D118" i="64"/>
  <c r="B118" i="64"/>
  <c r="C117" i="64"/>
  <c r="B117" i="64"/>
  <c r="D116" i="64"/>
  <c r="B116" i="64"/>
  <c r="B115" i="64"/>
  <c r="B101" i="64"/>
  <c r="B97" i="64"/>
  <c r="E89" i="64"/>
  <c r="E112" i="64" s="1"/>
  <c r="D89" i="64"/>
  <c r="D112" i="64" s="1"/>
  <c r="E86" i="64"/>
  <c r="E84" i="64" s="1"/>
  <c r="D86" i="64"/>
  <c r="C86" i="64"/>
  <c r="G85" i="64"/>
  <c r="E85" i="64"/>
  <c r="D85" i="64"/>
  <c r="C85" i="64"/>
  <c r="D84" i="64"/>
  <c r="B84" i="64"/>
  <c r="F83" i="64"/>
  <c r="E83" i="64"/>
  <c r="D83" i="64"/>
  <c r="C83" i="64"/>
  <c r="G82" i="64"/>
  <c r="E82" i="64"/>
  <c r="D82" i="64"/>
  <c r="C82" i="64"/>
  <c r="F82" i="64" s="1"/>
  <c r="G81" i="64"/>
  <c r="F81" i="64"/>
  <c r="E81" i="64"/>
  <c r="D81" i="64"/>
  <c r="C81" i="64"/>
  <c r="E80" i="64"/>
  <c r="E77" i="64" s="1"/>
  <c r="D80" i="64"/>
  <c r="C80" i="64"/>
  <c r="B80" i="64"/>
  <c r="G79" i="64"/>
  <c r="E79" i="64"/>
  <c r="D79" i="64"/>
  <c r="C79" i="64"/>
  <c r="C124" i="64" s="1"/>
  <c r="F78" i="64"/>
  <c r="E78" i="64"/>
  <c r="D78" i="64"/>
  <c r="C78" i="64"/>
  <c r="B77" i="64"/>
  <c r="B87" i="64" s="1"/>
  <c r="G76" i="64"/>
  <c r="E76" i="64"/>
  <c r="D76" i="64"/>
  <c r="C76" i="64"/>
  <c r="F76" i="64" s="1"/>
  <c r="G75" i="64"/>
  <c r="F75" i="64"/>
  <c r="G74" i="64"/>
  <c r="F74" i="64"/>
  <c r="E73" i="64"/>
  <c r="D73" i="64"/>
  <c r="G73" i="64" s="1"/>
  <c r="C73" i="64"/>
  <c r="G72" i="64"/>
  <c r="F72" i="64"/>
  <c r="G71" i="64"/>
  <c r="E71" i="64"/>
  <c r="D71" i="64"/>
  <c r="C71" i="64"/>
  <c r="F71" i="64" s="1"/>
  <c r="B67" i="64"/>
  <c r="G66" i="64"/>
  <c r="F66" i="64"/>
  <c r="E66" i="64"/>
  <c r="D66" i="64"/>
  <c r="C66" i="64"/>
  <c r="E65" i="64"/>
  <c r="D65" i="64"/>
  <c r="C65" i="64"/>
  <c r="F65" i="64" s="1"/>
  <c r="G64" i="64"/>
  <c r="F64" i="64"/>
  <c r="E64" i="64"/>
  <c r="D64" i="64"/>
  <c r="C64" i="64"/>
  <c r="E63" i="64"/>
  <c r="D63" i="64"/>
  <c r="D67" i="64" s="1"/>
  <c r="C63" i="64"/>
  <c r="F63" i="64" s="1"/>
  <c r="G62" i="64"/>
  <c r="F62" i="64"/>
  <c r="E60" i="64"/>
  <c r="D60" i="64"/>
  <c r="B60" i="64"/>
  <c r="G59" i="64"/>
  <c r="F59" i="64"/>
  <c r="F58" i="64"/>
  <c r="E58" i="64"/>
  <c r="D58" i="64"/>
  <c r="C58" i="64"/>
  <c r="G57" i="64"/>
  <c r="E57" i="64"/>
  <c r="D57" i="64"/>
  <c r="C57" i="64"/>
  <c r="G56" i="64"/>
  <c r="F56" i="64"/>
  <c r="B54" i="64"/>
  <c r="F53" i="64"/>
  <c r="E53" i="64"/>
  <c r="D53" i="64"/>
  <c r="G53" i="64" s="1"/>
  <c r="C53" i="64"/>
  <c r="G52" i="64"/>
  <c r="F52" i="64"/>
  <c r="G51" i="64"/>
  <c r="F51" i="64"/>
  <c r="E50" i="64"/>
  <c r="E54" i="64" s="1"/>
  <c r="B50" i="64"/>
  <c r="G49" i="64"/>
  <c r="E49" i="64"/>
  <c r="D49" i="64"/>
  <c r="C49" i="64"/>
  <c r="F49" i="64" s="1"/>
  <c r="E48" i="64"/>
  <c r="D48" i="64"/>
  <c r="G48" i="64" s="1"/>
  <c r="C48" i="64"/>
  <c r="F48" i="64" s="1"/>
  <c r="G47" i="64"/>
  <c r="F47" i="64"/>
  <c r="E47" i="64"/>
  <c r="D47" i="64"/>
  <c r="C47" i="64"/>
  <c r="E45" i="64"/>
  <c r="D45" i="64"/>
  <c r="C45" i="64"/>
  <c r="C89" i="64" s="1"/>
  <c r="C112" i="64" s="1"/>
  <c r="B45" i="64"/>
  <c r="B89" i="64" s="1"/>
  <c r="B112" i="64" s="1"/>
  <c r="E42" i="64"/>
  <c r="D42" i="64"/>
  <c r="G42" i="64" s="1"/>
  <c r="C42" i="64"/>
  <c r="E41" i="64"/>
  <c r="D41" i="64"/>
  <c r="C41" i="64"/>
  <c r="G40" i="64"/>
  <c r="F40" i="64"/>
  <c r="E40" i="64"/>
  <c r="D40" i="64"/>
  <c r="D117" i="64" s="1"/>
  <c r="C40" i="64"/>
  <c r="G39" i="64"/>
  <c r="E39" i="64"/>
  <c r="D39" i="64"/>
  <c r="C39" i="64"/>
  <c r="F39" i="64" s="1"/>
  <c r="E36" i="64"/>
  <c r="D36" i="64"/>
  <c r="G36" i="64" s="1"/>
  <c r="C36" i="64"/>
  <c r="G34" i="64"/>
  <c r="F34" i="64"/>
  <c r="G33" i="64"/>
  <c r="E33" i="64"/>
  <c r="D33" i="64"/>
  <c r="D121" i="64" s="1"/>
  <c r="C33" i="64"/>
  <c r="F33" i="64" s="1"/>
  <c r="E31" i="64"/>
  <c r="D31" i="64"/>
  <c r="C31" i="64"/>
  <c r="C120" i="64" s="1"/>
  <c r="F29" i="64"/>
  <c r="E29" i="64"/>
  <c r="G29" i="64" s="1"/>
  <c r="D29" i="64"/>
  <c r="D115" i="64" s="1"/>
  <c r="C29" i="64"/>
  <c r="C115" i="64" s="1"/>
  <c r="C27" i="64"/>
  <c r="F27" i="64" s="1"/>
  <c r="B27" i="64"/>
  <c r="G26" i="64"/>
  <c r="F26" i="64"/>
  <c r="E26" i="64"/>
  <c r="D26" i="64"/>
  <c r="C26" i="64"/>
  <c r="C116" i="64" s="1"/>
  <c r="F25" i="64"/>
  <c r="E25" i="64"/>
  <c r="E27" i="64" s="1"/>
  <c r="D25" i="64"/>
  <c r="D27" i="64" s="1"/>
  <c r="G27" i="64" s="1"/>
  <c r="C25" i="64"/>
  <c r="B23" i="64"/>
  <c r="G22" i="64"/>
  <c r="F22" i="64"/>
  <c r="E22" i="64"/>
  <c r="D22" i="64"/>
  <c r="C22" i="64"/>
  <c r="E21" i="64"/>
  <c r="E23" i="64" s="1"/>
  <c r="E99" i="64" s="1"/>
  <c r="D21" i="64"/>
  <c r="D23" i="64" s="1"/>
  <c r="C21" i="64"/>
  <c r="C23" i="64" s="1"/>
  <c r="F23" i="64" s="1"/>
  <c r="G18" i="64"/>
  <c r="F18" i="64"/>
  <c r="E18" i="64"/>
  <c r="D18" i="64"/>
  <c r="C18" i="64"/>
  <c r="B17" i="64"/>
  <c r="G16" i="64"/>
  <c r="F16" i="64"/>
  <c r="E15" i="64"/>
  <c r="E17" i="64" s="1"/>
  <c r="D15" i="64"/>
  <c r="G15" i="64" s="1"/>
  <c r="C15" i="64"/>
  <c r="C17" i="64" s="1"/>
  <c r="E13" i="64"/>
  <c r="D13" i="64"/>
  <c r="C13" i="64"/>
  <c r="A11" i="64"/>
  <c r="C129" i="63"/>
  <c r="B129" i="63"/>
  <c r="E122" i="63"/>
  <c r="E128" i="63" s="1"/>
  <c r="E130" i="63" s="1"/>
  <c r="B121" i="63"/>
  <c r="C120" i="63"/>
  <c r="B120" i="63"/>
  <c r="C119" i="63"/>
  <c r="B119" i="63"/>
  <c r="B118" i="63"/>
  <c r="B117" i="63"/>
  <c r="B116" i="63"/>
  <c r="B115" i="63"/>
  <c r="D97" i="63"/>
  <c r="D89" i="63"/>
  <c r="D112" i="63" s="1"/>
  <c r="E86" i="63"/>
  <c r="D86" i="63"/>
  <c r="C86" i="63"/>
  <c r="E85" i="63"/>
  <c r="D85" i="63"/>
  <c r="C85" i="63"/>
  <c r="B84" i="63"/>
  <c r="B77" i="63" s="1"/>
  <c r="G83" i="63"/>
  <c r="E83" i="63"/>
  <c r="D83" i="63"/>
  <c r="F83" i="63" s="1"/>
  <c r="C83" i="63"/>
  <c r="E82" i="63"/>
  <c r="D82" i="63"/>
  <c r="G82" i="63" s="1"/>
  <c r="C82" i="63"/>
  <c r="F82" i="63" s="1"/>
  <c r="G81" i="63"/>
  <c r="F81" i="63"/>
  <c r="E81" i="63"/>
  <c r="D81" i="63"/>
  <c r="C81" i="63"/>
  <c r="E80" i="63"/>
  <c r="D80" i="63"/>
  <c r="C80" i="63"/>
  <c r="B80" i="63"/>
  <c r="B97" i="63" s="1"/>
  <c r="E79" i="63"/>
  <c r="D79" i="63"/>
  <c r="D99" i="63" s="1"/>
  <c r="C79" i="63"/>
  <c r="G78" i="63"/>
  <c r="F78" i="63"/>
  <c r="E78" i="63"/>
  <c r="D78" i="63"/>
  <c r="C78" i="63"/>
  <c r="E76" i="63"/>
  <c r="D76" i="63"/>
  <c r="G76" i="63" s="1"/>
  <c r="C76" i="63"/>
  <c r="G75" i="63"/>
  <c r="F75" i="63"/>
  <c r="G74" i="63"/>
  <c r="F74" i="63"/>
  <c r="E73" i="63"/>
  <c r="D73" i="63"/>
  <c r="C73" i="63"/>
  <c r="G72" i="63"/>
  <c r="F72" i="63"/>
  <c r="E71" i="63"/>
  <c r="D71" i="63"/>
  <c r="G71" i="63" s="1"/>
  <c r="C71" i="63"/>
  <c r="B67" i="63"/>
  <c r="G66" i="63"/>
  <c r="E66" i="63"/>
  <c r="D66" i="63"/>
  <c r="C66" i="63"/>
  <c r="F66" i="63" s="1"/>
  <c r="F65" i="63"/>
  <c r="E65" i="63"/>
  <c r="D65" i="63"/>
  <c r="D67" i="63" s="1"/>
  <c r="C65" i="63"/>
  <c r="E64" i="63"/>
  <c r="D64" i="63"/>
  <c r="C64" i="63"/>
  <c r="F64" i="63" s="1"/>
  <c r="F63" i="63"/>
  <c r="E63" i="63"/>
  <c r="D63" i="63"/>
  <c r="C63" i="63"/>
  <c r="G62" i="63"/>
  <c r="F62" i="63"/>
  <c r="E60" i="63"/>
  <c r="D60" i="63"/>
  <c r="B60" i="63"/>
  <c r="G59" i="63"/>
  <c r="F59" i="63"/>
  <c r="F58" i="63"/>
  <c r="E58" i="63"/>
  <c r="D58" i="63"/>
  <c r="G58" i="63" s="1"/>
  <c r="C58" i="63"/>
  <c r="E57" i="63"/>
  <c r="D57" i="63"/>
  <c r="G57" i="63" s="1"/>
  <c r="C57" i="63"/>
  <c r="C60" i="63" s="1"/>
  <c r="G56" i="63"/>
  <c r="F56" i="63"/>
  <c r="G53" i="63"/>
  <c r="E53" i="63"/>
  <c r="D53" i="63"/>
  <c r="C53" i="63"/>
  <c r="F53" i="63" s="1"/>
  <c r="G52" i="63"/>
  <c r="F52" i="63"/>
  <c r="G51" i="63"/>
  <c r="F51" i="63"/>
  <c r="B50" i="63"/>
  <c r="B54" i="63" s="1"/>
  <c r="G49" i="63"/>
  <c r="F49" i="63"/>
  <c r="E49" i="63"/>
  <c r="D49" i="63"/>
  <c r="C49" i="63"/>
  <c r="E48" i="63"/>
  <c r="D48" i="63"/>
  <c r="C48" i="63"/>
  <c r="F48" i="63" s="1"/>
  <c r="G47" i="63"/>
  <c r="E47" i="63"/>
  <c r="D47" i="63"/>
  <c r="C47" i="63"/>
  <c r="F47" i="63" s="1"/>
  <c r="E45" i="63"/>
  <c r="E89" i="63" s="1"/>
  <c r="E112" i="63" s="1"/>
  <c r="D45" i="63"/>
  <c r="C45" i="63"/>
  <c r="C89" i="63" s="1"/>
  <c r="C112" i="63" s="1"/>
  <c r="B45" i="63"/>
  <c r="B89" i="63" s="1"/>
  <c r="B112" i="63" s="1"/>
  <c r="G42" i="63"/>
  <c r="F42" i="63"/>
  <c r="E42" i="63"/>
  <c r="D42" i="63"/>
  <c r="C42" i="63"/>
  <c r="E41" i="63"/>
  <c r="G41" i="63" s="1"/>
  <c r="D41" i="63"/>
  <c r="D118" i="63" s="1"/>
  <c r="C41" i="63"/>
  <c r="C118" i="63" s="1"/>
  <c r="E40" i="63"/>
  <c r="D40" i="63"/>
  <c r="C40" i="63"/>
  <c r="F39" i="63"/>
  <c r="E39" i="63"/>
  <c r="G39" i="63" s="1"/>
  <c r="D39" i="63"/>
  <c r="C39" i="63"/>
  <c r="G36" i="63"/>
  <c r="E36" i="63"/>
  <c r="D36" i="63"/>
  <c r="F36" i="63" s="1"/>
  <c r="C36" i="63"/>
  <c r="G34" i="63"/>
  <c r="F34" i="63"/>
  <c r="E33" i="63"/>
  <c r="D33" i="63"/>
  <c r="C33" i="63"/>
  <c r="C121" i="63" s="1"/>
  <c r="F31" i="63"/>
  <c r="E31" i="63"/>
  <c r="D31" i="63"/>
  <c r="D120" i="63" s="1"/>
  <c r="C31" i="63"/>
  <c r="E29" i="63"/>
  <c r="D29" i="63"/>
  <c r="C29" i="63"/>
  <c r="E27" i="63"/>
  <c r="B27" i="63"/>
  <c r="E26" i="63"/>
  <c r="D26" i="63"/>
  <c r="C26" i="63"/>
  <c r="G25" i="63"/>
  <c r="F25" i="63"/>
  <c r="E25" i="63"/>
  <c r="D25" i="63"/>
  <c r="C25" i="63"/>
  <c r="D23" i="63"/>
  <c r="D95" i="63" s="1"/>
  <c r="C23" i="63"/>
  <c r="F23" i="63" s="1"/>
  <c r="B23" i="63"/>
  <c r="E22" i="63"/>
  <c r="D22" i="63"/>
  <c r="G22" i="63" s="1"/>
  <c r="C22" i="63"/>
  <c r="G21" i="63"/>
  <c r="F21" i="63"/>
  <c r="E21" i="63"/>
  <c r="E23" i="63" s="1"/>
  <c r="E99" i="63" s="1"/>
  <c r="D21" i="63"/>
  <c r="C21" i="63"/>
  <c r="D19" i="63"/>
  <c r="D105" i="63" s="1"/>
  <c r="B19" i="63"/>
  <c r="E18" i="63"/>
  <c r="D18" i="63"/>
  <c r="C18" i="63"/>
  <c r="E17" i="63"/>
  <c r="E94" i="63" s="1"/>
  <c r="B17" i="63"/>
  <c r="B108" i="63" s="1"/>
  <c r="G16" i="63"/>
  <c r="F16" i="63"/>
  <c r="E15" i="63"/>
  <c r="G15" i="63" s="1"/>
  <c r="D15" i="63"/>
  <c r="D17" i="63" s="1"/>
  <c r="C15" i="63"/>
  <c r="C17" i="63" s="1"/>
  <c r="C108" i="63" s="1"/>
  <c r="E13" i="63"/>
  <c r="D13" i="63"/>
  <c r="C13" i="63"/>
  <c r="A11" i="63"/>
  <c r="B129" i="62"/>
  <c r="E128" i="62"/>
  <c r="E130" i="62" s="1"/>
  <c r="C124" i="62"/>
  <c r="B124" i="62"/>
  <c r="E122" i="62"/>
  <c r="D121" i="62"/>
  <c r="B121" i="62"/>
  <c r="B120" i="62"/>
  <c r="B119" i="62"/>
  <c r="B118" i="62"/>
  <c r="B117" i="62"/>
  <c r="C116" i="62"/>
  <c r="B116" i="62"/>
  <c r="D115" i="62"/>
  <c r="C115" i="62"/>
  <c r="B115" i="62"/>
  <c r="E112" i="62"/>
  <c r="D97" i="62"/>
  <c r="C97" i="62"/>
  <c r="C89" i="62"/>
  <c r="C112" i="62" s="1"/>
  <c r="E86" i="62"/>
  <c r="D86" i="62"/>
  <c r="G86" i="62" s="1"/>
  <c r="C86" i="62"/>
  <c r="F86" i="62" s="1"/>
  <c r="F85" i="62"/>
  <c r="E85" i="62"/>
  <c r="G85" i="62" s="1"/>
  <c r="D84" i="62"/>
  <c r="B84" i="62"/>
  <c r="F83" i="62"/>
  <c r="E83" i="62"/>
  <c r="G83" i="62" s="1"/>
  <c r="G82" i="62"/>
  <c r="F82" i="62"/>
  <c r="E82" i="62"/>
  <c r="G81" i="62"/>
  <c r="F81" i="62"/>
  <c r="E81" i="62"/>
  <c r="E80" i="62"/>
  <c r="D123" i="62" s="1"/>
  <c r="D80" i="62"/>
  <c r="C123" i="62" s="1"/>
  <c r="C80" i="62"/>
  <c r="B123" i="62" s="1"/>
  <c r="B80" i="62"/>
  <c r="F79" i="62"/>
  <c r="E79" i="62"/>
  <c r="G79" i="62" s="1"/>
  <c r="E78" i="62"/>
  <c r="D78" i="62"/>
  <c r="G78" i="62" s="1"/>
  <c r="C78" i="62"/>
  <c r="G76" i="62"/>
  <c r="F76" i="62"/>
  <c r="E76" i="62"/>
  <c r="G75" i="62"/>
  <c r="F75" i="62"/>
  <c r="G74" i="62"/>
  <c r="F74" i="62"/>
  <c r="F73" i="62"/>
  <c r="E73" i="62"/>
  <c r="G73" i="62" s="1"/>
  <c r="G72" i="62"/>
  <c r="F72" i="62"/>
  <c r="E71" i="62"/>
  <c r="G71" i="62" s="1"/>
  <c r="D71" i="62"/>
  <c r="C71" i="62"/>
  <c r="F71" i="62" s="1"/>
  <c r="B67" i="62"/>
  <c r="B126" i="62" s="1"/>
  <c r="G66" i="62"/>
  <c r="E66" i="62"/>
  <c r="D66" i="62"/>
  <c r="F66" i="62" s="1"/>
  <c r="C66" i="62"/>
  <c r="E65" i="62"/>
  <c r="D65" i="62"/>
  <c r="G65" i="62" s="1"/>
  <c r="C65" i="62"/>
  <c r="E64" i="62"/>
  <c r="D64" i="62"/>
  <c r="G64" i="62" s="1"/>
  <c r="C64" i="62"/>
  <c r="G63" i="62"/>
  <c r="F63" i="62"/>
  <c r="E63" i="62"/>
  <c r="E67" i="62" s="1"/>
  <c r="D63" i="62"/>
  <c r="C63" i="62"/>
  <c r="C67" i="62" s="1"/>
  <c r="G62" i="62"/>
  <c r="F62" i="62"/>
  <c r="E60" i="62"/>
  <c r="B60" i="62"/>
  <c r="B68" i="62" s="1"/>
  <c r="B90" i="62" s="1"/>
  <c r="G59" i="62"/>
  <c r="F59" i="62"/>
  <c r="F58" i="62"/>
  <c r="E58" i="62"/>
  <c r="D58" i="62"/>
  <c r="D60" i="62" s="1"/>
  <c r="C58" i="62"/>
  <c r="C60" i="62" s="1"/>
  <c r="F57" i="62"/>
  <c r="E57" i="62"/>
  <c r="G57" i="62" s="1"/>
  <c r="G56" i="62"/>
  <c r="F56" i="62"/>
  <c r="B54" i="62"/>
  <c r="F53" i="62"/>
  <c r="E53" i="62"/>
  <c r="D53" i="62"/>
  <c r="C53" i="62"/>
  <c r="G52" i="62"/>
  <c r="F52" i="62"/>
  <c r="G51" i="62"/>
  <c r="F51" i="62"/>
  <c r="B50" i="62"/>
  <c r="E49" i="62"/>
  <c r="D49" i="62"/>
  <c r="G49" i="62" s="1"/>
  <c r="C49" i="62"/>
  <c r="C50" i="62" s="1"/>
  <c r="E48" i="62"/>
  <c r="D48" i="62"/>
  <c r="C48" i="62"/>
  <c r="G47" i="62"/>
  <c r="F47" i="62"/>
  <c r="E47" i="62"/>
  <c r="E50" i="62" s="1"/>
  <c r="E45" i="62"/>
  <c r="E89" i="62" s="1"/>
  <c r="D45" i="62"/>
  <c r="D89" i="62" s="1"/>
  <c r="D112" i="62" s="1"/>
  <c r="C45" i="62"/>
  <c r="B45" i="62"/>
  <c r="B89" i="62" s="1"/>
  <c r="B112" i="62" s="1"/>
  <c r="E42" i="62"/>
  <c r="D42" i="62"/>
  <c r="G42" i="62" s="1"/>
  <c r="C42" i="62"/>
  <c r="F42" i="62" s="1"/>
  <c r="G41" i="62"/>
  <c r="E41" i="62"/>
  <c r="D41" i="62"/>
  <c r="D118" i="62" s="1"/>
  <c r="C41" i="62"/>
  <c r="C118" i="62" s="1"/>
  <c r="F40" i="62"/>
  <c r="E40" i="62"/>
  <c r="D40" i="62"/>
  <c r="D117" i="62" s="1"/>
  <c r="C40" i="62"/>
  <c r="C117" i="62" s="1"/>
  <c r="E39" i="62"/>
  <c r="G39" i="62" s="1"/>
  <c r="D39" i="62"/>
  <c r="C39" i="62"/>
  <c r="F39" i="62" s="1"/>
  <c r="E36" i="62"/>
  <c r="D36" i="62"/>
  <c r="G36" i="62" s="1"/>
  <c r="C36" i="62"/>
  <c r="C129" i="62" s="1"/>
  <c r="G34" i="62"/>
  <c r="F34" i="62"/>
  <c r="G33" i="62"/>
  <c r="F33" i="62"/>
  <c r="E33" i="62"/>
  <c r="D33" i="62"/>
  <c r="C33" i="62"/>
  <c r="C121" i="62" s="1"/>
  <c r="E31" i="62"/>
  <c r="D31" i="62"/>
  <c r="G31" i="62" s="1"/>
  <c r="C31" i="62"/>
  <c r="C120" i="62" s="1"/>
  <c r="F29" i="62"/>
  <c r="E29" i="62"/>
  <c r="G29" i="62" s="1"/>
  <c r="E27" i="62"/>
  <c r="B27" i="62"/>
  <c r="E26" i="62"/>
  <c r="D26" i="62"/>
  <c r="D27" i="62" s="1"/>
  <c r="C26" i="62"/>
  <c r="F25" i="62"/>
  <c r="E25" i="62"/>
  <c r="G25" i="62" s="1"/>
  <c r="D23" i="62"/>
  <c r="C23" i="62"/>
  <c r="F23" i="62" s="1"/>
  <c r="B23" i="62"/>
  <c r="B99" i="62" s="1"/>
  <c r="E22" i="62"/>
  <c r="D22" i="62"/>
  <c r="G22" i="62" s="1"/>
  <c r="C22" i="62"/>
  <c r="G21" i="62"/>
  <c r="F21" i="62"/>
  <c r="E21" i="62"/>
  <c r="E23" i="62" s="1"/>
  <c r="B19" i="62"/>
  <c r="B105" i="62" s="1"/>
  <c r="G18" i="62"/>
  <c r="E18" i="62"/>
  <c r="D18" i="62"/>
  <c r="F18" i="62" s="1"/>
  <c r="C18" i="62"/>
  <c r="D17" i="62"/>
  <c r="C17" i="62"/>
  <c r="C108" i="62" s="1"/>
  <c r="B17" i="62"/>
  <c r="B108" i="62" s="1"/>
  <c r="G16" i="62"/>
  <c r="F16" i="62"/>
  <c r="F15" i="62"/>
  <c r="E15" i="62"/>
  <c r="G15" i="62" s="1"/>
  <c r="E13" i="62"/>
  <c r="D13" i="62"/>
  <c r="C13" i="62"/>
  <c r="A11" i="62"/>
  <c r="D129" i="61"/>
  <c r="B129" i="61"/>
  <c r="E128" i="61"/>
  <c r="E130" i="61" s="1"/>
  <c r="D124" i="61"/>
  <c r="C124" i="61"/>
  <c r="B124" i="61"/>
  <c r="E122" i="61"/>
  <c r="B121" i="61"/>
  <c r="B120" i="61"/>
  <c r="D119" i="61"/>
  <c r="B119" i="61"/>
  <c r="B118" i="61"/>
  <c r="B117" i="61"/>
  <c r="B116" i="61"/>
  <c r="D115" i="61"/>
  <c r="C115" i="61"/>
  <c r="B115" i="61"/>
  <c r="E97" i="61"/>
  <c r="B97" i="61"/>
  <c r="E89" i="61"/>
  <c r="E112" i="61" s="1"/>
  <c r="F86" i="61"/>
  <c r="E86" i="61"/>
  <c r="F85" i="61"/>
  <c r="E85" i="61"/>
  <c r="G85" i="61" s="1"/>
  <c r="D84" i="61"/>
  <c r="C84" i="61"/>
  <c r="B84" i="61"/>
  <c r="F83" i="61"/>
  <c r="E83" i="61"/>
  <c r="G83" i="61" s="1"/>
  <c r="E82" i="61"/>
  <c r="D82" i="61"/>
  <c r="G82" i="61" s="1"/>
  <c r="C82" i="61"/>
  <c r="F81" i="61"/>
  <c r="E81" i="61"/>
  <c r="G81" i="61" s="1"/>
  <c r="E80" i="61"/>
  <c r="D80" i="61"/>
  <c r="C80" i="61"/>
  <c r="C97" i="61" s="1"/>
  <c r="B80" i="61"/>
  <c r="G79" i="61"/>
  <c r="F79" i="61"/>
  <c r="E79" i="61"/>
  <c r="F78" i="61"/>
  <c r="E78" i="61"/>
  <c r="D78" i="61"/>
  <c r="G78" i="61" s="1"/>
  <c r="B77" i="61"/>
  <c r="B101" i="61" s="1"/>
  <c r="G76" i="61"/>
  <c r="F76" i="61"/>
  <c r="E76" i="61"/>
  <c r="G75" i="61"/>
  <c r="F75" i="61"/>
  <c r="G74" i="61"/>
  <c r="F74" i="61"/>
  <c r="G73" i="61"/>
  <c r="F73" i="61"/>
  <c r="E73" i="61"/>
  <c r="G72" i="61"/>
  <c r="F72" i="61"/>
  <c r="E71" i="61"/>
  <c r="D71" i="61"/>
  <c r="G71" i="61" s="1"/>
  <c r="C71" i="61"/>
  <c r="F71" i="61" s="1"/>
  <c r="B67" i="61"/>
  <c r="F66" i="61"/>
  <c r="E66" i="61"/>
  <c r="G66" i="61" s="1"/>
  <c r="E65" i="61"/>
  <c r="D65" i="61"/>
  <c r="G65" i="61" s="1"/>
  <c r="C65" i="61"/>
  <c r="E64" i="61"/>
  <c r="G64" i="61" s="1"/>
  <c r="D64" i="61"/>
  <c r="C64" i="61"/>
  <c r="F64" i="61" s="1"/>
  <c r="F63" i="61"/>
  <c r="E63" i="61"/>
  <c r="E67" i="61" s="1"/>
  <c r="D63" i="61"/>
  <c r="C63" i="61"/>
  <c r="C95" i="61" s="1"/>
  <c r="G62" i="61"/>
  <c r="F62" i="61"/>
  <c r="B60" i="61"/>
  <c r="B68" i="61" s="1"/>
  <c r="G59" i="61"/>
  <c r="F59" i="61"/>
  <c r="E58" i="61"/>
  <c r="E60" i="61" s="1"/>
  <c r="D58" i="61"/>
  <c r="D60" i="61" s="1"/>
  <c r="C58" i="61"/>
  <c r="C60" i="61" s="1"/>
  <c r="G57" i="61"/>
  <c r="F57" i="61"/>
  <c r="E57" i="61"/>
  <c r="G56" i="61"/>
  <c r="F56" i="61"/>
  <c r="E53" i="61"/>
  <c r="D53" i="61"/>
  <c r="G53" i="61" s="1"/>
  <c r="C53" i="61"/>
  <c r="F53" i="61" s="1"/>
  <c r="G52" i="61"/>
  <c r="F52" i="61"/>
  <c r="G51" i="61"/>
  <c r="F51" i="61"/>
  <c r="B50" i="61"/>
  <c r="B54" i="61" s="1"/>
  <c r="B69" i="61" s="1"/>
  <c r="E49" i="61"/>
  <c r="D49" i="61"/>
  <c r="D50" i="61" s="1"/>
  <c r="C49" i="61"/>
  <c r="E48" i="61"/>
  <c r="G48" i="61" s="1"/>
  <c r="D48" i="61"/>
  <c r="C48" i="61"/>
  <c r="F47" i="61"/>
  <c r="E47" i="61"/>
  <c r="E45" i="61"/>
  <c r="D45" i="61"/>
  <c r="D89" i="61" s="1"/>
  <c r="D112" i="61" s="1"/>
  <c r="C45" i="61"/>
  <c r="C89" i="61" s="1"/>
  <c r="C112" i="61" s="1"/>
  <c r="B45" i="61"/>
  <c r="B89" i="61" s="1"/>
  <c r="B112" i="61" s="1"/>
  <c r="G42" i="61"/>
  <c r="E42" i="61"/>
  <c r="D42" i="61"/>
  <c r="C42" i="61"/>
  <c r="F42" i="61" s="1"/>
  <c r="G41" i="61"/>
  <c r="E41" i="61"/>
  <c r="D41" i="61"/>
  <c r="F41" i="61" s="1"/>
  <c r="C41" i="61"/>
  <c r="C118" i="61" s="1"/>
  <c r="E40" i="61"/>
  <c r="D40" i="61"/>
  <c r="C40" i="61"/>
  <c r="F40" i="61" s="1"/>
  <c r="G39" i="61"/>
  <c r="F39" i="61"/>
  <c r="E39" i="61"/>
  <c r="D39" i="61"/>
  <c r="C39" i="61"/>
  <c r="F36" i="61"/>
  <c r="E36" i="61"/>
  <c r="G36" i="61" s="1"/>
  <c r="D36" i="61"/>
  <c r="C36" i="61"/>
  <c r="C129" i="61" s="1"/>
  <c r="G34" i="61"/>
  <c r="F34" i="61"/>
  <c r="F33" i="61"/>
  <c r="E33" i="61"/>
  <c r="E27" i="66" s="1"/>
  <c r="G27" i="66" s="1"/>
  <c r="D33" i="61"/>
  <c r="D121" i="61" s="1"/>
  <c r="C33" i="61"/>
  <c r="C121" i="61" s="1"/>
  <c r="F31" i="61"/>
  <c r="E31" i="61"/>
  <c r="G31" i="61" s="1"/>
  <c r="D31" i="61"/>
  <c r="D120" i="61" s="1"/>
  <c r="C31" i="61"/>
  <c r="C120" i="61" s="1"/>
  <c r="G29" i="61"/>
  <c r="F29" i="61"/>
  <c r="E29" i="61"/>
  <c r="E27" i="61"/>
  <c r="D27" i="61"/>
  <c r="G27" i="61" s="1"/>
  <c r="B27" i="61"/>
  <c r="G26" i="61"/>
  <c r="E26" i="61"/>
  <c r="D26" i="61"/>
  <c r="D116" i="61" s="1"/>
  <c r="C26" i="61"/>
  <c r="C27" i="61" s="1"/>
  <c r="F27" i="61" s="1"/>
  <c r="G25" i="61"/>
  <c r="F25" i="61"/>
  <c r="E25" i="61"/>
  <c r="C23" i="61"/>
  <c r="C99" i="61" s="1"/>
  <c r="B23" i="61"/>
  <c r="F22" i="61"/>
  <c r="E22" i="61"/>
  <c r="G22" i="61" s="1"/>
  <c r="D22" i="61"/>
  <c r="D23" i="61" s="1"/>
  <c r="C22" i="61"/>
  <c r="F21" i="61"/>
  <c r="E21" i="61"/>
  <c r="C19" i="61"/>
  <c r="C105" i="61" s="1"/>
  <c r="G18" i="61"/>
  <c r="F18" i="61"/>
  <c r="E18" i="61"/>
  <c r="F17" i="61"/>
  <c r="D17" i="61"/>
  <c r="D19" i="61" s="1"/>
  <c r="C17" i="61"/>
  <c r="C108" i="61" s="1"/>
  <c r="B17" i="61"/>
  <c r="B19" i="61" s="1"/>
  <c r="G16" i="61"/>
  <c r="F16" i="61"/>
  <c r="G15" i="61"/>
  <c r="F15" i="61"/>
  <c r="E15" i="61"/>
  <c r="E17" i="61" s="1"/>
  <c r="E13" i="61"/>
  <c r="D13" i="61"/>
  <c r="C13" i="61"/>
  <c r="A11" i="61"/>
  <c r="E122" i="66"/>
  <c r="E124" i="66" s="1"/>
  <c r="E116" i="66"/>
  <c r="E106" i="66"/>
  <c r="D106" i="66"/>
  <c r="C83" i="66"/>
  <c r="C106" i="66" s="1"/>
  <c r="D80" i="66"/>
  <c r="C80" i="66"/>
  <c r="F80" i="66" s="1"/>
  <c r="B80" i="66"/>
  <c r="B78" i="66" s="1"/>
  <c r="E79" i="66"/>
  <c r="D79" i="66"/>
  <c r="G79" i="66" s="1"/>
  <c r="C79" i="66"/>
  <c r="F79" i="66" s="1"/>
  <c r="B79" i="66"/>
  <c r="D78" i="66"/>
  <c r="C78" i="66"/>
  <c r="G77" i="66"/>
  <c r="F77" i="66"/>
  <c r="E77" i="66"/>
  <c r="D77" i="66"/>
  <c r="C77" i="66"/>
  <c r="B77" i="66"/>
  <c r="G76" i="66"/>
  <c r="E76" i="66"/>
  <c r="D76" i="66"/>
  <c r="F76" i="66" s="1"/>
  <c r="C76" i="66"/>
  <c r="B76" i="66"/>
  <c r="E75" i="66"/>
  <c r="E74" i="66" s="1"/>
  <c r="D75" i="66"/>
  <c r="C75" i="66"/>
  <c r="F75" i="66" s="1"/>
  <c r="B75" i="66"/>
  <c r="B74" i="66" s="1"/>
  <c r="B91" i="66" s="1"/>
  <c r="C74" i="66"/>
  <c r="G73" i="66"/>
  <c r="F73" i="66"/>
  <c r="E73" i="66"/>
  <c r="D73" i="66"/>
  <c r="C73" i="66"/>
  <c r="B73" i="66"/>
  <c r="G72" i="66"/>
  <c r="E72" i="66"/>
  <c r="D72" i="66"/>
  <c r="C72" i="66"/>
  <c r="B72" i="66"/>
  <c r="E70" i="66"/>
  <c r="D70" i="66"/>
  <c r="G70" i="66" s="1"/>
  <c r="C70" i="66"/>
  <c r="F70" i="66" s="1"/>
  <c r="B70" i="66"/>
  <c r="G69" i="66"/>
  <c r="F69" i="66"/>
  <c r="E69" i="66"/>
  <c r="D69" i="66"/>
  <c r="C69" i="66"/>
  <c r="B69" i="66"/>
  <c r="G68" i="66"/>
  <c r="E68" i="66"/>
  <c r="D68" i="66"/>
  <c r="C68" i="66"/>
  <c r="B68" i="66"/>
  <c r="E67" i="66"/>
  <c r="D67" i="66"/>
  <c r="C67" i="66"/>
  <c r="B67" i="66"/>
  <c r="G66" i="66"/>
  <c r="E66" i="66"/>
  <c r="D66" i="66"/>
  <c r="C66" i="66"/>
  <c r="F66" i="66" s="1"/>
  <c r="B66" i="66"/>
  <c r="G65" i="66"/>
  <c r="E65" i="66"/>
  <c r="D65" i="66"/>
  <c r="B65" i="66"/>
  <c r="G60" i="66"/>
  <c r="E60" i="66"/>
  <c r="D60" i="66"/>
  <c r="C60" i="66"/>
  <c r="F60" i="66" s="1"/>
  <c r="B60" i="66"/>
  <c r="E59" i="66"/>
  <c r="D59" i="66"/>
  <c r="C59" i="66"/>
  <c r="F59" i="66" s="1"/>
  <c r="B59" i="66"/>
  <c r="G58" i="66"/>
  <c r="E58" i="66"/>
  <c r="D58" i="66"/>
  <c r="C58" i="66"/>
  <c r="F58" i="66" s="1"/>
  <c r="B58" i="66"/>
  <c r="F57" i="66"/>
  <c r="D57" i="66"/>
  <c r="C57" i="66"/>
  <c r="B57" i="66"/>
  <c r="B61" i="66" s="1"/>
  <c r="B120" i="66" s="1"/>
  <c r="E56" i="66"/>
  <c r="D56" i="66"/>
  <c r="D61" i="66" s="1"/>
  <c r="C56" i="66"/>
  <c r="C61" i="66" s="1"/>
  <c r="C120" i="66" s="1"/>
  <c r="B56" i="66"/>
  <c r="B54" i="66"/>
  <c r="G53" i="66"/>
  <c r="E53" i="66"/>
  <c r="D53" i="66"/>
  <c r="C53" i="66"/>
  <c r="F53" i="66" s="1"/>
  <c r="B53" i="66"/>
  <c r="E52" i="66"/>
  <c r="C52" i="66"/>
  <c r="B52" i="66"/>
  <c r="E51" i="66"/>
  <c r="D51" i="66"/>
  <c r="G51" i="66" s="1"/>
  <c r="C51" i="66"/>
  <c r="B51" i="66"/>
  <c r="E50" i="66"/>
  <c r="E54" i="66" s="1"/>
  <c r="D50" i="66"/>
  <c r="G50" i="66" s="1"/>
  <c r="C50" i="66"/>
  <c r="F50" i="66" s="1"/>
  <c r="B50" i="66"/>
  <c r="E47" i="66"/>
  <c r="C47" i="66"/>
  <c r="B47" i="66"/>
  <c r="G46" i="66"/>
  <c r="E46" i="66"/>
  <c r="D46" i="66"/>
  <c r="C46" i="66"/>
  <c r="F46" i="66" s="1"/>
  <c r="B46" i="66"/>
  <c r="E45" i="66"/>
  <c r="D45" i="66"/>
  <c r="C45" i="66"/>
  <c r="F45" i="66" s="1"/>
  <c r="B45" i="66"/>
  <c r="G43" i="66"/>
  <c r="E43" i="66"/>
  <c r="D43" i="66"/>
  <c r="B43" i="66"/>
  <c r="E42" i="66"/>
  <c r="D42" i="66"/>
  <c r="D31" i="43" s="1"/>
  <c r="C42" i="66"/>
  <c r="B42" i="66"/>
  <c r="D41" i="66"/>
  <c r="C41" i="66"/>
  <c r="F41" i="66" s="1"/>
  <c r="B41" i="66"/>
  <c r="B44" i="66" s="1"/>
  <c r="E39" i="66"/>
  <c r="E83" i="66" s="1"/>
  <c r="D39" i="66"/>
  <c r="D83" i="66" s="1"/>
  <c r="C39" i="66"/>
  <c r="B39" i="66"/>
  <c r="B83" i="66" s="1"/>
  <c r="B106" i="66" s="1"/>
  <c r="E36" i="66"/>
  <c r="D36" i="66"/>
  <c r="G36" i="66" s="1"/>
  <c r="C36" i="66"/>
  <c r="F36" i="66" s="1"/>
  <c r="B36" i="66"/>
  <c r="G35" i="66"/>
  <c r="E35" i="66"/>
  <c r="D35" i="66"/>
  <c r="D112" i="66" s="1"/>
  <c r="C35" i="66"/>
  <c r="B35" i="66"/>
  <c r="B112" i="66" s="1"/>
  <c r="G34" i="66"/>
  <c r="F34" i="66"/>
  <c r="E34" i="66"/>
  <c r="D34" i="66"/>
  <c r="D111" i="66" s="1"/>
  <c r="C34" i="66"/>
  <c r="C111" i="66" s="1"/>
  <c r="B34" i="66"/>
  <c r="B111" i="66" s="1"/>
  <c r="G33" i="66"/>
  <c r="E33" i="66"/>
  <c r="D33" i="66"/>
  <c r="C33" i="66"/>
  <c r="F33" i="66" s="1"/>
  <c r="B33" i="66"/>
  <c r="G30" i="66"/>
  <c r="E30" i="66"/>
  <c r="D30" i="66"/>
  <c r="C30" i="66"/>
  <c r="F30" i="66" s="1"/>
  <c r="B30" i="66"/>
  <c r="G28" i="66"/>
  <c r="E28" i="66"/>
  <c r="D28" i="66"/>
  <c r="C28" i="66"/>
  <c r="F28" i="66" s="1"/>
  <c r="B28" i="66"/>
  <c r="F27" i="66"/>
  <c r="D27" i="66"/>
  <c r="D115" i="66" s="1"/>
  <c r="C27" i="66"/>
  <c r="C115" i="66" s="1"/>
  <c r="B27" i="66"/>
  <c r="B115" i="66" s="1"/>
  <c r="E25" i="66"/>
  <c r="D25" i="66"/>
  <c r="D114" i="66" s="1"/>
  <c r="C25" i="66"/>
  <c r="C114" i="66" s="1"/>
  <c r="B25" i="66"/>
  <c r="B114" i="66" s="1"/>
  <c r="G23" i="66"/>
  <c r="F23" i="66"/>
  <c r="E23" i="66"/>
  <c r="D23" i="66"/>
  <c r="D109" i="66" s="1"/>
  <c r="C23" i="66"/>
  <c r="C109" i="66" s="1"/>
  <c r="B23" i="66"/>
  <c r="B109" i="66" s="1"/>
  <c r="E21" i="66"/>
  <c r="D21" i="66"/>
  <c r="G21" i="66" s="1"/>
  <c r="B21" i="66"/>
  <c r="G20" i="66"/>
  <c r="E20" i="66"/>
  <c r="D20" i="66"/>
  <c r="D110" i="66" s="1"/>
  <c r="C20" i="66"/>
  <c r="B20" i="66"/>
  <c r="B110" i="66" s="1"/>
  <c r="G19" i="66"/>
  <c r="F19" i="66"/>
  <c r="E19" i="66"/>
  <c r="D19" i="66"/>
  <c r="C19" i="66"/>
  <c r="B19" i="66"/>
  <c r="G17" i="66"/>
  <c r="D17" i="66"/>
  <c r="E16" i="66"/>
  <c r="E17" i="66" s="1"/>
  <c r="D16" i="66"/>
  <c r="G16" i="66" s="1"/>
  <c r="C16" i="66"/>
  <c r="F16" i="66" s="1"/>
  <c r="B16" i="66"/>
  <c r="G15" i="66"/>
  <c r="E15" i="66"/>
  <c r="D15" i="66"/>
  <c r="C15" i="66"/>
  <c r="B15" i="66"/>
  <c r="B17" i="66" s="1"/>
  <c r="B93" i="66" s="1"/>
  <c r="G12" i="66"/>
  <c r="E12" i="66"/>
  <c r="D12" i="66"/>
  <c r="C12" i="66"/>
  <c r="F12" i="66" s="1"/>
  <c r="B12" i="66"/>
  <c r="E11" i="66"/>
  <c r="D11" i="66"/>
  <c r="B11" i="66"/>
  <c r="G10" i="66"/>
  <c r="E10" i="66"/>
  <c r="D10" i="66"/>
  <c r="C10" i="66"/>
  <c r="B10" i="66"/>
  <c r="G9" i="66"/>
  <c r="F9" i="66"/>
  <c r="E9" i="66"/>
  <c r="D9" i="66"/>
  <c r="C9" i="66"/>
  <c r="B9" i="66"/>
  <c r="E7" i="66"/>
  <c r="D7" i="66"/>
  <c r="C7" i="66"/>
  <c r="B7" i="66"/>
  <c r="B3" i="66"/>
  <c r="K48" i="51"/>
  <c r="J48" i="51"/>
  <c r="I48" i="51"/>
  <c r="H48" i="51"/>
  <c r="G48" i="51"/>
  <c r="F48" i="51"/>
  <c r="E48" i="51"/>
  <c r="D48" i="51"/>
  <c r="C48" i="51"/>
  <c r="B48" i="51"/>
  <c r="A48" i="51"/>
  <c r="K47" i="51"/>
  <c r="J47" i="51"/>
  <c r="I47" i="51"/>
  <c r="H47" i="51"/>
  <c r="G47" i="51"/>
  <c r="F47" i="51"/>
  <c r="E47" i="51"/>
  <c r="D47" i="51"/>
  <c r="C47" i="51"/>
  <c r="B47" i="51"/>
  <c r="A47" i="51"/>
  <c r="K46" i="51"/>
  <c r="J46" i="51"/>
  <c r="I46" i="51"/>
  <c r="H46" i="51"/>
  <c r="G46" i="51"/>
  <c r="F46" i="51"/>
  <c r="E46" i="51"/>
  <c r="D46" i="51"/>
  <c r="C46" i="51"/>
  <c r="B46" i="51"/>
  <c r="A46" i="51"/>
  <c r="K45" i="51"/>
  <c r="J45" i="51"/>
  <c r="I45" i="51"/>
  <c r="H45" i="51"/>
  <c r="G45" i="51"/>
  <c r="F45" i="51"/>
  <c r="E45" i="51"/>
  <c r="D45" i="51"/>
  <c r="C45" i="51"/>
  <c r="B45" i="51"/>
  <c r="A45" i="51"/>
  <c r="K44" i="51"/>
  <c r="J44" i="51"/>
  <c r="I44" i="51"/>
  <c r="H44" i="51"/>
  <c r="G44" i="51"/>
  <c r="G49" i="51" s="1"/>
  <c r="F44" i="51"/>
  <c r="E44" i="51"/>
  <c r="D44" i="51"/>
  <c r="C44" i="51"/>
  <c r="B44" i="51"/>
  <c r="A44" i="51"/>
  <c r="C32" i="51"/>
  <c r="C28" i="51"/>
  <c r="C35" i="51" s="1"/>
  <c r="M23" i="51"/>
  <c r="F23" i="51"/>
  <c r="E23" i="51"/>
  <c r="D23" i="51"/>
  <c r="C23" i="51"/>
  <c r="B23" i="51"/>
  <c r="F22" i="51"/>
  <c r="E22" i="51"/>
  <c r="D22" i="51"/>
  <c r="C22" i="51"/>
  <c r="B22" i="51"/>
  <c r="F21" i="51"/>
  <c r="E21" i="51"/>
  <c r="D21" i="51"/>
  <c r="C21" i="51"/>
  <c r="B21" i="51"/>
  <c r="F20" i="51"/>
  <c r="E20" i="51"/>
  <c r="D20" i="51"/>
  <c r="C20" i="51"/>
  <c r="B20" i="51"/>
  <c r="F19" i="51"/>
  <c r="E19" i="51"/>
  <c r="D19" i="51"/>
  <c r="C19" i="51"/>
  <c r="B19" i="51"/>
  <c r="J18" i="51"/>
  <c r="F18" i="51"/>
  <c r="E18" i="51"/>
  <c r="D18" i="51"/>
  <c r="C18" i="51"/>
  <c r="B18" i="51"/>
  <c r="J17" i="51"/>
  <c r="F17" i="51"/>
  <c r="E17" i="51"/>
  <c r="D17" i="51"/>
  <c r="C17" i="51"/>
  <c r="B17" i="51"/>
  <c r="M16" i="51"/>
  <c r="F16" i="51"/>
  <c r="E16" i="51"/>
  <c r="D16" i="51"/>
  <c r="C16" i="51"/>
  <c r="B16" i="51"/>
  <c r="M15" i="51"/>
  <c r="F15" i="51"/>
  <c r="E15" i="51"/>
  <c r="D15" i="51"/>
  <c r="C15" i="51"/>
  <c r="B15" i="51"/>
  <c r="F14" i="51"/>
  <c r="E14" i="51"/>
  <c r="D14" i="51"/>
  <c r="C14" i="51"/>
  <c r="B14" i="51"/>
  <c r="F13" i="51"/>
  <c r="E13" i="51"/>
  <c r="D13" i="51"/>
  <c r="C13" i="51"/>
  <c r="B13" i="51"/>
  <c r="F12" i="51"/>
  <c r="E12" i="51"/>
  <c r="D12" i="51"/>
  <c r="C12" i="51"/>
  <c r="B12" i="51"/>
  <c r="F11" i="51"/>
  <c r="E11" i="51"/>
  <c r="D11" i="51"/>
  <c r="C11" i="51"/>
  <c r="B11" i="51"/>
  <c r="N10" i="51"/>
  <c r="J10" i="51"/>
  <c r="F10" i="51"/>
  <c r="E10" i="51"/>
  <c r="D10" i="51"/>
  <c r="C10" i="51"/>
  <c r="B10" i="51"/>
  <c r="J9" i="51"/>
  <c r="F9" i="51"/>
  <c r="E9" i="51"/>
  <c r="D9" i="51"/>
  <c r="C9" i="51"/>
  <c r="B9" i="51"/>
  <c r="M8" i="51"/>
  <c r="F8" i="51"/>
  <c r="E8" i="51"/>
  <c r="D8" i="51"/>
  <c r="C8" i="51"/>
  <c r="B8" i="51"/>
  <c r="M7" i="51"/>
  <c r="F7" i="51"/>
  <c r="E7" i="51"/>
  <c r="D7" i="51"/>
  <c r="C7" i="51"/>
  <c r="B7" i="51"/>
  <c r="F6" i="51"/>
  <c r="E6" i="51"/>
  <c r="D6" i="51"/>
  <c r="C6" i="51"/>
  <c r="B6" i="51"/>
  <c r="F5" i="51"/>
  <c r="E5" i="51"/>
  <c r="D5" i="51"/>
  <c r="C5" i="51"/>
  <c r="B5" i="51"/>
  <c r="F4" i="51"/>
  <c r="E4" i="51"/>
  <c r="D4" i="51"/>
  <c r="C4" i="51"/>
  <c r="B4" i="51"/>
  <c r="K39" i="48"/>
  <c r="J39" i="48"/>
  <c r="I39" i="48"/>
  <c r="H39" i="48"/>
  <c r="G39" i="48"/>
  <c r="F39" i="48"/>
  <c r="E39" i="48"/>
  <c r="D39" i="48"/>
  <c r="C39" i="48"/>
  <c r="B39" i="48"/>
  <c r="A39" i="48"/>
  <c r="K38" i="48"/>
  <c r="J38" i="48"/>
  <c r="I38" i="48"/>
  <c r="H38" i="48"/>
  <c r="G38" i="48"/>
  <c r="F38" i="48"/>
  <c r="E38" i="48"/>
  <c r="D38" i="48"/>
  <c r="C38" i="48"/>
  <c r="B38" i="48"/>
  <c r="A38" i="48"/>
  <c r="K37" i="48"/>
  <c r="J37" i="48"/>
  <c r="I37" i="48"/>
  <c r="H37" i="48"/>
  <c r="G37" i="48"/>
  <c r="F37" i="48"/>
  <c r="E37" i="48"/>
  <c r="D37" i="48"/>
  <c r="C37" i="48"/>
  <c r="B37" i="48"/>
  <c r="A37" i="48"/>
  <c r="K36" i="48"/>
  <c r="J36" i="48"/>
  <c r="I36" i="48"/>
  <c r="H36" i="48"/>
  <c r="G36" i="48"/>
  <c r="F36" i="48"/>
  <c r="E36" i="48"/>
  <c r="D36" i="48"/>
  <c r="C36" i="48"/>
  <c r="B36" i="48"/>
  <c r="A36" i="48"/>
  <c r="K35" i="48"/>
  <c r="J35" i="48"/>
  <c r="I35" i="48"/>
  <c r="H35" i="48"/>
  <c r="G35" i="48"/>
  <c r="G40" i="48" s="1"/>
  <c r="F35" i="48"/>
  <c r="E35" i="48"/>
  <c r="D35" i="48"/>
  <c r="C35" i="48"/>
  <c r="B35" i="48"/>
  <c r="A35" i="48"/>
  <c r="C23" i="48"/>
  <c r="N14" i="48"/>
  <c r="M14" i="48"/>
  <c r="G14" i="48"/>
  <c r="O13" i="48"/>
  <c r="L13" i="48"/>
  <c r="I13" i="48"/>
  <c r="H13" i="48"/>
  <c r="G13" i="48"/>
  <c r="D13" i="48"/>
  <c r="C13" i="48"/>
  <c r="B13" i="48"/>
  <c r="O12" i="48"/>
  <c r="L12" i="48"/>
  <c r="I12" i="48"/>
  <c r="H12" i="48"/>
  <c r="G12" i="48"/>
  <c r="D12" i="48"/>
  <c r="C12" i="48"/>
  <c r="B12" i="48"/>
  <c r="O11" i="48"/>
  <c r="L11" i="48"/>
  <c r="I11" i="48"/>
  <c r="H11" i="48"/>
  <c r="G11" i="48"/>
  <c r="D11" i="48"/>
  <c r="C11" i="48"/>
  <c r="B11" i="48"/>
  <c r="O10" i="48"/>
  <c r="L10" i="48"/>
  <c r="I10" i="48"/>
  <c r="H10" i="48"/>
  <c r="G10" i="48"/>
  <c r="E10" i="48"/>
  <c r="D10" i="48"/>
  <c r="C10" i="48"/>
  <c r="B10" i="48"/>
  <c r="O9" i="48"/>
  <c r="L9" i="48"/>
  <c r="I9" i="48"/>
  <c r="H9" i="48"/>
  <c r="G9" i="48"/>
  <c r="E9" i="48"/>
  <c r="D9" i="48"/>
  <c r="C9" i="48"/>
  <c r="B9" i="48"/>
  <c r="O8" i="48"/>
  <c r="L8" i="48"/>
  <c r="I8" i="48"/>
  <c r="H8" i="48"/>
  <c r="G8" i="48"/>
  <c r="E8" i="48"/>
  <c r="D8" i="48"/>
  <c r="C8" i="48"/>
  <c r="B8" i="48"/>
  <c r="O7" i="48"/>
  <c r="L7" i="48"/>
  <c r="I7" i="48"/>
  <c r="H7" i="48"/>
  <c r="G7" i="48"/>
  <c r="E7" i="48"/>
  <c r="D7" i="48"/>
  <c r="C7" i="48"/>
  <c r="B7" i="48"/>
  <c r="O6" i="48"/>
  <c r="L6" i="48"/>
  <c r="I6" i="48"/>
  <c r="H6" i="48"/>
  <c r="G6" i="48"/>
  <c r="E6" i="48"/>
  <c r="D6" i="48"/>
  <c r="C6" i="48"/>
  <c r="B6" i="48"/>
  <c r="O5" i="48"/>
  <c r="L5" i="48"/>
  <c r="I5" i="48"/>
  <c r="H5" i="48"/>
  <c r="H14" i="48" s="1"/>
  <c r="G5" i="48"/>
  <c r="E5" i="48"/>
  <c r="D5" i="48"/>
  <c r="C5" i="48"/>
  <c r="B5" i="48"/>
  <c r="O4" i="48"/>
  <c r="L4" i="48"/>
  <c r="I4" i="48"/>
  <c r="H4" i="48"/>
  <c r="G4" i="48"/>
  <c r="E4" i="48"/>
  <c r="D4" i="48"/>
  <c r="C4" i="48"/>
  <c r="B4" i="48"/>
  <c r="C57" i="50"/>
  <c r="C44" i="50"/>
  <c r="E30" i="50"/>
  <c r="E16" i="50"/>
  <c r="C59" i="59"/>
  <c r="C48" i="59"/>
  <c r="G35" i="59"/>
  <c r="G34" i="59"/>
  <c r="F34" i="59"/>
  <c r="G31" i="59"/>
  <c r="F31" i="59"/>
  <c r="G30" i="59"/>
  <c r="F30" i="59"/>
  <c r="F29" i="59"/>
  <c r="G29" i="59" s="1"/>
  <c r="G28" i="59"/>
  <c r="F27" i="59"/>
  <c r="G27" i="59" s="1"/>
  <c r="F25" i="59"/>
  <c r="K25" i="59" s="1"/>
  <c r="E25" i="59"/>
  <c r="J25" i="59" s="1"/>
  <c r="J24" i="59"/>
  <c r="F24" i="59"/>
  <c r="K24" i="59" s="1"/>
  <c r="E24" i="59"/>
  <c r="F23" i="59"/>
  <c r="K23" i="59" s="1"/>
  <c r="E23" i="59"/>
  <c r="J23" i="59" s="1"/>
  <c r="F20" i="59"/>
  <c r="G20" i="59" s="1"/>
  <c r="E20" i="59"/>
  <c r="N104" i="3"/>
  <c r="N105" i="3" s="1"/>
  <c r="C15" i="59" s="1"/>
  <c r="P102" i="3"/>
  <c r="I102" i="3"/>
  <c r="P101" i="3"/>
  <c r="I101" i="3"/>
  <c r="P100" i="3"/>
  <c r="I100" i="3"/>
  <c r="P99" i="3"/>
  <c r="I99" i="3"/>
  <c r="P98" i="3"/>
  <c r="I98" i="3"/>
  <c r="P97" i="3"/>
  <c r="I97" i="3"/>
  <c r="P96" i="3"/>
  <c r="I96" i="3"/>
  <c r="P95" i="3"/>
  <c r="I95" i="3"/>
  <c r="P94" i="3"/>
  <c r="I94" i="3"/>
  <c r="P93" i="3"/>
  <c r="I93" i="3"/>
  <c r="P92" i="3"/>
  <c r="I92" i="3"/>
  <c r="P91" i="3"/>
  <c r="I91" i="3"/>
  <c r="P90" i="3"/>
  <c r="I90" i="3"/>
  <c r="P89" i="3"/>
  <c r="I89" i="3"/>
  <c r="P88" i="3"/>
  <c r="I88" i="3"/>
  <c r="P87" i="3"/>
  <c r="I87" i="3"/>
  <c r="P86" i="3"/>
  <c r="I86" i="3"/>
  <c r="P85" i="3"/>
  <c r="I85" i="3"/>
  <c r="P84" i="3"/>
  <c r="I84" i="3"/>
  <c r="P83" i="3"/>
  <c r="I83" i="3"/>
  <c r="P82" i="3"/>
  <c r="I82" i="3"/>
  <c r="P81" i="3"/>
  <c r="I81" i="3"/>
  <c r="P80" i="3"/>
  <c r="I80" i="3"/>
  <c r="P79" i="3"/>
  <c r="I79" i="3"/>
  <c r="P78" i="3"/>
  <c r="I78" i="3"/>
  <c r="P77" i="3"/>
  <c r="I77" i="3"/>
  <c r="P76" i="3"/>
  <c r="I76" i="3"/>
  <c r="P75" i="3"/>
  <c r="I75" i="3"/>
  <c r="P74" i="3"/>
  <c r="I74" i="3"/>
  <c r="P73" i="3"/>
  <c r="I73" i="3"/>
  <c r="P72" i="3"/>
  <c r="I72" i="3"/>
  <c r="P71" i="3"/>
  <c r="I71" i="3"/>
  <c r="P70" i="3"/>
  <c r="I70" i="3"/>
  <c r="P69" i="3"/>
  <c r="I69" i="3"/>
  <c r="P68" i="3"/>
  <c r="I68" i="3"/>
  <c r="P67" i="3"/>
  <c r="I67" i="3"/>
  <c r="P66" i="3"/>
  <c r="I66" i="3"/>
  <c r="P65" i="3"/>
  <c r="I65" i="3"/>
  <c r="P64" i="3"/>
  <c r="I64" i="3"/>
  <c r="P63" i="3"/>
  <c r="I63" i="3"/>
  <c r="P62" i="3"/>
  <c r="I62" i="3"/>
  <c r="P61" i="3"/>
  <c r="I61" i="3"/>
  <c r="P60" i="3"/>
  <c r="I60" i="3"/>
  <c r="P59" i="3"/>
  <c r="I59" i="3"/>
  <c r="P58" i="3"/>
  <c r="I58" i="3"/>
  <c r="P57" i="3"/>
  <c r="I57" i="3"/>
  <c r="P56" i="3"/>
  <c r="I56" i="3"/>
  <c r="P55" i="3"/>
  <c r="I55" i="3"/>
  <c r="P54" i="3"/>
  <c r="I54" i="3"/>
  <c r="P53" i="3"/>
  <c r="I53" i="3"/>
  <c r="P52" i="3"/>
  <c r="I52" i="3"/>
  <c r="P51" i="3"/>
  <c r="I51" i="3"/>
  <c r="P50" i="3"/>
  <c r="I50" i="3"/>
  <c r="P49" i="3"/>
  <c r="I49" i="3"/>
  <c r="P48" i="3"/>
  <c r="I48" i="3"/>
  <c r="P47" i="3"/>
  <c r="I47" i="3"/>
  <c r="P46" i="3"/>
  <c r="I46" i="3"/>
  <c r="P45" i="3"/>
  <c r="I45" i="3"/>
  <c r="P44" i="3"/>
  <c r="I44" i="3"/>
  <c r="P43" i="3"/>
  <c r="I43" i="3"/>
  <c r="P42" i="3"/>
  <c r="I42" i="3"/>
  <c r="P41" i="3"/>
  <c r="I41" i="3"/>
  <c r="P40" i="3"/>
  <c r="I40" i="3"/>
  <c r="P39" i="3"/>
  <c r="I39" i="3"/>
  <c r="P38" i="3"/>
  <c r="I38" i="3"/>
  <c r="P37" i="3"/>
  <c r="I37" i="3"/>
  <c r="P36" i="3"/>
  <c r="I36" i="3"/>
  <c r="P35" i="3"/>
  <c r="I35" i="3"/>
  <c r="P34" i="3"/>
  <c r="I34" i="3"/>
  <c r="P33" i="3"/>
  <c r="I33" i="3"/>
  <c r="P32" i="3"/>
  <c r="I32" i="3"/>
  <c r="P31" i="3"/>
  <c r="I31" i="3"/>
  <c r="P30" i="3"/>
  <c r="I30" i="3"/>
  <c r="P29" i="3"/>
  <c r="I29" i="3"/>
  <c r="P28" i="3"/>
  <c r="I28" i="3"/>
  <c r="P27" i="3"/>
  <c r="I27" i="3"/>
  <c r="P26" i="3"/>
  <c r="I26" i="3"/>
  <c r="P25" i="3"/>
  <c r="I25" i="3"/>
  <c r="P24" i="3"/>
  <c r="I24" i="3"/>
  <c r="P23" i="3"/>
  <c r="I23" i="3"/>
  <c r="P22" i="3"/>
  <c r="I22" i="3"/>
  <c r="P21" i="3"/>
  <c r="I21" i="3"/>
  <c r="P20" i="3"/>
  <c r="I20" i="3"/>
  <c r="P19" i="3"/>
  <c r="I19" i="3"/>
  <c r="P18" i="3"/>
  <c r="I18" i="3"/>
  <c r="P17" i="3"/>
  <c r="I17" i="3"/>
  <c r="P16" i="3"/>
  <c r="I16" i="3"/>
  <c r="P15" i="3"/>
  <c r="I15" i="3"/>
  <c r="P14" i="3"/>
  <c r="I14" i="3"/>
  <c r="P13" i="3"/>
  <c r="I13" i="3"/>
  <c r="P12" i="3"/>
  <c r="I12" i="3"/>
  <c r="P11" i="3"/>
  <c r="I11" i="3"/>
  <c r="P10" i="3"/>
  <c r="I10" i="3"/>
  <c r="P9" i="3"/>
  <c r="I9" i="3"/>
  <c r="P8" i="3"/>
  <c r="I8" i="3"/>
  <c r="P7" i="3"/>
  <c r="I7" i="3"/>
  <c r="P6" i="3"/>
  <c r="I6" i="3"/>
  <c r="P5" i="3"/>
  <c r="I5" i="3"/>
  <c r="P4" i="3"/>
  <c r="I4" i="3"/>
  <c r="P3" i="3"/>
  <c r="N103" i="3" s="1"/>
  <c r="I3" i="3"/>
  <c r="AC2" i="3"/>
  <c r="AB2" i="3"/>
  <c r="AA2" i="3"/>
  <c r="Z2" i="3"/>
  <c r="Y2" i="3"/>
  <c r="X2" i="3"/>
  <c r="W2" i="3"/>
  <c r="V2" i="3"/>
  <c r="U2" i="3"/>
  <c r="T2" i="3"/>
  <c r="S2" i="3"/>
  <c r="R2" i="3"/>
  <c r="T476" i="17"/>
  <c r="T477" i="17" s="1"/>
  <c r="S476" i="17"/>
  <c r="L23" i="51" s="1"/>
  <c r="N23" i="51" s="1"/>
  <c r="R476" i="17"/>
  <c r="Q476" i="17"/>
  <c r="J23" i="51" s="1"/>
  <c r="O23" i="51" s="1"/>
  <c r="O476" i="17"/>
  <c r="N476" i="17"/>
  <c r="N477" i="17" s="1"/>
  <c r="M476" i="17"/>
  <c r="L476" i="17"/>
  <c r="K476" i="17"/>
  <c r="J476" i="17"/>
  <c r="I476" i="17"/>
  <c r="H476" i="17"/>
  <c r="F476" i="17"/>
  <c r="F477" i="17" s="1"/>
  <c r="E476" i="17"/>
  <c r="D476" i="17"/>
  <c r="C476" i="17"/>
  <c r="C477" i="17" s="1"/>
  <c r="C478" i="17" s="1"/>
  <c r="B476" i="17"/>
  <c r="V475" i="17"/>
  <c r="U475" i="17"/>
  <c r="P475" i="17"/>
  <c r="G475" i="17"/>
  <c r="A475" i="17"/>
  <c r="V474" i="17"/>
  <c r="U474" i="17"/>
  <c r="P474" i="17"/>
  <c r="G474" i="17"/>
  <c r="A474" i="17"/>
  <c r="V473" i="17"/>
  <c r="U473" i="17"/>
  <c r="P473" i="17"/>
  <c r="G473" i="17"/>
  <c r="A473" i="17"/>
  <c r="V472" i="17"/>
  <c r="U472" i="17"/>
  <c r="P472" i="17"/>
  <c r="G472" i="17"/>
  <c r="A472" i="17"/>
  <c r="V471" i="17"/>
  <c r="U471" i="17"/>
  <c r="P471" i="17"/>
  <c r="G471" i="17"/>
  <c r="A471" i="17"/>
  <c r="V470" i="17"/>
  <c r="U470" i="17"/>
  <c r="P470" i="17"/>
  <c r="G470" i="17"/>
  <c r="A470" i="17"/>
  <c r="V469" i="17"/>
  <c r="V9" i="17" s="1"/>
  <c r="U469" i="17"/>
  <c r="P469" i="17"/>
  <c r="G469" i="17"/>
  <c r="A469" i="17"/>
  <c r="V468" i="17"/>
  <c r="U468" i="17"/>
  <c r="P468" i="17"/>
  <c r="G468" i="17"/>
  <c r="A468" i="17"/>
  <c r="V467" i="17"/>
  <c r="U467" i="17"/>
  <c r="P467" i="17"/>
  <c r="G467" i="17"/>
  <c r="A467" i="17"/>
  <c r="V466" i="17"/>
  <c r="U466" i="17"/>
  <c r="P466" i="17"/>
  <c r="G466" i="17"/>
  <c r="A466" i="17"/>
  <c r="V465" i="17"/>
  <c r="U465" i="17"/>
  <c r="P465" i="17"/>
  <c r="G465" i="17"/>
  <c r="A465" i="17"/>
  <c r="I477" i="17" s="1"/>
  <c r="V464" i="17"/>
  <c r="U464" i="17"/>
  <c r="P464" i="17"/>
  <c r="G464" i="17"/>
  <c r="A464" i="17"/>
  <c r="T453" i="17"/>
  <c r="M22" i="51" s="1"/>
  <c r="S453" i="17"/>
  <c r="L22" i="51" s="1"/>
  <c r="N22" i="51" s="1"/>
  <c r="R453" i="17"/>
  <c r="Q453" i="17"/>
  <c r="J22" i="51" s="1"/>
  <c r="O22" i="51" s="1"/>
  <c r="O453" i="17"/>
  <c r="N453" i="17"/>
  <c r="M453" i="17"/>
  <c r="L453" i="17"/>
  <c r="K453" i="17"/>
  <c r="J453" i="17"/>
  <c r="I453" i="17"/>
  <c r="H453" i="17"/>
  <c r="F453" i="17"/>
  <c r="F454" i="17" s="1"/>
  <c r="E453" i="17"/>
  <c r="D453" i="17"/>
  <c r="C453" i="17"/>
  <c r="B453" i="17"/>
  <c r="V452" i="17"/>
  <c r="U452" i="17"/>
  <c r="P452" i="17"/>
  <c r="G452" i="17"/>
  <c r="A452" i="17"/>
  <c r="V451" i="17"/>
  <c r="U451" i="17"/>
  <c r="P451" i="17"/>
  <c r="G451" i="17"/>
  <c r="A451" i="17"/>
  <c r="V450" i="17"/>
  <c r="U450" i="17"/>
  <c r="P450" i="17"/>
  <c r="G450" i="17"/>
  <c r="A450" i="17"/>
  <c r="V449" i="17"/>
  <c r="U449" i="17"/>
  <c r="P449" i="17"/>
  <c r="G449" i="17"/>
  <c r="A449" i="17"/>
  <c r="V448" i="17"/>
  <c r="U448" i="17"/>
  <c r="P448" i="17"/>
  <c r="G448" i="17"/>
  <c r="A448" i="17"/>
  <c r="V447" i="17"/>
  <c r="U447" i="17"/>
  <c r="P447" i="17"/>
  <c r="G447" i="17"/>
  <c r="A447" i="17"/>
  <c r="V446" i="17"/>
  <c r="U446" i="17"/>
  <c r="P446" i="17"/>
  <c r="G446" i="17"/>
  <c r="A446" i="17"/>
  <c r="V445" i="17"/>
  <c r="V453" i="17" s="1"/>
  <c r="U445" i="17"/>
  <c r="P445" i="17"/>
  <c r="G445" i="17"/>
  <c r="A445" i="17"/>
  <c r="V444" i="17"/>
  <c r="U444" i="17"/>
  <c r="P444" i="17"/>
  <c r="G444" i="17"/>
  <c r="A444" i="17"/>
  <c r="V443" i="17"/>
  <c r="U443" i="17"/>
  <c r="P443" i="17"/>
  <c r="G443" i="17"/>
  <c r="A443" i="17"/>
  <c r="V442" i="17"/>
  <c r="U442" i="17"/>
  <c r="U453" i="17" s="1"/>
  <c r="P442" i="17"/>
  <c r="G442" i="17"/>
  <c r="A442" i="17"/>
  <c r="V441" i="17"/>
  <c r="U441" i="17"/>
  <c r="P441" i="17"/>
  <c r="G441" i="17"/>
  <c r="A441" i="17"/>
  <c r="N454" i="17" s="1"/>
  <c r="T430" i="17"/>
  <c r="T431" i="17" s="1"/>
  <c r="S430" i="17"/>
  <c r="S431" i="17" s="1"/>
  <c r="R430" i="17"/>
  <c r="Q430" i="17"/>
  <c r="J21" i="51" s="1"/>
  <c r="O430" i="17"/>
  <c r="N430" i="17"/>
  <c r="M430" i="17"/>
  <c r="L430" i="17"/>
  <c r="K430" i="17"/>
  <c r="J430" i="17"/>
  <c r="J431" i="17" s="1"/>
  <c r="I430" i="17"/>
  <c r="H430" i="17"/>
  <c r="F430" i="17"/>
  <c r="E430" i="17"/>
  <c r="D430" i="17"/>
  <c r="C430" i="17"/>
  <c r="B430" i="17"/>
  <c r="V429" i="17"/>
  <c r="U429" i="17"/>
  <c r="P429" i="17"/>
  <c r="G429" i="17"/>
  <c r="A429" i="17"/>
  <c r="V428" i="17"/>
  <c r="U428" i="17"/>
  <c r="P428" i="17"/>
  <c r="G428" i="17"/>
  <c r="A428" i="17"/>
  <c r="V427" i="17"/>
  <c r="U427" i="17"/>
  <c r="P427" i="17"/>
  <c r="G427" i="17"/>
  <c r="A427" i="17"/>
  <c r="V426" i="17"/>
  <c r="U426" i="17"/>
  <c r="P426" i="17"/>
  <c r="G426" i="17"/>
  <c r="A426" i="17"/>
  <c r="V425" i="17"/>
  <c r="U425" i="17"/>
  <c r="P425" i="17"/>
  <c r="G425" i="17"/>
  <c r="A425" i="17"/>
  <c r="V424" i="17"/>
  <c r="U424" i="17"/>
  <c r="P424" i="17"/>
  <c r="G424" i="17"/>
  <c r="A424" i="17"/>
  <c r="V423" i="17"/>
  <c r="V430" i="17" s="1"/>
  <c r="U423" i="17"/>
  <c r="P423" i="17"/>
  <c r="G423" i="17"/>
  <c r="A423" i="17"/>
  <c r="V422" i="17"/>
  <c r="U422" i="17"/>
  <c r="P422" i="17"/>
  <c r="G422" i="17"/>
  <c r="A422" i="17"/>
  <c r="V421" i="17"/>
  <c r="U421" i="17"/>
  <c r="P421" i="17"/>
  <c r="G421" i="17"/>
  <c r="A421" i="17"/>
  <c r="V420" i="17"/>
  <c r="U420" i="17"/>
  <c r="P420" i="17"/>
  <c r="G420" i="17"/>
  <c r="A420" i="17"/>
  <c r="V419" i="17"/>
  <c r="U419" i="17"/>
  <c r="P419" i="17"/>
  <c r="G419" i="17"/>
  <c r="A419" i="17"/>
  <c r="F431" i="17" s="1"/>
  <c r="V418" i="17"/>
  <c r="U418" i="17"/>
  <c r="P418" i="17"/>
  <c r="G418" i="17"/>
  <c r="A418" i="17"/>
  <c r="I431" i="17" s="1"/>
  <c r="S408" i="17"/>
  <c r="N408" i="17"/>
  <c r="T407" i="17"/>
  <c r="M20" i="51" s="1"/>
  <c r="S407" i="17"/>
  <c r="L20" i="51" s="1"/>
  <c r="N20" i="51" s="1"/>
  <c r="R407" i="17"/>
  <c r="Q407" i="17"/>
  <c r="J20" i="51" s="1"/>
  <c r="O407" i="17"/>
  <c r="N407" i="17"/>
  <c r="M407" i="17"/>
  <c r="L407" i="17"/>
  <c r="K407" i="17"/>
  <c r="K408" i="17" s="1"/>
  <c r="J407" i="17"/>
  <c r="I407" i="17"/>
  <c r="H407" i="17"/>
  <c r="F407" i="17"/>
  <c r="F408" i="17" s="1"/>
  <c r="E407" i="17"/>
  <c r="D407" i="17"/>
  <c r="C407" i="17"/>
  <c r="B407" i="17"/>
  <c r="B408" i="17" s="1"/>
  <c r="B409" i="17" s="1"/>
  <c r="V406" i="17"/>
  <c r="U406" i="17"/>
  <c r="P406" i="17"/>
  <c r="G406" i="17"/>
  <c r="A406" i="17"/>
  <c r="V405" i="17"/>
  <c r="U405" i="17"/>
  <c r="P405" i="17"/>
  <c r="G405" i="17"/>
  <c r="A405" i="17"/>
  <c r="V404" i="17"/>
  <c r="U404" i="17"/>
  <c r="P404" i="17"/>
  <c r="G404" i="17"/>
  <c r="A404" i="17"/>
  <c r="V403" i="17"/>
  <c r="U403" i="17"/>
  <c r="P403" i="17"/>
  <c r="G403" i="17"/>
  <c r="A403" i="17"/>
  <c r="V402" i="17"/>
  <c r="U402" i="17"/>
  <c r="P402" i="17"/>
  <c r="G402" i="17"/>
  <c r="A402" i="17"/>
  <c r="V401" i="17"/>
  <c r="U401" i="17"/>
  <c r="P401" i="17"/>
  <c r="G401" i="17"/>
  <c r="A401" i="17"/>
  <c r="V400" i="17"/>
  <c r="U400" i="17"/>
  <c r="P400" i="17"/>
  <c r="G400" i="17"/>
  <c r="A400" i="17"/>
  <c r="V399" i="17"/>
  <c r="V407" i="17" s="1"/>
  <c r="U399" i="17"/>
  <c r="P399" i="17"/>
  <c r="G399" i="17"/>
  <c r="A399" i="17"/>
  <c r="V398" i="17"/>
  <c r="U398" i="17"/>
  <c r="P398" i="17"/>
  <c r="G398" i="17"/>
  <c r="A398" i="17"/>
  <c r="V397" i="17"/>
  <c r="U397" i="17"/>
  <c r="P397" i="17"/>
  <c r="G397" i="17"/>
  <c r="A397" i="17"/>
  <c r="V396" i="17"/>
  <c r="U396" i="17"/>
  <c r="U407" i="17" s="1"/>
  <c r="P396" i="17"/>
  <c r="G396" i="17"/>
  <c r="A396" i="17"/>
  <c r="V395" i="17"/>
  <c r="U395" i="17"/>
  <c r="P395" i="17"/>
  <c r="P407" i="17" s="1"/>
  <c r="P408" i="17" s="1"/>
  <c r="G395" i="17"/>
  <c r="A395" i="17"/>
  <c r="O408" i="17" s="1"/>
  <c r="I385" i="17"/>
  <c r="T384" i="17"/>
  <c r="M19" i="51" s="1"/>
  <c r="S384" i="17"/>
  <c r="L19" i="51" s="1"/>
  <c r="N19" i="51" s="1"/>
  <c r="R384" i="17"/>
  <c r="Q384" i="17"/>
  <c r="J19" i="51" s="1"/>
  <c r="O19" i="51" s="1"/>
  <c r="O384" i="17"/>
  <c r="N384" i="17"/>
  <c r="N385" i="17" s="1"/>
  <c r="M384" i="17"/>
  <c r="L384" i="17"/>
  <c r="K384" i="17"/>
  <c r="J384" i="17"/>
  <c r="J385" i="17" s="1"/>
  <c r="I384" i="17"/>
  <c r="H384" i="17"/>
  <c r="F384" i="17"/>
  <c r="E384" i="17"/>
  <c r="D384" i="17"/>
  <c r="C384" i="17"/>
  <c r="B384" i="17"/>
  <c r="V383" i="17"/>
  <c r="U383" i="17"/>
  <c r="P383" i="17"/>
  <c r="G383" i="17"/>
  <c r="A383" i="17"/>
  <c r="V382" i="17"/>
  <c r="U382" i="17"/>
  <c r="P382" i="17"/>
  <c r="G382" i="17"/>
  <c r="A382" i="17"/>
  <c r="V381" i="17"/>
  <c r="U381" i="17"/>
  <c r="P381" i="17"/>
  <c r="G381" i="17"/>
  <c r="A381" i="17"/>
  <c r="V380" i="17"/>
  <c r="U380" i="17"/>
  <c r="P380" i="17"/>
  <c r="G380" i="17"/>
  <c r="A380" i="17"/>
  <c r="V379" i="17"/>
  <c r="V384" i="17" s="1"/>
  <c r="U379" i="17"/>
  <c r="P379" i="17"/>
  <c r="G379" i="17"/>
  <c r="A379" i="17"/>
  <c r="V378" i="17"/>
  <c r="U378" i="17"/>
  <c r="P378" i="17"/>
  <c r="G378" i="17"/>
  <c r="A378" i="17"/>
  <c r="V377" i="17"/>
  <c r="U377" i="17"/>
  <c r="P377" i="17"/>
  <c r="G377" i="17"/>
  <c r="A377" i="17"/>
  <c r="V376" i="17"/>
  <c r="U376" i="17"/>
  <c r="P376" i="17"/>
  <c r="G376" i="17"/>
  <c r="A376" i="17"/>
  <c r="V375" i="17"/>
  <c r="U375" i="17"/>
  <c r="P375" i="17"/>
  <c r="G375" i="17"/>
  <c r="A375" i="17"/>
  <c r="F385" i="17" s="1"/>
  <c r="V374" i="17"/>
  <c r="U374" i="17"/>
  <c r="U384" i="17" s="1"/>
  <c r="P374" i="17"/>
  <c r="G374" i="17"/>
  <c r="A374" i="17"/>
  <c r="V373" i="17"/>
  <c r="U373" i="17"/>
  <c r="P373" i="17"/>
  <c r="G373" i="17"/>
  <c r="A373" i="17"/>
  <c r="V372" i="17"/>
  <c r="U372" i="17"/>
  <c r="P372" i="17"/>
  <c r="G372" i="17"/>
  <c r="G384" i="17" s="1"/>
  <c r="G385" i="17" s="1"/>
  <c r="I19" i="51" s="1"/>
  <c r="A372" i="17"/>
  <c r="T361" i="17"/>
  <c r="T362" i="17" s="1"/>
  <c r="S361" i="17"/>
  <c r="L18" i="51" s="1"/>
  <c r="R361" i="17"/>
  <c r="Q361" i="17"/>
  <c r="O361" i="17"/>
  <c r="N361" i="17"/>
  <c r="M361" i="17"/>
  <c r="L361" i="17"/>
  <c r="K361" i="17"/>
  <c r="J361" i="17"/>
  <c r="I361" i="17"/>
  <c r="H361" i="17"/>
  <c r="F361" i="17"/>
  <c r="F362" i="17" s="1"/>
  <c r="E361" i="17"/>
  <c r="D361" i="17"/>
  <c r="C361" i="17"/>
  <c r="B361" i="17"/>
  <c r="V360" i="17"/>
  <c r="U360" i="17"/>
  <c r="P360" i="17"/>
  <c r="G360" i="17"/>
  <c r="A360" i="17"/>
  <c r="V359" i="17"/>
  <c r="U359" i="17"/>
  <c r="P359" i="17"/>
  <c r="G359" i="17"/>
  <c r="A359" i="17"/>
  <c r="V358" i="17"/>
  <c r="U358" i="17"/>
  <c r="P358" i="17"/>
  <c r="G358" i="17"/>
  <c r="A358" i="17"/>
  <c r="V357" i="17"/>
  <c r="U357" i="17"/>
  <c r="P357" i="17"/>
  <c r="G357" i="17"/>
  <c r="A357" i="17"/>
  <c r="V356" i="17"/>
  <c r="U356" i="17"/>
  <c r="P356" i="17"/>
  <c r="G356" i="17"/>
  <c r="A356" i="17"/>
  <c r="V355" i="17"/>
  <c r="U355" i="17"/>
  <c r="P355" i="17"/>
  <c r="G355" i="17"/>
  <c r="A355" i="17"/>
  <c r="V354" i="17"/>
  <c r="U354" i="17"/>
  <c r="P354" i="17"/>
  <c r="G354" i="17"/>
  <c r="A354" i="17"/>
  <c r="V353" i="17"/>
  <c r="V361" i="17" s="1"/>
  <c r="U353" i="17"/>
  <c r="P353" i="17"/>
  <c r="G353" i="17"/>
  <c r="A353" i="17"/>
  <c r="V352" i="17"/>
  <c r="U352" i="17"/>
  <c r="P352" i="17"/>
  <c r="G352" i="17"/>
  <c r="A352" i="17"/>
  <c r="V351" i="17"/>
  <c r="U351" i="17"/>
  <c r="P351" i="17"/>
  <c r="G351" i="17"/>
  <c r="A351" i="17"/>
  <c r="V350" i="17"/>
  <c r="U350" i="17"/>
  <c r="U361" i="17" s="1"/>
  <c r="P350" i="17"/>
  <c r="G350" i="17"/>
  <c r="A350" i="17"/>
  <c r="V349" i="17"/>
  <c r="U349" i="17"/>
  <c r="P349" i="17"/>
  <c r="G349" i="17"/>
  <c r="A349" i="17"/>
  <c r="O362" i="17" s="1"/>
  <c r="I339" i="17"/>
  <c r="T338" i="17"/>
  <c r="M17" i="51" s="1"/>
  <c r="S338" i="17"/>
  <c r="L17" i="51" s="1"/>
  <c r="R338" i="17"/>
  <c r="S339" i="17" s="1"/>
  <c r="Q338" i="17"/>
  <c r="O338" i="17"/>
  <c r="N338" i="17"/>
  <c r="M338" i="17"/>
  <c r="L338" i="17"/>
  <c r="K338" i="17"/>
  <c r="J338" i="17"/>
  <c r="I338" i="17"/>
  <c r="H338" i="17"/>
  <c r="F338" i="17"/>
  <c r="F339" i="17" s="1"/>
  <c r="E338" i="17"/>
  <c r="E339" i="17" s="1"/>
  <c r="D338" i="17"/>
  <c r="C338" i="17"/>
  <c r="B338" i="17"/>
  <c r="V337" i="17"/>
  <c r="U337" i="17"/>
  <c r="P337" i="17"/>
  <c r="G337" i="17"/>
  <c r="A337" i="17"/>
  <c r="V336" i="17"/>
  <c r="U336" i="17"/>
  <c r="P336" i="17"/>
  <c r="G336" i="17"/>
  <c r="A336" i="17"/>
  <c r="V335" i="17"/>
  <c r="U335" i="17"/>
  <c r="P335" i="17"/>
  <c r="G335" i="17"/>
  <c r="A335" i="17"/>
  <c r="V334" i="17"/>
  <c r="U334" i="17"/>
  <c r="P334" i="17"/>
  <c r="G334" i="17"/>
  <c r="A334" i="17"/>
  <c r="V333" i="17"/>
  <c r="U333" i="17"/>
  <c r="P333" i="17"/>
  <c r="G333" i="17"/>
  <c r="A333" i="17"/>
  <c r="V332" i="17"/>
  <c r="U332" i="17"/>
  <c r="P332" i="17"/>
  <c r="G332" i="17"/>
  <c r="A332" i="17"/>
  <c r="V331" i="17"/>
  <c r="U331" i="17"/>
  <c r="P331" i="17"/>
  <c r="G331" i="17"/>
  <c r="A331" i="17"/>
  <c r="V330" i="17"/>
  <c r="U330" i="17"/>
  <c r="P330" i="17"/>
  <c r="G330" i="17"/>
  <c r="A330" i="17"/>
  <c r="V329" i="17"/>
  <c r="U329" i="17"/>
  <c r="P329" i="17"/>
  <c r="G329" i="17"/>
  <c r="A329" i="17"/>
  <c r="V328" i="17"/>
  <c r="U328" i="17"/>
  <c r="P328" i="17"/>
  <c r="G328" i="17"/>
  <c r="A328" i="17"/>
  <c r="V327" i="17"/>
  <c r="U327" i="17"/>
  <c r="U338" i="17" s="1"/>
  <c r="P327" i="17"/>
  <c r="G327" i="17"/>
  <c r="A327" i="17"/>
  <c r="V326" i="17"/>
  <c r="V338" i="17" s="1"/>
  <c r="U326" i="17"/>
  <c r="P326" i="17"/>
  <c r="P338" i="17" s="1"/>
  <c r="P339" i="17" s="1"/>
  <c r="G326" i="17"/>
  <c r="A326" i="17"/>
  <c r="O339" i="17" s="1"/>
  <c r="T315" i="17"/>
  <c r="T316" i="17" s="1"/>
  <c r="S315" i="17"/>
  <c r="L16" i="51" s="1"/>
  <c r="R315" i="17"/>
  <c r="S316" i="17" s="1"/>
  <c r="Q315" i="17"/>
  <c r="J16" i="51" s="1"/>
  <c r="O315" i="17"/>
  <c r="N315" i="17"/>
  <c r="M315" i="17"/>
  <c r="M316" i="17" s="1"/>
  <c r="L315" i="17"/>
  <c r="K315" i="17"/>
  <c r="J315" i="17"/>
  <c r="I315" i="17"/>
  <c r="H315" i="17"/>
  <c r="F315" i="17"/>
  <c r="F316" i="17" s="1"/>
  <c r="E315" i="17"/>
  <c r="E316" i="17" s="1"/>
  <c r="D315" i="17"/>
  <c r="C315" i="17"/>
  <c r="B315" i="17"/>
  <c r="V314" i="17"/>
  <c r="U314" i="17"/>
  <c r="P314" i="17"/>
  <c r="G314" i="17"/>
  <c r="A314" i="17"/>
  <c r="V313" i="17"/>
  <c r="U313" i="17"/>
  <c r="P313" i="17"/>
  <c r="G313" i="17"/>
  <c r="A313" i="17"/>
  <c r="V312" i="17"/>
  <c r="U312" i="17"/>
  <c r="P312" i="17"/>
  <c r="G312" i="17"/>
  <c r="A312" i="17"/>
  <c r="V311" i="17"/>
  <c r="U311" i="17"/>
  <c r="P311" i="17"/>
  <c r="G311" i="17"/>
  <c r="A311" i="17"/>
  <c r="V310" i="17"/>
  <c r="U310" i="17"/>
  <c r="P310" i="17"/>
  <c r="G310" i="17"/>
  <c r="A310" i="17"/>
  <c r="V309" i="17"/>
  <c r="U309" i="17"/>
  <c r="P309" i="17"/>
  <c r="G309" i="17"/>
  <c r="A309" i="17"/>
  <c r="V308" i="17"/>
  <c r="U308" i="17"/>
  <c r="P308" i="17"/>
  <c r="G308" i="17"/>
  <c r="A308" i="17"/>
  <c r="V307" i="17"/>
  <c r="U307" i="17"/>
  <c r="P307" i="17"/>
  <c r="G307" i="17"/>
  <c r="A307" i="17"/>
  <c r="I316" i="17" s="1"/>
  <c r="V306" i="17"/>
  <c r="U306" i="17"/>
  <c r="P306" i="17"/>
  <c r="G306" i="17"/>
  <c r="A306" i="17"/>
  <c r="H316" i="17" s="1"/>
  <c r="V305" i="17"/>
  <c r="U305" i="17"/>
  <c r="U315" i="17" s="1"/>
  <c r="P305" i="17"/>
  <c r="G305" i="17"/>
  <c r="A305" i="17"/>
  <c r="V304" i="17"/>
  <c r="U304" i="17"/>
  <c r="P304" i="17"/>
  <c r="G304" i="17"/>
  <c r="A304" i="17"/>
  <c r="V303" i="17"/>
  <c r="V315" i="17" s="1"/>
  <c r="U303" i="17"/>
  <c r="P303" i="17"/>
  <c r="G303" i="17"/>
  <c r="A303" i="17"/>
  <c r="S293" i="17"/>
  <c r="V292" i="17"/>
  <c r="T292" i="17"/>
  <c r="S292" i="17"/>
  <c r="L15" i="51" s="1"/>
  <c r="N15" i="51" s="1"/>
  <c r="R292" i="17"/>
  <c r="Q292" i="17"/>
  <c r="T293" i="17" s="1"/>
  <c r="O292" i="17"/>
  <c r="N292" i="17"/>
  <c r="M292" i="17"/>
  <c r="M293" i="17" s="1"/>
  <c r="L292" i="17"/>
  <c r="K292" i="17"/>
  <c r="J292" i="17"/>
  <c r="I292" i="17"/>
  <c r="H292" i="17"/>
  <c r="F292" i="17"/>
  <c r="F293" i="17" s="1"/>
  <c r="E292" i="17"/>
  <c r="E293" i="17" s="1"/>
  <c r="D292" i="17"/>
  <c r="D293" i="17" s="1"/>
  <c r="D294" i="17" s="1"/>
  <c r="C292" i="17"/>
  <c r="B292" i="17"/>
  <c r="V291" i="17"/>
  <c r="U291" i="17"/>
  <c r="P291" i="17"/>
  <c r="G291" i="17"/>
  <c r="A291" i="17"/>
  <c r="V290" i="17"/>
  <c r="U290" i="17"/>
  <c r="P290" i="17"/>
  <c r="G290" i="17"/>
  <c r="A290" i="17"/>
  <c r="V289" i="17"/>
  <c r="U289" i="17"/>
  <c r="P289" i="17"/>
  <c r="G289" i="17"/>
  <c r="A289" i="17"/>
  <c r="V288" i="17"/>
  <c r="U288" i="17"/>
  <c r="P288" i="17"/>
  <c r="G288" i="17"/>
  <c r="A288" i="17"/>
  <c r="V287" i="17"/>
  <c r="U287" i="17"/>
  <c r="P287" i="17"/>
  <c r="G287" i="17"/>
  <c r="A287" i="17"/>
  <c r="V286" i="17"/>
  <c r="U286" i="17"/>
  <c r="P286" i="17"/>
  <c r="G286" i="17"/>
  <c r="A286" i="17"/>
  <c r="V285" i="17"/>
  <c r="U285" i="17"/>
  <c r="P285" i="17"/>
  <c r="G285" i="17"/>
  <c r="A285" i="17"/>
  <c r="V284" i="17"/>
  <c r="U284" i="17"/>
  <c r="P284" i="17"/>
  <c r="G284" i="17"/>
  <c r="A284" i="17"/>
  <c r="N293" i="17" s="1"/>
  <c r="V283" i="17"/>
  <c r="U283" i="17"/>
  <c r="P283" i="17"/>
  <c r="G283" i="17"/>
  <c r="A283" i="17"/>
  <c r="V282" i="17"/>
  <c r="U282" i="17"/>
  <c r="P282" i="17"/>
  <c r="G282" i="17"/>
  <c r="A282" i="17"/>
  <c r="V281" i="17"/>
  <c r="U281" i="17"/>
  <c r="U292" i="17" s="1"/>
  <c r="P281" i="17"/>
  <c r="G281" i="17"/>
  <c r="A281" i="17"/>
  <c r="V280" i="17"/>
  <c r="U280" i="17"/>
  <c r="P280" i="17"/>
  <c r="G280" i="17"/>
  <c r="A280" i="17"/>
  <c r="S270" i="17"/>
  <c r="T269" i="17"/>
  <c r="M14" i="51" s="1"/>
  <c r="S269" i="17"/>
  <c r="L14" i="51" s="1"/>
  <c r="N14" i="51" s="1"/>
  <c r="R269" i="17"/>
  <c r="Q269" i="17"/>
  <c r="J14" i="51" s="1"/>
  <c r="O14" i="51" s="1"/>
  <c r="O269" i="17"/>
  <c r="N269" i="17"/>
  <c r="M269" i="17"/>
  <c r="M270" i="17" s="1"/>
  <c r="L269" i="17"/>
  <c r="K269" i="17"/>
  <c r="J269" i="17"/>
  <c r="I269" i="17"/>
  <c r="H269" i="17"/>
  <c r="F269" i="17"/>
  <c r="F270" i="17" s="1"/>
  <c r="E269" i="17"/>
  <c r="E270" i="17" s="1"/>
  <c r="D269" i="17"/>
  <c r="C269" i="17"/>
  <c r="B269" i="17"/>
  <c r="V268" i="17"/>
  <c r="U268" i="17"/>
  <c r="P268" i="17"/>
  <c r="G268" i="17"/>
  <c r="A268" i="17"/>
  <c r="V267" i="17"/>
  <c r="U267" i="17"/>
  <c r="P267" i="17"/>
  <c r="G267" i="17"/>
  <c r="A267" i="17"/>
  <c r="V266" i="17"/>
  <c r="U266" i="17"/>
  <c r="P266" i="17"/>
  <c r="G266" i="17"/>
  <c r="A266" i="17"/>
  <c r="V265" i="17"/>
  <c r="U265" i="17"/>
  <c r="P265" i="17"/>
  <c r="G265" i="17"/>
  <c r="A265" i="17"/>
  <c r="V264" i="17"/>
  <c r="U264" i="17"/>
  <c r="P264" i="17"/>
  <c r="G264" i="17"/>
  <c r="A264" i="17"/>
  <c r="V263" i="17"/>
  <c r="U263" i="17"/>
  <c r="P263" i="17"/>
  <c r="G263" i="17"/>
  <c r="A263" i="17"/>
  <c r="V262" i="17"/>
  <c r="U262" i="17"/>
  <c r="P262" i="17"/>
  <c r="G262" i="17"/>
  <c r="A262" i="17"/>
  <c r="V261" i="17"/>
  <c r="V269" i="17" s="1"/>
  <c r="U261" i="17"/>
  <c r="P261" i="17"/>
  <c r="G261" i="17"/>
  <c r="A261" i="17"/>
  <c r="V260" i="17"/>
  <c r="U260" i="17"/>
  <c r="P260" i="17"/>
  <c r="G260" i="17"/>
  <c r="A260" i="17"/>
  <c r="V259" i="17"/>
  <c r="U259" i="17"/>
  <c r="P259" i="17"/>
  <c r="G259" i="17"/>
  <c r="A259" i="17"/>
  <c r="V258" i="17"/>
  <c r="U258" i="17"/>
  <c r="U269" i="17" s="1"/>
  <c r="P258" i="17"/>
  <c r="G258" i="17"/>
  <c r="A258" i="17"/>
  <c r="V257" i="17"/>
  <c r="U257" i="17"/>
  <c r="P257" i="17"/>
  <c r="G257" i="17"/>
  <c r="A257" i="17"/>
  <c r="O270" i="17" s="1"/>
  <c r="I247" i="17"/>
  <c r="T246" i="17"/>
  <c r="M13" i="51" s="1"/>
  <c r="S246" i="17"/>
  <c r="L13" i="51" s="1"/>
  <c r="N13" i="51" s="1"/>
  <c r="R246" i="17"/>
  <c r="S247" i="17" s="1"/>
  <c r="Q246" i="17"/>
  <c r="J13" i="51" s="1"/>
  <c r="O13" i="51" s="1"/>
  <c r="O246" i="17"/>
  <c r="N246" i="17"/>
  <c r="M246" i="17"/>
  <c r="L246" i="17"/>
  <c r="K246" i="17"/>
  <c r="J246" i="17"/>
  <c r="I246" i="17"/>
  <c r="H246" i="17"/>
  <c r="F246" i="17"/>
  <c r="F247" i="17" s="1"/>
  <c r="E246" i="17"/>
  <c r="E247" i="17" s="1"/>
  <c r="D246" i="17"/>
  <c r="C246" i="17"/>
  <c r="B246" i="17"/>
  <c r="V245" i="17"/>
  <c r="U245" i="17"/>
  <c r="P245" i="17"/>
  <c r="G245" i="17"/>
  <c r="A245" i="17"/>
  <c r="V244" i="17"/>
  <c r="U244" i="17"/>
  <c r="P244" i="17"/>
  <c r="G244" i="17"/>
  <c r="A244" i="17"/>
  <c r="V243" i="17"/>
  <c r="U243" i="17"/>
  <c r="P243" i="17"/>
  <c r="G243" i="17"/>
  <c r="A243" i="17"/>
  <c r="V242" i="17"/>
  <c r="U242" i="17"/>
  <c r="P242" i="17"/>
  <c r="G242" i="17"/>
  <c r="A242" i="17"/>
  <c r="V241" i="17"/>
  <c r="U241" i="17"/>
  <c r="P241" i="17"/>
  <c r="G241" i="17"/>
  <c r="A241" i="17"/>
  <c r="V240" i="17"/>
  <c r="U240" i="17"/>
  <c r="P240" i="17"/>
  <c r="G240" i="17"/>
  <c r="A240" i="17"/>
  <c r="V239" i="17"/>
  <c r="U239" i="17"/>
  <c r="P239" i="17"/>
  <c r="G239" i="17"/>
  <c r="A239" i="17"/>
  <c r="V238" i="17"/>
  <c r="U238" i="17"/>
  <c r="P238" i="17"/>
  <c r="G238" i="17"/>
  <c r="A238" i="17"/>
  <c r="V237" i="17"/>
  <c r="U237" i="17"/>
  <c r="P237" i="17"/>
  <c r="G237" i="17"/>
  <c r="A237" i="17"/>
  <c r="V236" i="17"/>
  <c r="U236" i="17"/>
  <c r="P236" i="17"/>
  <c r="G236" i="17"/>
  <c r="A236" i="17"/>
  <c r="V235" i="17"/>
  <c r="U235" i="17"/>
  <c r="U246" i="17" s="1"/>
  <c r="P235" i="17"/>
  <c r="G235" i="17"/>
  <c r="A235" i="17"/>
  <c r="V234" i="17"/>
  <c r="V246" i="17" s="1"/>
  <c r="U234" i="17"/>
  <c r="P234" i="17"/>
  <c r="P246" i="17" s="1"/>
  <c r="P247" i="17" s="1"/>
  <c r="G234" i="17"/>
  <c r="A234" i="17"/>
  <c r="O247" i="17" s="1"/>
  <c r="T223" i="17"/>
  <c r="M12" i="51" s="1"/>
  <c r="S223" i="17"/>
  <c r="L12" i="51" s="1"/>
  <c r="N12" i="51" s="1"/>
  <c r="R223" i="17"/>
  <c r="S224" i="17" s="1"/>
  <c r="Q223" i="17"/>
  <c r="T224" i="17" s="1"/>
  <c r="O223" i="17"/>
  <c r="N223" i="17"/>
  <c r="M223" i="17"/>
  <c r="M224" i="17" s="1"/>
  <c r="L223" i="17"/>
  <c r="K223" i="17"/>
  <c r="J223" i="17"/>
  <c r="I223" i="17"/>
  <c r="H223" i="17"/>
  <c r="F223" i="17"/>
  <c r="F224" i="17" s="1"/>
  <c r="E223" i="17"/>
  <c r="E224" i="17" s="1"/>
  <c r="D223" i="17"/>
  <c r="C223" i="17"/>
  <c r="B223" i="17"/>
  <c r="V222" i="17"/>
  <c r="U222" i="17"/>
  <c r="P222" i="17"/>
  <c r="G222" i="17"/>
  <c r="A222" i="17"/>
  <c r="V221" i="17"/>
  <c r="U221" i="17"/>
  <c r="P221" i="17"/>
  <c r="G221" i="17"/>
  <c r="A221" i="17"/>
  <c r="V220" i="17"/>
  <c r="U220" i="17"/>
  <c r="P220" i="17"/>
  <c r="G220" i="17"/>
  <c r="A220" i="17"/>
  <c r="V219" i="17"/>
  <c r="U219" i="17"/>
  <c r="P219" i="17"/>
  <c r="G219" i="17"/>
  <c r="A219" i="17"/>
  <c r="V218" i="17"/>
  <c r="U218" i="17"/>
  <c r="P218" i="17"/>
  <c r="G218" i="17"/>
  <c r="A218" i="17"/>
  <c r="V217" i="17"/>
  <c r="U217" i="17"/>
  <c r="P217" i="17"/>
  <c r="G217" i="17"/>
  <c r="A217" i="17"/>
  <c r="V216" i="17"/>
  <c r="U216" i="17"/>
  <c r="P216" i="17"/>
  <c r="G216" i="17"/>
  <c r="A216" i="17"/>
  <c r="V215" i="17"/>
  <c r="U215" i="17"/>
  <c r="P215" i="17"/>
  <c r="G215" i="17"/>
  <c r="A215" i="17"/>
  <c r="I224" i="17" s="1"/>
  <c r="V214" i="17"/>
  <c r="U214" i="17"/>
  <c r="P214" i="17"/>
  <c r="G214" i="17"/>
  <c r="A214" i="17"/>
  <c r="H224" i="17" s="1"/>
  <c r="V213" i="17"/>
  <c r="U213" i="17"/>
  <c r="P213" i="17"/>
  <c r="G213" i="17"/>
  <c r="A213" i="17"/>
  <c r="V212" i="17"/>
  <c r="U212" i="17"/>
  <c r="U223" i="17" s="1"/>
  <c r="P212" i="17"/>
  <c r="G212" i="17"/>
  <c r="A212" i="17"/>
  <c r="V211" i="17"/>
  <c r="V223" i="17" s="1"/>
  <c r="U211" i="17"/>
  <c r="P211" i="17"/>
  <c r="G211" i="17"/>
  <c r="A211" i="17"/>
  <c r="S201" i="17"/>
  <c r="V200" i="17"/>
  <c r="V201" i="17" s="1"/>
  <c r="T200" i="17"/>
  <c r="M11" i="51" s="1"/>
  <c r="S200" i="17"/>
  <c r="L11" i="51" s="1"/>
  <c r="N11" i="51" s="1"/>
  <c r="R200" i="17"/>
  <c r="Q200" i="17"/>
  <c r="J11" i="51" s="1"/>
  <c r="O200" i="17"/>
  <c r="N200" i="17"/>
  <c r="M200" i="17"/>
  <c r="M201" i="17" s="1"/>
  <c r="L200" i="17"/>
  <c r="K200" i="17"/>
  <c r="J200" i="17"/>
  <c r="I200" i="17"/>
  <c r="H200" i="17"/>
  <c r="F200" i="17"/>
  <c r="F201" i="17" s="1"/>
  <c r="E200" i="17"/>
  <c r="E201" i="17" s="1"/>
  <c r="D200" i="17"/>
  <c r="D201" i="17" s="1"/>
  <c r="D202" i="17" s="1"/>
  <c r="C200" i="17"/>
  <c r="B200" i="17"/>
  <c r="V199" i="17"/>
  <c r="U199" i="17"/>
  <c r="P199" i="17"/>
  <c r="G199" i="17"/>
  <c r="A199" i="17"/>
  <c r="V198" i="17"/>
  <c r="U198" i="17"/>
  <c r="P198" i="17"/>
  <c r="G198" i="17"/>
  <c r="A198" i="17"/>
  <c r="V197" i="17"/>
  <c r="U197" i="17"/>
  <c r="P197" i="17"/>
  <c r="G197" i="17"/>
  <c r="A197" i="17"/>
  <c r="V196" i="17"/>
  <c r="U196" i="17"/>
  <c r="P196" i="17"/>
  <c r="G196" i="17"/>
  <c r="A196" i="17"/>
  <c r="V195" i="17"/>
  <c r="U195" i="17"/>
  <c r="P195" i="17"/>
  <c r="G195" i="17"/>
  <c r="A195" i="17"/>
  <c r="V194" i="17"/>
  <c r="U194" i="17"/>
  <c r="P194" i="17"/>
  <c r="G194" i="17"/>
  <c r="A194" i="17"/>
  <c r="V193" i="17"/>
  <c r="U193" i="17"/>
  <c r="P193" i="17"/>
  <c r="G193" i="17"/>
  <c r="A193" i="17"/>
  <c r="V192" i="17"/>
  <c r="U192" i="17"/>
  <c r="P192" i="17"/>
  <c r="G192" i="17"/>
  <c r="A192" i="17"/>
  <c r="N201" i="17" s="1"/>
  <c r="V191" i="17"/>
  <c r="U191" i="17"/>
  <c r="P191" i="17"/>
  <c r="G191" i="17"/>
  <c r="A191" i="17"/>
  <c r="V190" i="17"/>
  <c r="U190" i="17"/>
  <c r="P190" i="17"/>
  <c r="G190" i="17"/>
  <c r="A190" i="17"/>
  <c r="V189" i="17"/>
  <c r="U189" i="17"/>
  <c r="U200" i="17" s="1"/>
  <c r="P189" i="17"/>
  <c r="G189" i="17"/>
  <c r="A189" i="17"/>
  <c r="V188" i="17"/>
  <c r="U188" i="17"/>
  <c r="P188" i="17"/>
  <c r="G188" i="17"/>
  <c r="A188" i="17"/>
  <c r="S178" i="17"/>
  <c r="T177" i="17"/>
  <c r="M10" i="51" s="1"/>
  <c r="S177" i="17"/>
  <c r="L10" i="51" s="1"/>
  <c r="R177" i="17"/>
  <c r="Q177" i="17"/>
  <c r="T178" i="17" s="1"/>
  <c r="O177" i="17"/>
  <c r="N177" i="17"/>
  <c r="M177" i="17"/>
  <c r="M178" i="17" s="1"/>
  <c r="L177" i="17"/>
  <c r="K177" i="17"/>
  <c r="J177" i="17"/>
  <c r="I177" i="17"/>
  <c r="H177" i="17"/>
  <c r="F177" i="17"/>
  <c r="F178" i="17" s="1"/>
  <c r="E177" i="17"/>
  <c r="E178" i="17" s="1"/>
  <c r="D177" i="17"/>
  <c r="C177" i="17"/>
  <c r="B177" i="17"/>
  <c r="V176" i="17"/>
  <c r="U176" i="17"/>
  <c r="P176" i="17"/>
  <c r="G176" i="17"/>
  <c r="A176" i="17"/>
  <c r="V175" i="17"/>
  <c r="U175" i="17"/>
  <c r="P175" i="17"/>
  <c r="G175" i="17"/>
  <c r="A175" i="17"/>
  <c r="V174" i="17"/>
  <c r="U174" i="17"/>
  <c r="P174" i="17"/>
  <c r="G174" i="17"/>
  <c r="A174" i="17"/>
  <c r="V173" i="17"/>
  <c r="U173" i="17"/>
  <c r="P173" i="17"/>
  <c r="G173" i="17"/>
  <c r="A173" i="17"/>
  <c r="V172" i="17"/>
  <c r="U172" i="17"/>
  <c r="P172" i="17"/>
  <c r="G172" i="17"/>
  <c r="A172" i="17"/>
  <c r="V171" i="17"/>
  <c r="U171" i="17"/>
  <c r="P171" i="17"/>
  <c r="G171" i="17"/>
  <c r="A171" i="17"/>
  <c r="V170" i="17"/>
  <c r="U170" i="17"/>
  <c r="P170" i="17"/>
  <c r="G170" i="17"/>
  <c r="A170" i="17"/>
  <c r="V169" i="17"/>
  <c r="V177" i="17" s="1"/>
  <c r="U169" i="17"/>
  <c r="P169" i="17"/>
  <c r="G169" i="17"/>
  <c r="A169" i="17"/>
  <c r="V168" i="17"/>
  <c r="U168" i="17"/>
  <c r="P168" i="17"/>
  <c r="G168" i="17"/>
  <c r="A168" i="17"/>
  <c r="V167" i="17"/>
  <c r="U167" i="17"/>
  <c r="P167" i="17"/>
  <c r="G167" i="17"/>
  <c r="A167" i="17"/>
  <c r="V166" i="17"/>
  <c r="U166" i="17"/>
  <c r="U177" i="17" s="1"/>
  <c r="P166" i="17"/>
  <c r="G166" i="17"/>
  <c r="A166" i="17"/>
  <c r="V165" i="17"/>
  <c r="U165" i="17"/>
  <c r="P165" i="17"/>
  <c r="G165" i="17"/>
  <c r="A165" i="17"/>
  <c r="O178" i="17" s="1"/>
  <c r="I155" i="17"/>
  <c r="T154" i="17"/>
  <c r="M9" i="51" s="1"/>
  <c r="S154" i="17"/>
  <c r="L9" i="51" s="1"/>
  <c r="R154" i="17"/>
  <c r="S155" i="17" s="1"/>
  <c r="Q154" i="17"/>
  <c r="T155" i="17" s="1"/>
  <c r="O154" i="17"/>
  <c r="N154" i="17"/>
  <c r="M154" i="17"/>
  <c r="L154" i="17"/>
  <c r="K154" i="17"/>
  <c r="J154" i="17"/>
  <c r="I154" i="17"/>
  <c r="H154" i="17"/>
  <c r="F154" i="17"/>
  <c r="F155" i="17" s="1"/>
  <c r="E154" i="17"/>
  <c r="E155" i="17" s="1"/>
  <c r="D154" i="17"/>
  <c r="C154" i="17"/>
  <c r="B154" i="17"/>
  <c r="V153" i="17"/>
  <c r="U153" i="17"/>
  <c r="P153" i="17"/>
  <c r="G153" i="17"/>
  <c r="A153" i="17"/>
  <c r="V152" i="17"/>
  <c r="U152" i="17"/>
  <c r="P152" i="17"/>
  <c r="G152" i="17"/>
  <c r="A152" i="17"/>
  <c r="V151" i="17"/>
  <c r="U151" i="17"/>
  <c r="P151" i="17"/>
  <c r="G151" i="17"/>
  <c r="A151" i="17"/>
  <c r="V150" i="17"/>
  <c r="U150" i="17"/>
  <c r="P150" i="17"/>
  <c r="G150" i="17"/>
  <c r="A150" i="17"/>
  <c r="V149" i="17"/>
  <c r="U149" i="17"/>
  <c r="P149" i="17"/>
  <c r="G149" i="17"/>
  <c r="A149" i="17"/>
  <c r="V148" i="17"/>
  <c r="U148" i="17"/>
  <c r="P148" i="17"/>
  <c r="G148" i="17"/>
  <c r="A148" i="17"/>
  <c r="V147" i="17"/>
  <c r="U147" i="17"/>
  <c r="P147" i="17"/>
  <c r="G147" i="17"/>
  <c r="A147" i="17"/>
  <c r="V146" i="17"/>
  <c r="U146" i="17"/>
  <c r="P146" i="17"/>
  <c r="G146" i="17"/>
  <c r="A146" i="17"/>
  <c r="V145" i="17"/>
  <c r="U145" i="17"/>
  <c r="P145" i="17"/>
  <c r="G145" i="17"/>
  <c r="A145" i="17"/>
  <c r="V144" i="17"/>
  <c r="U144" i="17"/>
  <c r="P144" i="17"/>
  <c r="G144" i="17"/>
  <c r="A144" i="17"/>
  <c r="V143" i="17"/>
  <c r="U143" i="17"/>
  <c r="U154" i="17" s="1"/>
  <c r="P143" i="17"/>
  <c r="G143" i="17"/>
  <c r="A143" i="17"/>
  <c r="V142" i="17"/>
  <c r="V154" i="17" s="1"/>
  <c r="U142" i="17"/>
  <c r="P142" i="17"/>
  <c r="P154" i="17" s="1"/>
  <c r="P155" i="17" s="1"/>
  <c r="G142" i="17"/>
  <c r="A142" i="17"/>
  <c r="O155" i="17" s="1"/>
  <c r="T131" i="17"/>
  <c r="S131" i="17"/>
  <c r="L8" i="51" s="1"/>
  <c r="R131" i="17"/>
  <c r="S132" i="17" s="1"/>
  <c r="Q131" i="17"/>
  <c r="J8" i="51" s="1"/>
  <c r="O131" i="17"/>
  <c r="N131" i="17"/>
  <c r="M131" i="17"/>
  <c r="M132" i="17" s="1"/>
  <c r="L131" i="17"/>
  <c r="K131" i="17"/>
  <c r="J131" i="17"/>
  <c r="I131" i="17"/>
  <c r="H131" i="17"/>
  <c r="F131" i="17"/>
  <c r="F132" i="17" s="1"/>
  <c r="E131" i="17"/>
  <c r="E132" i="17" s="1"/>
  <c r="D131" i="17"/>
  <c r="C131" i="17"/>
  <c r="B131" i="17"/>
  <c r="V130" i="17"/>
  <c r="U130" i="17"/>
  <c r="P130" i="17"/>
  <c r="G130" i="17"/>
  <c r="A130" i="17"/>
  <c r="V129" i="17"/>
  <c r="U129" i="17"/>
  <c r="P129" i="17"/>
  <c r="G129" i="17"/>
  <c r="A129" i="17"/>
  <c r="V128" i="17"/>
  <c r="U128" i="17"/>
  <c r="P128" i="17"/>
  <c r="G128" i="17"/>
  <c r="A128" i="17"/>
  <c r="V127" i="17"/>
  <c r="U127" i="17"/>
  <c r="P127" i="17"/>
  <c r="G127" i="17"/>
  <c r="A127" i="17"/>
  <c r="V126" i="17"/>
  <c r="U126" i="17"/>
  <c r="P126" i="17"/>
  <c r="G126" i="17"/>
  <c r="A126" i="17"/>
  <c r="V125" i="17"/>
  <c r="U125" i="17"/>
  <c r="P125" i="17"/>
  <c r="G125" i="17"/>
  <c r="A125" i="17"/>
  <c r="V124" i="17"/>
  <c r="U124" i="17"/>
  <c r="P124" i="17"/>
  <c r="G124" i="17"/>
  <c r="A124" i="17"/>
  <c r="V123" i="17"/>
  <c r="U123" i="17"/>
  <c r="P123" i="17"/>
  <c r="G123" i="17"/>
  <c r="A123" i="17"/>
  <c r="I132" i="17" s="1"/>
  <c r="V122" i="17"/>
  <c r="U122" i="17"/>
  <c r="P122" i="17"/>
  <c r="G122" i="17"/>
  <c r="A122" i="17"/>
  <c r="V121" i="17"/>
  <c r="U121" i="17"/>
  <c r="U131" i="17" s="1"/>
  <c r="P121" i="17"/>
  <c r="G121" i="17"/>
  <c r="A121" i="17"/>
  <c r="V120" i="17"/>
  <c r="U120" i="17"/>
  <c r="P120" i="17"/>
  <c r="G120" i="17"/>
  <c r="A120" i="17"/>
  <c r="H132" i="17" s="1"/>
  <c r="V119" i="17"/>
  <c r="V131" i="17" s="1"/>
  <c r="U119" i="17"/>
  <c r="P119" i="17"/>
  <c r="G119" i="17"/>
  <c r="A119" i="17"/>
  <c r="S109" i="17"/>
  <c r="V108" i="17"/>
  <c r="T108" i="17"/>
  <c r="S108" i="17"/>
  <c r="L7" i="51" s="1"/>
  <c r="N7" i="51" s="1"/>
  <c r="R108" i="17"/>
  <c r="Q108" i="17"/>
  <c r="T109" i="17" s="1"/>
  <c r="O108" i="17"/>
  <c r="N108" i="17"/>
  <c r="M108" i="17"/>
  <c r="M109" i="17" s="1"/>
  <c r="L108" i="17"/>
  <c r="K108" i="17"/>
  <c r="J108" i="17"/>
  <c r="I108" i="17"/>
  <c r="H108" i="17"/>
  <c r="F108" i="17"/>
  <c r="F109" i="17" s="1"/>
  <c r="E108" i="17"/>
  <c r="E109" i="17" s="1"/>
  <c r="D108" i="17"/>
  <c r="D109" i="17" s="1"/>
  <c r="D110" i="17" s="1"/>
  <c r="C108" i="17"/>
  <c r="B108" i="17"/>
  <c r="V107" i="17"/>
  <c r="U107" i="17"/>
  <c r="P107" i="17"/>
  <c r="G107" i="17"/>
  <c r="A107" i="17"/>
  <c r="V106" i="17"/>
  <c r="U106" i="17"/>
  <c r="P106" i="17"/>
  <c r="G106" i="17"/>
  <c r="A106" i="17"/>
  <c r="V105" i="17"/>
  <c r="U105" i="17"/>
  <c r="P105" i="17"/>
  <c r="G105" i="17"/>
  <c r="A105" i="17"/>
  <c r="V104" i="17"/>
  <c r="U104" i="17"/>
  <c r="P104" i="17"/>
  <c r="G104" i="17"/>
  <c r="A104" i="17"/>
  <c r="V103" i="17"/>
  <c r="U103" i="17"/>
  <c r="P103" i="17"/>
  <c r="G103" i="17"/>
  <c r="A103" i="17"/>
  <c r="V102" i="17"/>
  <c r="U102" i="17"/>
  <c r="P102" i="17"/>
  <c r="G102" i="17"/>
  <c r="A102" i="17"/>
  <c r="V101" i="17"/>
  <c r="U101" i="17"/>
  <c r="U9" i="17" s="1"/>
  <c r="P101" i="17"/>
  <c r="G101" i="17"/>
  <c r="A101" i="17"/>
  <c r="V100" i="17"/>
  <c r="U100" i="17"/>
  <c r="P100" i="17"/>
  <c r="G100" i="17"/>
  <c r="A100" i="17"/>
  <c r="N109" i="17" s="1"/>
  <c r="V99" i="17"/>
  <c r="U99" i="17"/>
  <c r="P99" i="17"/>
  <c r="G99" i="17"/>
  <c r="A99" i="17"/>
  <c r="V98" i="17"/>
  <c r="U98" i="17"/>
  <c r="P98" i="17"/>
  <c r="G98" i="17"/>
  <c r="A98" i="17"/>
  <c r="V97" i="17"/>
  <c r="U97" i="17"/>
  <c r="U108" i="17" s="1"/>
  <c r="P97" i="17"/>
  <c r="G97" i="17"/>
  <c r="A97" i="17"/>
  <c r="V96" i="17"/>
  <c r="U96" i="17"/>
  <c r="P96" i="17"/>
  <c r="G96" i="17"/>
  <c r="A96" i="17"/>
  <c r="S86" i="17"/>
  <c r="T85" i="17"/>
  <c r="M6" i="51" s="1"/>
  <c r="S85" i="17"/>
  <c r="L6" i="51" s="1"/>
  <c r="N6" i="51" s="1"/>
  <c r="R85" i="17"/>
  <c r="Q85" i="17"/>
  <c r="J6" i="51" s="1"/>
  <c r="O6" i="51" s="1"/>
  <c r="O85" i="17"/>
  <c r="N85" i="17"/>
  <c r="M85" i="17"/>
  <c r="M86" i="17" s="1"/>
  <c r="L85" i="17"/>
  <c r="K85" i="17"/>
  <c r="J85" i="17"/>
  <c r="I85" i="17"/>
  <c r="H85" i="17"/>
  <c r="F85" i="17"/>
  <c r="F86" i="17" s="1"/>
  <c r="E85" i="17"/>
  <c r="E86" i="17" s="1"/>
  <c r="D85" i="17"/>
  <c r="C85" i="17"/>
  <c r="B85" i="17"/>
  <c r="V84" i="17"/>
  <c r="U84" i="17"/>
  <c r="P84" i="17"/>
  <c r="G84" i="17"/>
  <c r="A84" i="17"/>
  <c r="V83" i="17"/>
  <c r="U83" i="17"/>
  <c r="P83" i="17"/>
  <c r="G83" i="17"/>
  <c r="A83" i="17"/>
  <c r="V82" i="17"/>
  <c r="U82" i="17"/>
  <c r="P82" i="17"/>
  <c r="G82" i="17"/>
  <c r="A82" i="17"/>
  <c r="V81" i="17"/>
  <c r="U81" i="17"/>
  <c r="P81" i="17"/>
  <c r="G81" i="17"/>
  <c r="A81" i="17"/>
  <c r="V80" i="17"/>
  <c r="U80" i="17"/>
  <c r="P80" i="17"/>
  <c r="G80" i="17"/>
  <c r="A80" i="17"/>
  <c r="V79" i="17"/>
  <c r="U79" i="17"/>
  <c r="P79" i="17"/>
  <c r="G79" i="17"/>
  <c r="A79" i="17"/>
  <c r="V78" i="17"/>
  <c r="U78" i="17"/>
  <c r="P78" i="17"/>
  <c r="G78" i="17"/>
  <c r="A78" i="17"/>
  <c r="V77" i="17"/>
  <c r="V85" i="17" s="1"/>
  <c r="U77" i="17"/>
  <c r="P77" i="17"/>
  <c r="G77" i="17"/>
  <c r="A77" i="17"/>
  <c r="V76" i="17"/>
  <c r="U76" i="17"/>
  <c r="P76" i="17"/>
  <c r="G76" i="17"/>
  <c r="A76" i="17"/>
  <c r="V75" i="17"/>
  <c r="U75" i="17"/>
  <c r="P75" i="17"/>
  <c r="G75" i="17"/>
  <c r="A75" i="17"/>
  <c r="V74" i="17"/>
  <c r="U74" i="17"/>
  <c r="U85" i="17" s="1"/>
  <c r="P74" i="17"/>
  <c r="G74" i="17"/>
  <c r="A74" i="17"/>
  <c r="V73" i="17"/>
  <c r="U73" i="17"/>
  <c r="P73" i="17"/>
  <c r="G73" i="17"/>
  <c r="A73" i="17"/>
  <c r="O86" i="17" s="1"/>
  <c r="I63" i="17"/>
  <c r="T62" i="17"/>
  <c r="M5" i="51" s="1"/>
  <c r="S62" i="17"/>
  <c r="L5" i="51" s="1"/>
  <c r="N5" i="51" s="1"/>
  <c r="R62" i="17"/>
  <c r="S63" i="17" s="1"/>
  <c r="Q62" i="17"/>
  <c r="J5" i="51" s="1"/>
  <c r="O5" i="51" s="1"/>
  <c r="O62" i="17"/>
  <c r="N62" i="17"/>
  <c r="M62" i="17"/>
  <c r="L62" i="17"/>
  <c r="K62" i="17"/>
  <c r="J62" i="17"/>
  <c r="I62" i="17"/>
  <c r="H62" i="17"/>
  <c r="F62" i="17"/>
  <c r="F63" i="17" s="1"/>
  <c r="E62" i="17"/>
  <c r="E63" i="17" s="1"/>
  <c r="D62" i="17"/>
  <c r="C62" i="17"/>
  <c r="B62" i="17"/>
  <c r="V61" i="17"/>
  <c r="U61" i="17"/>
  <c r="P61" i="17"/>
  <c r="G61" i="17"/>
  <c r="A61" i="17"/>
  <c r="V60" i="17"/>
  <c r="U60" i="17"/>
  <c r="P60" i="17"/>
  <c r="P14" i="17" s="1"/>
  <c r="G60" i="17"/>
  <c r="A60" i="17"/>
  <c r="V59" i="17"/>
  <c r="U59" i="17"/>
  <c r="P59" i="17"/>
  <c r="G59" i="17"/>
  <c r="A59" i="17"/>
  <c r="V58" i="17"/>
  <c r="V12" i="17" s="1"/>
  <c r="U58" i="17"/>
  <c r="P58" i="17"/>
  <c r="G58" i="17"/>
  <c r="A58" i="17"/>
  <c r="V57" i="17"/>
  <c r="U57" i="17"/>
  <c r="P57" i="17"/>
  <c r="G57" i="17"/>
  <c r="A57" i="17"/>
  <c r="V56" i="17"/>
  <c r="U56" i="17"/>
  <c r="P56" i="17"/>
  <c r="G56" i="17"/>
  <c r="A56" i="17"/>
  <c r="V55" i="17"/>
  <c r="U55" i="17"/>
  <c r="P55" i="17"/>
  <c r="G55" i="17"/>
  <c r="A55" i="17"/>
  <c r="V54" i="17"/>
  <c r="V8" i="17" s="1"/>
  <c r="U54" i="17"/>
  <c r="P54" i="17"/>
  <c r="G54" i="17"/>
  <c r="A54" i="17"/>
  <c r="V53" i="17"/>
  <c r="U53" i="17"/>
  <c r="P53" i="17"/>
  <c r="G53" i="17"/>
  <c r="A53" i="17"/>
  <c r="V52" i="17"/>
  <c r="U52" i="17"/>
  <c r="P52" i="17"/>
  <c r="P6" i="17" s="1"/>
  <c r="G52" i="17"/>
  <c r="A52" i="17"/>
  <c r="V51" i="17"/>
  <c r="U51" i="17"/>
  <c r="U5" i="17" s="1"/>
  <c r="P51" i="17"/>
  <c r="G51" i="17"/>
  <c r="A51" i="17"/>
  <c r="V50" i="17"/>
  <c r="V4" i="17" s="1"/>
  <c r="U50" i="17"/>
  <c r="P50" i="17"/>
  <c r="P62" i="17" s="1"/>
  <c r="P63" i="17" s="1"/>
  <c r="G50" i="17"/>
  <c r="A50" i="17"/>
  <c r="O63" i="17" s="1"/>
  <c r="S40" i="17"/>
  <c r="O40" i="17"/>
  <c r="F40" i="17"/>
  <c r="T39" i="17"/>
  <c r="M4" i="51" s="1"/>
  <c r="S39" i="17"/>
  <c r="L4" i="51" s="1"/>
  <c r="R39" i="17"/>
  <c r="Q39" i="17"/>
  <c r="O39" i="17"/>
  <c r="N39" i="17"/>
  <c r="N40" i="17" s="1"/>
  <c r="M39" i="17"/>
  <c r="M40" i="17" s="1"/>
  <c r="L39" i="17"/>
  <c r="L40" i="17" s="1"/>
  <c r="K39" i="17"/>
  <c r="K40" i="17" s="1"/>
  <c r="J39" i="17"/>
  <c r="J40" i="17" s="1"/>
  <c r="F39" i="17"/>
  <c r="E39" i="17"/>
  <c r="E40" i="17" s="1"/>
  <c r="D39" i="17"/>
  <c r="D40" i="17" s="1"/>
  <c r="D41" i="17" s="1"/>
  <c r="C39" i="17"/>
  <c r="C40" i="17" s="1"/>
  <c r="C41" i="17" s="1"/>
  <c r="B39" i="17"/>
  <c r="B40" i="17" s="1"/>
  <c r="B41" i="17" s="1"/>
  <c r="I38" i="17"/>
  <c r="V38" i="17" s="1"/>
  <c r="H38" i="17"/>
  <c r="H15" i="17" s="1"/>
  <c r="G38" i="17"/>
  <c r="V37" i="17"/>
  <c r="U37" i="17"/>
  <c r="I37" i="17"/>
  <c r="H37" i="17"/>
  <c r="P37" i="17" s="1"/>
  <c r="G37" i="17"/>
  <c r="U36" i="17"/>
  <c r="U13" i="17" s="1"/>
  <c r="P36" i="17"/>
  <c r="I36" i="17"/>
  <c r="V36" i="17" s="1"/>
  <c r="H36" i="17"/>
  <c r="G36" i="17"/>
  <c r="P35" i="17"/>
  <c r="P12" i="17" s="1"/>
  <c r="I35" i="17"/>
  <c r="V35" i="17" s="1"/>
  <c r="H35" i="17"/>
  <c r="H12" i="17" s="1"/>
  <c r="G35" i="17"/>
  <c r="I34" i="17"/>
  <c r="V34" i="17" s="1"/>
  <c r="H34" i="17"/>
  <c r="G34" i="17"/>
  <c r="V33" i="17"/>
  <c r="U33" i="17"/>
  <c r="I33" i="17"/>
  <c r="H33" i="17"/>
  <c r="P33" i="17" s="1"/>
  <c r="P10" i="17" s="1"/>
  <c r="G33" i="17"/>
  <c r="V32" i="17"/>
  <c r="U32" i="17"/>
  <c r="P32" i="17"/>
  <c r="P9" i="17" s="1"/>
  <c r="G32" i="17"/>
  <c r="V31" i="17"/>
  <c r="U31" i="17"/>
  <c r="P31" i="17"/>
  <c r="G31" i="17"/>
  <c r="V30" i="17"/>
  <c r="U30" i="17"/>
  <c r="P30" i="17"/>
  <c r="P7" i="17" s="1"/>
  <c r="G30" i="17"/>
  <c r="V29" i="17"/>
  <c r="U29" i="17"/>
  <c r="P29" i="17"/>
  <c r="G29" i="17"/>
  <c r="V28" i="17"/>
  <c r="U28" i="17"/>
  <c r="P28" i="17"/>
  <c r="P5" i="17" s="1"/>
  <c r="G28" i="17"/>
  <c r="V27" i="17"/>
  <c r="U27" i="17"/>
  <c r="P27" i="17"/>
  <c r="G27" i="17"/>
  <c r="L16" i="17"/>
  <c r="J16" i="17"/>
  <c r="D16" i="17"/>
  <c r="B16" i="17"/>
  <c r="V15" i="17"/>
  <c r="T15" i="17"/>
  <c r="S15" i="17"/>
  <c r="R15" i="17"/>
  <c r="Q15" i="17"/>
  <c r="O15" i="17"/>
  <c r="N15" i="17"/>
  <c r="M15" i="17"/>
  <c r="L15" i="17"/>
  <c r="K15" i="17"/>
  <c r="J15" i="17"/>
  <c r="I15" i="17"/>
  <c r="G15" i="17"/>
  <c r="F15" i="17"/>
  <c r="E15" i="17"/>
  <c r="D15" i="17"/>
  <c r="C15" i="17"/>
  <c r="B15" i="17"/>
  <c r="A15" i="17"/>
  <c r="V14" i="17"/>
  <c r="U14" i="17"/>
  <c r="T14" i="17"/>
  <c r="S14" i="17"/>
  <c r="R14" i="17"/>
  <c r="Q14" i="17"/>
  <c r="O14" i="17"/>
  <c r="N14" i="17"/>
  <c r="M14" i="17"/>
  <c r="L14" i="17"/>
  <c r="K14" i="17"/>
  <c r="J14" i="17"/>
  <c r="I14" i="17"/>
  <c r="H14" i="17"/>
  <c r="F14" i="17"/>
  <c r="E14" i="17"/>
  <c r="D14" i="17"/>
  <c r="C14" i="17"/>
  <c r="G14" i="17" s="1"/>
  <c r="B14" i="17"/>
  <c r="A14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F13" i="17"/>
  <c r="E13" i="17"/>
  <c r="D13" i="17"/>
  <c r="C13" i="17"/>
  <c r="G13" i="17" s="1"/>
  <c r="B13" i="17"/>
  <c r="A13" i="17"/>
  <c r="T12" i="17"/>
  <c r="S12" i="17"/>
  <c r="R12" i="17"/>
  <c r="Q12" i="17"/>
  <c r="O12" i="17"/>
  <c r="N12" i="17"/>
  <c r="M12" i="17"/>
  <c r="L12" i="17"/>
  <c r="K12" i="17"/>
  <c r="J12" i="17"/>
  <c r="I12" i="17"/>
  <c r="G12" i="17"/>
  <c r="F12" i="17"/>
  <c r="E12" i="17"/>
  <c r="D12" i="17"/>
  <c r="C12" i="17"/>
  <c r="B12" i="17"/>
  <c r="A12" i="17"/>
  <c r="V11" i="17"/>
  <c r="T11" i="17"/>
  <c r="S11" i="17"/>
  <c r="R11" i="17"/>
  <c r="Q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V10" i="17"/>
  <c r="U10" i="17"/>
  <c r="T10" i="17"/>
  <c r="S10" i="17"/>
  <c r="R10" i="17"/>
  <c r="Q10" i="17"/>
  <c r="O10" i="17"/>
  <c r="N10" i="17"/>
  <c r="M10" i="17"/>
  <c r="L10" i="17"/>
  <c r="K10" i="17"/>
  <c r="J10" i="17"/>
  <c r="I10" i="17"/>
  <c r="H10" i="17"/>
  <c r="F10" i="17"/>
  <c r="E10" i="17"/>
  <c r="D10" i="17"/>
  <c r="C10" i="17"/>
  <c r="G10" i="17" s="1"/>
  <c r="B10" i="17"/>
  <c r="A10" i="17"/>
  <c r="T9" i="17"/>
  <c r="S9" i="17"/>
  <c r="R9" i="17"/>
  <c r="Q9" i="17"/>
  <c r="O9" i="17"/>
  <c r="N9" i="17"/>
  <c r="M9" i="17"/>
  <c r="L9" i="17"/>
  <c r="K9" i="17"/>
  <c r="J9" i="17"/>
  <c r="I9" i="17"/>
  <c r="H9" i="17"/>
  <c r="F9" i="17"/>
  <c r="E9" i="17"/>
  <c r="D9" i="17"/>
  <c r="C9" i="17"/>
  <c r="B9" i="17"/>
  <c r="G9" i="17" s="1"/>
  <c r="A9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V7" i="17"/>
  <c r="U7" i="17"/>
  <c r="T7" i="17"/>
  <c r="S7" i="17"/>
  <c r="R7" i="17"/>
  <c r="Q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V6" i="17"/>
  <c r="U6" i="17"/>
  <c r="T6" i="17"/>
  <c r="S6" i="17"/>
  <c r="R6" i="17"/>
  <c r="Q6" i="17"/>
  <c r="O6" i="17"/>
  <c r="N6" i="17"/>
  <c r="M6" i="17"/>
  <c r="L6" i="17"/>
  <c r="K6" i="17"/>
  <c r="J6" i="17"/>
  <c r="I6" i="17"/>
  <c r="H6" i="17"/>
  <c r="F6" i="17"/>
  <c r="E6" i="17"/>
  <c r="D6" i="17"/>
  <c r="C6" i="17"/>
  <c r="G6" i="17" s="1"/>
  <c r="B6" i="17"/>
  <c r="A6" i="17"/>
  <c r="V5" i="17"/>
  <c r="T5" i="17"/>
  <c r="S5" i="17"/>
  <c r="S16" i="17" s="1"/>
  <c r="R5" i="17"/>
  <c r="Q5" i="17"/>
  <c r="O5" i="17"/>
  <c r="N5" i="17"/>
  <c r="M5" i="17"/>
  <c r="L5" i="17"/>
  <c r="K5" i="17"/>
  <c r="J5" i="17"/>
  <c r="I5" i="17"/>
  <c r="H5" i="17"/>
  <c r="F5" i="17"/>
  <c r="E5" i="17"/>
  <c r="D5" i="17"/>
  <c r="C5" i="17"/>
  <c r="B5" i="17"/>
  <c r="G5" i="17" s="1"/>
  <c r="A5" i="17"/>
  <c r="U4" i="17"/>
  <c r="T4" i="17"/>
  <c r="T16" i="17" s="1"/>
  <c r="S4" i="17"/>
  <c r="R4" i="17"/>
  <c r="R16" i="17" s="1"/>
  <c r="Q4" i="17"/>
  <c r="Q16" i="17" s="1"/>
  <c r="P4" i="17"/>
  <c r="O4" i="17"/>
  <c r="O16" i="17" s="1"/>
  <c r="O17" i="17" s="1"/>
  <c r="N4" i="17"/>
  <c r="N16" i="17" s="1"/>
  <c r="N17" i="17" s="1"/>
  <c r="M4" i="17"/>
  <c r="M16" i="17" s="1"/>
  <c r="M17" i="17" s="1"/>
  <c r="L4" i="17"/>
  <c r="K4" i="17"/>
  <c r="K16" i="17" s="1"/>
  <c r="K17" i="17" s="1"/>
  <c r="J4" i="17"/>
  <c r="I4" i="17"/>
  <c r="I16" i="17" s="1"/>
  <c r="I17" i="17" s="1"/>
  <c r="H4" i="17"/>
  <c r="G4" i="17"/>
  <c r="F4" i="17"/>
  <c r="F16" i="17" s="1"/>
  <c r="F17" i="17" s="1"/>
  <c r="E4" i="17"/>
  <c r="E16" i="17" s="1"/>
  <c r="E17" i="17" s="1"/>
  <c r="D4" i="17"/>
  <c r="C4" i="17"/>
  <c r="C16" i="17" s="1"/>
  <c r="C17" i="17" s="1"/>
  <c r="B4" i="17"/>
  <c r="A4" i="17"/>
  <c r="C1" i="17"/>
  <c r="F14" i="58"/>
  <c r="E55" i="57"/>
  <c r="D55" i="57"/>
  <c r="D118" i="60"/>
  <c r="C118" i="60"/>
  <c r="B118" i="60"/>
  <c r="B117" i="60"/>
  <c r="D115" i="60"/>
  <c r="C115" i="60"/>
  <c r="B115" i="60"/>
  <c r="D114" i="60"/>
  <c r="C114" i="60"/>
  <c r="C116" i="60" s="1"/>
  <c r="B114" i="60"/>
  <c r="D113" i="60"/>
  <c r="C113" i="60"/>
  <c r="C117" i="60" s="1"/>
  <c r="B113" i="60"/>
  <c r="D112" i="60"/>
  <c r="C112" i="60"/>
  <c r="B112" i="60"/>
  <c r="B116" i="60" s="1"/>
  <c r="D111" i="60"/>
  <c r="D117" i="60" s="1"/>
  <c r="D119" i="60" s="1"/>
  <c r="C111" i="60"/>
  <c r="B111" i="60"/>
  <c r="D110" i="60"/>
  <c r="D116" i="60" s="1"/>
  <c r="C110" i="60"/>
  <c r="B110" i="60"/>
  <c r="D109" i="60"/>
  <c r="C109" i="60"/>
  <c r="B109" i="60"/>
  <c r="D101" i="60"/>
  <c r="C101" i="60"/>
  <c r="D99" i="60"/>
  <c r="C99" i="60"/>
  <c r="B99" i="60"/>
  <c r="B101" i="60" s="1"/>
  <c r="D98" i="60"/>
  <c r="C98" i="60"/>
  <c r="B98" i="60"/>
  <c r="D80" i="60"/>
  <c r="D78" i="60"/>
  <c r="C78" i="60"/>
  <c r="C80" i="60" s="1"/>
  <c r="B78" i="60"/>
  <c r="B80" i="60" s="1"/>
  <c r="D77" i="60"/>
  <c r="C77" i="60"/>
  <c r="B77" i="60"/>
  <c r="D57" i="60"/>
  <c r="D59" i="60" s="1"/>
  <c r="C57" i="60"/>
  <c r="C59" i="60" s="1"/>
  <c r="B57" i="60"/>
  <c r="B59" i="60" s="1"/>
  <c r="D56" i="60"/>
  <c r="C56" i="60"/>
  <c r="B56" i="60"/>
  <c r="B38" i="60"/>
  <c r="D36" i="60"/>
  <c r="D38" i="60" s="1"/>
  <c r="C36" i="60"/>
  <c r="C38" i="60" s="1"/>
  <c r="B36" i="60"/>
  <c r="D35" i="60"/>
  <c r="C35" i="60"/>
  <c r="B35" i="60"/>
  <c r="C17" i="60"/>
  <c r="D15" i="60"/>
  <c r="D17" i="60" s="1"/>
  <c r="C15" i="60"/>
  <c r="B15" i="60"/>
  <c r="B17" i="60" s="1"/>
  <c r="D14" i="60"/>
  <c r="C14" i="60"/>
  <c r="B14" i="60"/>
  <c r="E94" i="43"/>
  <c r="D94" i="43"/>
  <c r="C94" i="43"/>
  <c r="E93" i="43"/>
  <c r="C93" i="43"/>
  <c r="E91" i="43"/>
  <c r="D91" i="43"/>
  <c r="C91" i="43"/>
  <c r="E89" i="43"/>
  <c r="D89" i="43"/>
  <c r="C89" i="43"/>
  <c r="E84" i="43"/>
  <c r="D84" i="43"/>
  <c r="C84" i="43"/>
  <c r="E82" i="43"/>
  <c r="D82" i="43"/>
  <c r="C82" i="43"/>
  <c r="E81" i="43"/>
  <c r="D81" i="43"/>
  <c r="C81" i="43"/>
  <c r="E72" i="43"/>
  <c r="D72" i="43"/>
  <c r="E70" i="43"/>
  <c r="D70" i="43"/>
  <c r="C70" i="43"/>
  <c r="C66" i="43"/>
  <c r="E65" i="43"/>
  <c r="D65" i="43"/>
  <c r="C65" i="43"/>
  <c r="E64" i="43"/>
  <c r="D64" i="43"/>
  <c r="C64" i="43"/>
  <c r="E62" i="43"/>
  <c r="D62" i="43"/>
  <c r="C62" i="43"/>
  <c r="E59" i="43"/>
  <c r="D59" i="43"/>
  <c r="C59" i="43"/>
  <c r="E58" i="43"/>
  <c r="D58" i="43"/>
  <c r="C58" i="43"/>
  <c r="E55" i="43"/>
  <c r="D55" i="43"/>
  <c r="C55" i="43"/>
  <c r="E43" i="43"/>
  <c r="D43" i="43"/>
  <c r="C43" i="43"/>
  <c r="E42" i="43"/>
  <c r="D42" i="43"/>
  <c r="C42" i="43"/>
  <c r="D41" i="43"/>
  <c r="C41" i="43"/>
  <c r="E38" i="43"/>
  <c r="D38" i="43"/>
  <c r="E37" i="43"/>
  <c r="C37" i="43"/>
  <c r="E31" i="43"/>
  <c r="C31" i="43"/>
  <c r="E30" i="43"/>
  <c r="D30" i="43"/>
  <c r="C30" i="43"/>
  <c r="E27" i="43"/>
  <c r="D27" i="43"/>
  <c r="C27" i="43"/>
  <c r="E26" i="43"/>
  <c r="C26" i="43"/>
  <c r="E21" i="43"/>
  <c r="D21" i="43"/>
  <c r="C21" i="43"/>
  <c r="E16" i="43"/>
  <c r="D16" i="43"/>
  <c r="C16" i="43"/>
  <c r="E13" i="43"/>
  <c r="D13" i="43"/>
  <c r="C13" i="43"/>
  <c r="E9" i="43"/>
  <c r="D9" i="43"/>
  <c r="C9" i="43"/>
  <c r="E8" i="43"/>
  <c r="D8" i="43"/>
  <c r="C8" i="43"/>
  <c r="E6" i="43"/>
  <c r="D6" i="43"/>
  <c r="C6" i="43"/>
  <c r="E5" i="43"/>
  <c r="D5" i="43"/>
  <c r="E3" i="43"/>
  <c r="D3" i="43"/>
  <c r="C3" i="43"/>
  <c r="E2" i="43"/>
  <c r="D2" i="43"/>
  <c r="C2" i="43"/>
  <c r="E1" i="43"/>
  <c r="G1" i="43" s="1"/>
  <c r="C1" i="43"/>
  <c r="E52" i="44"/>
  <c r="D52" i="44"/>
  <c r="C52" i="44"/>
  <c r="E50" i="44"/>
  <c r="D50" i="44"/>
  <c r="C50" i="44"/>
  <c r="E49" i="44"/>
  <c r="D49" i="44"/>
  <c r="C49" i="44"/>
  <c r="E44" i="44"/>
  <c r="D44" i="44"/>
  <c r="C44" i="44"/>
  <c r="E42" i="44"/>
  <c r="D42" i="44"/>
  <c r="C42" i="44"/>
  <c r="E41" i="44"/>
  <c r="D41" i="44"/>
  <c r="C41" i="44"/>
  <c r="E40" i="44"/>
  <c r="D40" i="44"/>
  <c r="C40" i="44"/>
  <c r="E35" i="44"/>
  <c r="D35" i="44"/>
  <c r="C35" i="44"/>
  <c r="E27" i="44"/>
  <c r="D27" i="44"/>
  <c r="C27" i="44"/>
  <c r="E25" i="44"/>
  <c r="D25" i="44"/>
  <c r="C25" i="44"/>
  <c r="E24" i="44"/>
  <c r="D24" i="44"/>
  <c r="C24" i="44"/>
  <c r="E18" i="44"/>
  <c r="D18" i="44"/>
  <c r="C18" i="44"/>
  <c r="E16" i="44"/>
  <c r="D16" i="44"/>
  <c r="C16" i="44"/>
  <c r="E15" i="44"/>
  <c r="D15" i="44"/>
  <c r="C15" i="44"/>
  <c r="D14" i="44"/>
  <c r="C14" i="44"/>
  <c r="E5" i="44"/>
  <c r="D5" i="44"/>
  <c r="C5" i="44"/>
  <c r="E4" i="44"/>
  <c r="D4" i="44"/>
  <c r="C4" i="44"/>
  <c r="E3" i="44"/>
  <c r="D3" i="44"/>
  <c r="C3" i="44"/>
  <c r="F1" i="44"/>
  <c r="E1" i="44"/>
  <c r="C1" i="44" s="1"/>
  <c r="D1" i="44"/>
  <c r="G36" i="56"/>
  <c r="G29" i="56"/>
  <c r="G28" i="56"/>
  <c r="G27" i="56"/>
  <c r="D23" i="56"/>
  <c r="B23" i="56"/>
  <c r="E22" i="56"/>
  <c r="D22" i="56"/>
  <c r="C22" i="56"/>
  <c r="B22" i="56"/>
  <c r="G21" i="56"/>
  <c r="G20" i="56"/>
  <c r="G19" i="56"/>
  <c r="G18" i="56"/>
  <c r="G22" i="56" s="1"/>
  <c r="G17" i="56"/>
  <c r="E15" i="56"/>
  <c r="E23" i="56" s="1"/>
  <c r="D15" i="56"/>
  <c r="C15" i="56"/>
  <c r="C23" i="56" s="1"/>
  <c r="B15" i="56"/>
  <c r="G14" i="56"/>
  <c r="G13" i="56"/>
  <c r="G12" i="56"/>
  <c r="G11" i="56"/>
  <c r="G10" i="56"/>
  <c r="D22" i="52" s="1"/>
  <c r="G9" i="56"/>
  <c r="G8" i="56"/>
  <c r="G15" i="56" s="1"/>
  <c r="G23" i="56" s="1"/>
  <c r="G36" i="55"/>
  <c r="G29" i="55"/>
  <c r="G28" i="55"/>
  <c r="G27" i="55"/>
  <c r="E23" i="55"/>
  <c r="C23" i="55"/>
  <c r="E22" i="55"/>
  <c r="D22" i="55"/>
  <c r="C22" i="55"/>
  <c r="B22" i="55"/>
  <c r="G21" i="55"/>
  <c r="G20" i="55"/>
  <c r="G19" i="55"/>
  <c r="G18" i="55"/>
  <c r="G22" i="55" s="1"/>
  <c r="G17" i="55"/>
  <c r="E15" i="55"/>
  <c r="D15" i="55"/>
  <c r="D23" i="55" s="1"/>
  <c r="C15" i="55"/>
  <c r="B15" i="55"/>
  <c r="B23" i="55" s="1"/>
  <c r="G14" i="55"/>
  <c r="G13" i="55"/>
  <c r="G12" i="55"/>
  <c r="G11" i="55"/>
  <c r="G10" i="55"/>
  <c r="G9" i="55"/>
  <c r="G8" i="55"/>
  <c r="G15" i="55" s="1"/>
  <c r="G36" i="54"/>
  <c r="G29" i="54"/>
  <c r="G28" i="54"/>
  <c r="G27" i="54"/>
  <c r="D23" i="54"/>
  <c r="B23" i="54"/>
  <c r="E22" i="54"/>
  <c r="D22" i="54"/>
  <c r="C22" i="54"/>
  <c r="B22" i="54"/>
  <c r="G21" i="54"/>
  <c r="G20" i="54"/>
  <c r="G19" i="54"/>
  <c r="G18" i="54"/>
  <c r="G17" i="54"/>
  <c r="G22" i="54" s="1"/>
  <c r="E15" i="54"/>
  <c r="E23" i="54" s="1"/>
  <c r="D15" i="54"/>
  <c r="C15" i="54"/>
  <c r="C23" i="54" s="1"/>
  <c r="B15" i="54"/>
  <c r="G14" i="54"/>
  <c r="G13" i="54"/>
  <c r="G12" i="54"/>
  <c r="G11" i="54"/>
  <c r="G10" i="54"/>
  <c r="G9" i="54"/>
  <c r="G8" i="54"/>
  <c r="D20" i="52" s="1"/>
  <c r="G36" i="53"/>
  <c r="G29" i="53"/>
  <c r="G28" i="53"/>
  <c r="G27" i="53"/>
  <c r="C23" i="53"/>
  <c r="G22" i="53"/>
  <c r="E22" i="53"/>
  <c r="D22" i="53"/>
  <c r="C22" i="53"/>
  <c r="B22" i="53"/>
  <c r="G21" i="53"/>
  <c r="G20" i="53"/>
  <c r="G19" i="53"/>
  <c r="G18" i="53"/>
  <c r="G17" i="53"/>
  <c r="E15" i="53"/>
  <c r="E23" i="53" s="1"/>
  <c r="D15" i="53"/>
  <c r="D23" i="53" s="1"/>
  <c r="C15" i="53"/>
  <c r="B15" i="53"/>
  <c r="B23" i="53" s="1"/>
  <c r="G14" i="53"/>
  <c r="G13" i="53"/>
  <c r="G12" i="53"/>
  <c r="G11" i="53"/>
  <c r="G15" i="53" s="1"/>
  <c r="G23" i="53" s="1"/>
  <c r="G10" i="53"/>
  <c r="G9" i="53"/>
  <c r="G8" i="53"/>
  <c r="B67" i="52"/>
  <c r="F44" i="52"/>
  <c r="F43" i="52"/>
  <c r="D43" i="52"/>
  <c r="F40" i="52"/>
  <c r="D40" i="52"/>
  <c r="F39" i="52"/>
  <c r="D39" i="52"/>
  <c r="D38" i="52"/>
  <c r="F38" i="52" s="1"/>
  <c r="F37" i="52"/>
  <c r="D36" i="52"/>
  <c r="F36" i="52" s="1"/>
  <c r="D30" i="52"/>
  <c r="F30" i="52" s="1"/>
  <c r="C30" i="52"/>
  <c r="D29" i="52"/>
  <c r="F29" i="52" s="1"/>
  <c r="C29" i="52"/>
  <c r="D28" i="52"/>
  <c r="F28" i="52" s="1"/>
  <c r="C28" i="52"/>
  <c r="D21" i="52"/>
  <c r="B15" i="52"/>
  <c r="B14" i="52"/>
  <c r="B52" i="52" s="1"/>
  <c r="E45" i="4"/>
  <c r="F40" i="4"/>
  <c r="K39" i="4"/>
  <c r="J39" i="4"/>
  <c r="C9" i="59" s="1"/>
  <c r="I39" i="4"/>
  <c r="C8" i="59" s="1"/>
  <c r="H39" i="4"/>
  <c r="O38" i="4"/>
  <c r="M38" i="4"/>
  <c r="O37" i="4"/>
  <c r="M37" i="4"/>
  <c r="O36" i="4"/>
  <c r="M36" i="4"/>
  <c r="O35" i="4"/>
  <c r="M35" i="4"/>
  <c r="O34" i="4"/>
  <c r="M34" i="4"/>
  <c r="B28" i="4"/>
  <c r="D27" i="4"/>
  <c r="D28" i="4" s="1"/>
  <c r="K26" i="4"/>
  <c r="J26" i="4"/>
  <c r="I26" i="4"/>
  <c r="G26" i="4"/>
  <c r="K25" i="4"/>
  <c r="J25" i="4"/>
  <c r="I25" i="4"/>
  <c r="G25" i="4"/>
  <c r="K24" i="4"/>
  <c r="J24" i="4"/>
  <c r="I24" i="4"/>
  <c r="G24" i="4"/>
  <c r="K23" i="4"/>
  <c r="J23" i="4"/>
  <c r="I23" i="4"/>
  <c r="G23" i="4"/>
  <c r="K22" i="4"/>
  <c r="I22" i="4"/>
  <c r="G22" i="4"/>
  <c r="G27" i="4" s="1"/>
  <c r="C63" i="50" s="1"/>
  <c r="F8" i="4"/>
  <c r="E8" i="4"/>
  <c r="F7" i="4"/>
  <c r="E7" i="4"/>
  <c r="E27" i="4" l="1"/>
  <c r="F27" i="4"/>
  <c r="B3" i="52" s="1"/>
  <c r="B2" i="52"/>
  <c r="E31" i="50"/>
  <c r="C45" i="50" s="1"/>
  <c r="H28" i="4"/>
  <c r="G7" i="51"/>
  <c r="U109" i="17"/>
  <c r="U201" i="17"/>
  <c r="G11" i="51"/>
  <c r="G15" i="51"/>
  <c r="U293" i="17"/>
  <c r="C2" i="44"/>
  <c r="D120" i="60"/>
  <c r="C23" i="44" s="1"/>
  <c r="C119" i="60"/>
  <c r="V431" i="17"/>
  <c r="H21" i="51"/>
  <c r="V454" i="17"/>
  <c r="H22" i="51"/>
  <c r="V155" i="17"/>
  <c r="H9" i="51"/>
  <c r="V247" i="17"/>
  <c r="H13" i="51"/>
  <c r="V339" i="17"/>
  <c r="H17" i="51"/>
  <c r="S17" i="17"/>
  <c r="H16" i="17"/>
  <c r="H17" i="17" s="1"/>
  <c r="U86" i="17"/>
  <c r="G6" i="51"/>
  <c r="V86" i="17"/>
  <c r="H6" i="51"/>
  <c r="G10" i="51"/>
  <c r="U178" i="17"/>
  <c r="H10" i="51"/>
  <c r="V178" i="17"/>
  <c r="U270" i="17"/>
  <c r="G14" i="51"/>
  <c r="V270" i="17"/>
  <c r="H14" i="51"/>
  <c r="G18" i="51"/>
  <c r="U362" i="17"/>
  <c r="H18" i="51"/>
  <c r="V362" i="17"/>
  <c r="U132" i="17"/>
  <c r="G8" i="51"/>
  <c r="U155" i="17"/>
  <c r="G9" i="51"/>
  <c r="U247" i="17"/>
  <c r="G13" i="51"/>
  <c r="U316" i="17"/>
  <c r="G16" i="51"/>
  <c r="U339" i="17"/>
  <c r="G17" i="51"/>
  <c r="U385" i="17"/>
  <c r="G19" i="51"/>
  <c r="G60" i="61"/>
  <c r="D68" i="61"/>
  <c r="V316" i="17"/>
  <c r="H16" i="51"/>
  <c r="D2" i="44"/>
  <c r="C120" i="60"/>
  <c r="D23" i="44" s="1"/>
  <c r="J1" i="30"/>
  <c r="M2" i="31"/>
  <c r="Q44" i="31"/>
  <c r="Q43" i="31"/>
  <c r="O43" i="31" s="1"/>
  <c r="Q42" i="31"/>
  <c r="O42" i="31" s="1"/>
  <c r="Q41" i="31"/>
  <c r="Q40" i="31"/>
  <c r="M1" i="31"/>
  <c r="K1" i="19"/>
  <c r="Q46" i="19"/>
  <c r="Q42" i="19"/>
  <c r="Q44" i="30"/>
  <c r="O44" i="30" s="1"/>
  <c r="Q40" i="30"/>
  <c r="Q43" i="19"/>
  <c r="Q41" i="30"/>
  <c r="Q45" i="19"/>
  <c r="Q42" i="30"/>
  <c r="J2" i="30"/>
  <c r="K2" i="19"/>
  <c r="O46" i="19" s="1"/>
  <c r="Q43" i="30"/>
  <c r="Q44" i="19"/>
  <c r="D2" i="18"/>
  <c r="N42" i="18" s="1"/>
  <c r="B35" i="18"/>
  <c r="P42" i="18"/>
  <c r="P40" i="18"/>
  <c r="P38" i="18"/>
  <c r="N38" i="18" s="1"/>
  <c r="D1" i="18"/>
  <c r="P41" i="18"/>
  <c r="P39" i="18"/>
  <c r="H1" i="48"/>
  <c r="N39" i="48" s="1"/>
  <c r="P39" i="48"/>
  <c r="P38" i="48"/>
  <c r="P37" i="48"/>
  <c r="N37" i="48" s="1"/>
  <c r="P36" i="48"/>
  <c r="N36" i="48" s="1"/>
  <c r="P35" i="48"/>
  <c r="N35" i="48" s="1"/>
  <c r="H1" i="51"/>
  <c r="C36" i="51" s="1"/>
  <c r="P47" i="51"/>
  <c r="N34" i="4"/>
  <c r="P45" i="51"/>
  <c r="N36" i="4"/>
  <c r="P44" i="51"/>
  <c r="N37" i="4"/>
  <c r="P48" i="51"/>
  <c r="N38" i="4"/>
  <c r="J22" i="4"/>
  <c r="N35" i="4"/>
  <c r="P46" i="51"/>
  <c r="E2" i="44"/>
  <c r="B120" i="60"/>
  <c r="E23" i="44" s="1"/>
  <c r="G20" i="51"/>
  <c r="U408" i="17"/>
  <c r="V408" i="17"/>
  <c r="H20" i="51"/>
  <c r="V132" i="17"/>
  <c r="H8" i="51"/>
  <c r="V224" i="17"/>
  <c r="H12" i="51"/>
  <c r="V385" i="17"/>
  <c r="H19" i="51"/>
  <c r="D25" i="52"/>
  <c r="G23" i="55"/>
  <c r="G16" i="17"/>
  <c r="G17" i="17" s="1"/>
  <c r="V13" i="17"/>
  <c r="V16" i="17" s="1"/>
  <c r="V17" i="17" s="1"/>
  <c r="V39" i="17"/>
  <c r="N4" i="51"/>
  <c r="G12" i="51"/>
  <c r="U224" i="17"/>
  <c r="J17" i="17"/>
  <c r="B132" i="17"/>
  <c r="B133" i="17" s="1"/>
  <c r="V476" i="17"/>
  <c r="F20" i="66"/>
  <c r="C110" i="66"/>
  <c r="C21" i="66"/>
  <c r="F21" i="66" s="1"/>
  <c r="B117" i="66"/>
  <c r="B121" i="66" s="1"/>
  <c r="C91" i="66"/>
  <c r="C71" i="66"/>
  <c r="G47" i="61"/>
  <c r="E50" i="61"/>
  <c r="E54" i="61" s="1"/>
  <c r="M43" i="19"/>
  <c r="M41" i="30"/>
  <c r="M41" i="31"/>
  <c r="L39" i="18"/>
  <c r="L45" i="51"/>
  <c r="L36" i="48"/>
  <c r="B5" i="52"/>
  <c r="D1" i="43"/>
  <c r="U35" i="17"/>
  <c r="U12" i="17" s="1"/>
  <c r="J63" i="17"/>
  <c r="M63" i="17"/>
  <c r="G85" i="17"/>
  <c r="G86" i="17" s="1"/>
  <c r="H86" i="17"/>
  <c r="C132" i="17"/>
  <c r="C133" i="17" s="1"/>
  <c r="L132" i="17"/>
  <c r="J155" i="17"/>
  <c r="N9" i="51"/>
  <c r="M155" i="17"/>
  <c r="G177" i="17"/>
  <c r="G178" i="17" s="1"/>
  <c r="H178" i="17"/>
  <c r="C224" i="17"/>
  <c r="C225" i="17" s="1"/>
  <c r="L224" i="17"/>
  <c r="J247" i="17"/>
  <c r="M247" i="17"/>
  <c r="G269" i="17"/>
  <c r="G270" i="17" s="1"/>
  <c r="H270" i="17"/>
  <c r="C316" i="17"/>
  <c r="C317" i="17" s="1"/>
  <c r="L316" i="17"/>
  <c r="J339" i="17"/>
  <c r="N17" i="51"/>
  <c r="M339" i="17"/>
  <c r="G361" i="17"/>
  <c r="G362" i="17" s="1"/>
  <c r="I362" i="17"/>
  <c r="P384" i="17"/>
  <c r="P385" i="17" s="1"/>
  <c r="J408" i="17"/>
  <c r="B431" i="17"/>
  <c r="B432" i="17" s="1"/>
  <c r="K431" i="17"/>
  <c r="G453" i="17"/>
  <c r="G454" i="17" s="1"/>
  <c r="S454" i="17"/>
  <c r="D477" i="17"/>
  <c r="D478" i="17" s="1"/>
  <c r="I14" i="48"/>
  <c r="O9" i="51"/>
  <c r="O17" i="51"/>
  <c r="F10" i="66"/>
  <c r="C11" i="66"/>
  <c r="B96" i="66"/>
  <c r="B62" i="66"/>
  <c r="B84" i="66" s="1"/>
  <c r="E67" i="64"/>
  <c r="E95" i="64"/>
  <c r="G63" i="64"/>
  <c r="E57" i="66"/>
  <c r="K224" i="17"/>
  <c r="M454" i="17"/>
  <c r="E454" i="17"/>
  <c r="H454" i="17"/>
  <c r="O454" i="17"/>
  <c r="D17" i="17"/>
  <c r="L17" i="17"/>
  <c r="B63" i="17"/>
  <c r="B64" i="17" s="1"/>
  <c r="B18" i="17" s="1"/>
  <c r="K63" i="17"/>
  <c r="N63" i="17"/>
  <c r="P85" i="17"/>
  <c r="P86" i="17" s="1"/>
  <c r="I86" i="17"/>
  <c r="O109" i="17"/>
  <c r="D132" i="17"/>
  <c r="D133" i="17" s="1"/>
  <c r="B155" i="17"/>
  <c r="B156" i="17" s="1"/>
  <c r="K155" i="17"/>
  <c r="N155" i="17"/>
  <c r="P177" i="17"/>
  <c r="P178" i="17" s="1"/>
  <c r="I178" i="17"/>
  <c r="O201" i="17"/>
  <c r="D224" i="17"/>
  <c r="D225" i="17" s="1"/>
  <c r="B247" i="17"/>
  <c r="B248" i="17" s="1"/>
  <c r="K247" i="17"/>
  <c r="N247" i="17"/>
  <c r="P269" i="17"/>
  <c r="P270" i="17" s="1"/>
  <c r="I270" i="17"/>
  <c r="O293" i="17"/>
  <c r="D316" i="17"/>
  <c r="D317" i="17" s="1"/>
  <c r="B339" i="17"/>
  <c r="B340" i="17" s="1"/>
  <c r="K339" i="17"/>
  <c r="N339" i="17"/>
  <c r="P361" i="17"/>
  <c r="P362" i="17" s="1"/>
  <c r="N362" i="17"/>
  <c r="C431" i="17"/>
  <c r="C432" i="17" s="1"/>
  <c r="L431" i="17"/>
  <c r="P453" i="17"/>
  <c r="P454" i="17" s="1"/>
  <c r="C62" i="50"/>
  <c r="B48" i="66"/>
  <c r="G42" i="66"/>
  <c r="F61" i="66"/>
  <c r="G17" i="61"/>
  <c r="E19" i="61"/>
  <c r="E94" i="61"/>
  <c r="D99" i="61"/>
  <c r="T17" i="17"/>
  <c r="B17" i="17"/>
  <c r="N132" i="17"/>
  <c r="B316" i="17"/>
  <c r="B317" i="17" s="1"/>
  <c r="F28" i="4"/>
  <c r="B10" i="52"/>
  <c r="B57" i="52"/>
  <c r="G1" i="44"/>
  <c r="F1" i="43"/>
  <c r="U34" i="17"/>
  <c r="U11" i="17" s="1"/>
  <c r="U16" i="17" s="1"/>
  <c r="U17" i="17" s="1"/>
  <c r="P34" i="17"/>
  <c r="P11" i="17" s="1"/>
  <c r="T40" i="17"/>
  <c r="C63" i="17"/>
  <c r="C64" i="17" s="1"/>
  <c r="C18" i="17" s="1"/>
  <c r="L63" i="17"/>
  <c r="U62" i="17"/>
  <c r="J86" i="17"/>
  <c r="G108" i="17"/>
  <c r="G109" i="17" s="1"/>
  <c r="H109" i="17"/>
  <c r="C155" i="17"/>
  <c r="C156" i="17" s="1"/>
  <c r="L155" i="17"/>
  <c r="J178" i="17"/>
  <c r="G200" i="17"/>
  <c r="G201" i="17" s="1"/>
  <c r="O11" i="51"/>
  <c r="H201" i="17"/>
  <c r="C247" i="17"/>
  <c r="C248" i="17" s="1"/>
  <c r="L247" i="17"/>
  <c r="J270" i="17"/>
  <c r="G292" i="17"/>
  <c r="G293" i="17" s="1"/>
  <c r="H293" i="17"/>
  <c r="C339" i="17"/>
  <c r="C340" i="17" s="1"/>
  <c r="L339" i="17"/>
  <c r="J362" i="17"/>
  <c r="B385" i="17"/>
  <c r="B386" i="17" s="1"/>
  <c r="K385" i="17"/>
  <c r="S385" i="17"/>
  <c r="C408" i="17"/>
  <c r="C409" i="17" s="1"/>
  <c r="L408" i="17"/>
  <c r="D431" i="17"/>
  <c r="D432" i="17" s="1"/>
  <c r="J454" i="17"/>
  <c r="M477" i="17"/>
  <c r="E477" i="17"/>
  <c r="H477" i="17"/>
  <c r="O477" i="17"/>
  <c r="U476" i="17"/>
  <c r="J26" i="19"/>
  <c r="L24" i="31"/>
  <c r="I24" i="30"/>
  <c r="L24" i="5"/>
  <c r="K24" i="5"/>
  <c r="J24" i="5"/>
  <c r="B22" i="18"/>
  <c r="J31" i="5"/>
  <c r="L31" i="5"/>
  <c r="K31" i="5"/>
  <c r="C21" i="48"/>
  <c r="C3" i="59"/>
  <c r="D123" i="66"/>
  <c r="D113" i="66"/>
  <c r="G45" i="66"/>
  <c r="G59" i="66"/>
  <c r="B71" i="66"/>
  <c r="B81" i="66" s="1"/>
  <c r="G75" i="66"/>
  <c r="H7" i="51"/>
  <c r="V109" i="17"/>
  <c r="N224" i="17"/>
  <c r="K316" i="17"/>
  <c r="N316" i="17"/>
  <c r="H362" i="17"/>
  <c r="D23" i="52"/>
  <c r="D24" i="52" s="1"/>
  <c r="D26" i="52" s="1"/>
  <c r="F26" i="52" s="1"/>
  <c r="F45" i="52" s="1"/>
  <c r="G28" i="4"/>
  <c r="M44" i="19"/>
  <c r="M42" i="30"/>
  <c r="M42" i="31"/>
  <c r="L40" i="18"/>
  <c r="L46" i="51"/>
  <c r="L37" i="48"/>
  <c r="D63" i="17"/>
  <c r="D64" i="17" s="1"/>
  <c r="D18" i="17" s="1"/>
  <c r="V62" i="17"/>
  <c r="B86" i="17"/>
  <c r="B87" i="17" s="1"/>
  <c r="K86" i="17"/>
  <c r="N86" i="17"/>
  <c r="P108" i="17"/>
  <c r="P109" i="17" s="1"/>
  <c r="I109" i="17"/>
  <c r="O132" i="17"/>
  <c r="D155" i="17"/>
  <c r="D156" i="17" s="1"/>
  <c r="B178" i="17"/>
  <c r="B179" i="17" s="1"/>
  <c r="K178" i="17"/>
  <c r="N178" i="17"/>
  <c r="P200" i="17"/>
  <c r="P201" i="17" s="1"/>
  <c r="I201" i="17"/>
  <c r="O224" i="17"/>
  <c r="D247" i="17"/>
  <c r="D248" i="17" s="1"/>
  <c r="B270" i="17"/>
  <c r="B271" i="17" s="1"/>
  <c r="K270" i="17"/>
  <c r="N270" i="17"/>
  <c r="P292" i="17"/>
  <c r="P293" i="17" s="1"/>
  <c r="I293" i="17"/>
  <c r="O316" i="17"/>
  <c r="D339" i="17"/>
  <c r="D340" i="17" s="1"/>
  <c r="B362" i="17"/>
  <c r="B363" i="17" s="1"/>
  <c r="K362" i="17"/>
  <c r="S362" i="17"/>
  <c r="C385" i="17"/>
  <c r="C386" i="17" s="1"/>
  <c r="L385" i="17"/>
  <c r="D408" i="17"/>
  <c r="D409" i="17" s="1"/>
  <c r="M408" i="17"/>
  <c r="B454" i="17"/>
  <c r="B455" i="17" s="1"/>
  <c r="K454" i="17"/>
  <c r="G476" i="17"/>
  <c r="G477" i="17" s="1"/>
  <c r="S477" i="17"/>
  <c r="C14" i="59"/>
  <c r="C43" i="59" s="1"/>
  <c r="O14" i="48"/>
  <c r="C18" i="48" s="1"/>
  <c r="C19" i="48" s="1"/>
  <c r="C26" i="48" s="1"/>
  <c r="L21" i="51"/>
  <c r="C112" i="66"/>
  <c r="F35" i="66"/>
  <c r="F51" i="66"/>
  <c r="E91" i="66"/>
  <c r="B89" i="66"/>
  <c r="K132" i="17"/>
  <c r="B224" i="17"/>
  <c r="B225" i="17" s="1"/>
  <c r="H15" i="51"/>
  <c r="V293" i="17"/>
  <c r="U454" i="17"/>
  <c r="G22" i="51"/>
  <c r="L477" i="17"/>
  <c r="B119" i="66"/>
  <c r="F78" i="66"/>
  <c r="C54" i="62"/>
  <c r="M46" i="19"/>
  <c r="M44" i="30"/>
  <c r="M44" i="31"/>
  <c r="L42" i="18"/>
  <c r="L48" i="51"/>
  <c r="L39" i="48"/>
  <c r="B9" i="52"/>
  <c r="B11" i="52" s="1"/>
  <c r="B56" i="52" s="1"/>
  <c r="I23" i="30"/>
  <c r="L23" i="31"/>
  <c r="J25" i="19"/>
  <c r="B21" i="18"/>
  <c r="C29" i="51"/>
  <c r="C2" i="59"/>
  <c r="C20" i="48"/>
  <c r="G15" i="54"/>
  <c r="G23" i="54" s="1"/>
  <c r="G39" i="17"/>
  <c r="G40" i="17" s="1"/>
  <c r="C86" i="17"/>
  <c r="C87" i="17" s="1"/>
  <c r="L86" i="17"/>
  <c r="J109" i="17"/>
  <c r="G131" i="17"/>
  <c r="G132" i="17" s="1"/>
  <c r="O8" i="51"/>
  <c r="C178" i="17"/>
  <c r="C179" i="17" s="1"/>
  <c r="L178" i="17"/>
  <c r="J201" i="17"/>
  <c r="G223" i="17"/>
  <c r="G224" i="17" s="1"/>
  <c r="C270" i="17"/>
  <c r="C271" i="17" s="1"/>
  <c r="L270" i="17"/>
  <c r="J293" i="17"/>
  <c r="G315" i="17"/>
  <c r="G316" i="17" s="1"/>
  <c r="O16" i="51"/>
  <c r="C362" i="17"/>
  <c r="C363" i="17" s="1"/>
  <c r="L362" i="17"/>
  <c r="D385" i="17"/>
  <c r="D386" i="17" s="1"/>
  <c r="M385" i="17"/>
  <c r="G386" i="17"/>
  <c r="E408" i="17"/>
  <c r="M431" i="17"/>
  <c r="E431" i="17"/>
  <c r="H431" i="17"/>
  <c r="O431" i="17"/>
  <c r="U430" i="17"/>
  <c r="N431" i="17"/>
  <c r="C454" i="17"/>
  <c r="C455" i="17" s="1"/>
  <c r="L454" i="17"/>
  <c r="P476" i="17"/>
  <c r="P477" i="17" s="1"/>
  <c r="B102" i="66"/>
  <c r="B88" i="66"/>
  <c r="B13" i="66"/>
  <c r="E41" i="66"/>
  <c r="F68" i="66"/>
  <c r="B99" i="61"/>
  <c r="B95" i="61"/>
  <c r="F49" i="61"/>
  <c r="C43" i="66"/>
  <c r="D362" i="17"/>
  <c r="D363" i="17" s="1"/>
  <c r="M362" i="17"/>
  <c r="E385" i="17"/>
  <c r="H408" i="17"/>
  <c r="G430" i="17"/>
  <c r="G431" i="17" s="1"/>
  <c r="D454" i="17"/>
  <c r="D455" i="17" s="1"/>
  <c r="J477" i="17"/>
  <c r="C58" i="50"/>
  <c r="C61" i="50" s="1"/>
  <c r="F64" i="50" s="1"/>
  <c r="H11" i="51"/>
  <c r="G58" i="61"/>
  <c r="D52" i="66"/>
  <c r="C68" i="63"/>
  <c r="E67" i="63"/>
  <c r="E95" i="63"/>
  <c r="G63" i="63"/>
  <c r="M42" i="19"/>
  <c r="M40" i="30"/>
  <c r="M40" i="31"/>
  <c r="L38" i="18"/>
  <c r="L44" i="51"/>
  <c r="L35" i="48"/>
  <c r="B119" i="60"/>
  <c r="P39" i="17"/>
  <c r="P40" i="17" s="1"/>
  <c r="U38" i="17"/>
  <c r="U15" i="17" s="1"/>
  <c r="P38" i="17"/>
  <c r="P15" i="17" s="1"/>
  <c r="P16" i="17" s="1"/>
  <c r="P17" i="17" s="1"/>
  <c r="D86" i="17"/>
  <c r="D87" i="17" s="1"/>
  <c r="B109" i="17"/>
  <c r="B110" i="17" s="1"/>
  <c r="K109" i="17"/>
  <c r="P131" i="17"/>
  <c r="P132" i="17" s="1"/>
  <c r="D178" i="17"/>
  <c r="D179" i="17" s="1"/>
  <c r="B201" i="17"/>
  <c r="B202" i="17" s="1"/>
  <c r="K201" i="17"/>
  <c r="P223" i="17"/>
  <c r="P224" i="17" s="1"/>
  <c r="D270" i="17"/>
  <c r="D271" i="17" s="1"/>
  <c r="B293" i="17"/>
  <c r="B294" i="17" s="1"/>
  <c r="K293" i="17"/>
  <c r="P315" i="17"/>
  <c r="P316" i="17" s="1"/>
  <c r="M45" i="19"/>
  <c r="M43" i="30"/>
  <c r="M43" i="31"/>
  <c r="L41" i="18"/>
  <c r="L47" i="51"/>
  <c r="L38" i="48"/>
  <c r="C11" i="59"/>
  <c r="C47" i="59" s="1"/>
  <c r="I39" i="17"/>
  <c r="I40" i="17" s="1"/>
  <c r="G62" i="17"/>
  <c r="G63" i="17" s="1"/>
  <c r="H63" i="17"/>
  <c r="C109" i="17"/>
  <c r="C110" i="17" s="1"/>
  <c r="L109" i="17"/>
  <c r="J132" i="17"/>
  <c r="N8" i="51"/>
  <c r="G154" i="17"/>
  <c r="G155" i="17" s="1"/>
  <c r="H155" i="17"/>
  <c r="C201" i="17"/>
  <c r="C202" i="17" s="1"/>
  <c r="L201" i="17"/>
  <c r="J224" i="17"/>
  <c r="G246" i="17"/>
  <c r="G247" i="17" s="1"/>
  <c r="H247" i="17"/>
  <c r="C293" i="17"/>
  <c r="C294" i="17" s="1"/>
  <c r="L293" i="17"/>
  <c r="J316" i="17"/>
  <c r="N16" i="51"/>
  <c r="G338" i="17"/>
  <c r="G339" i="17" s="1"/>
  <c r="H339" i="17"/>
  <c r="E362" i="17"/>
  <c r="O385" i="17"/>
  <c r="H385" i="17"/>
  <c r="G407" i="17"/>
  <c r="G408" i="17" s="1"/>
  <c r="O20" i="51"/>
  <c r="I408" i="17"/>
  <c r="P430" i="17"/>
  <c r="P431" i="17" s="1"/>
  <c r="I454" i="17"/>
  <c r="B477" i="17"/>
  <c r="B478" i="17" s="1"/>
  <c r="K477" i="17"/>
  <c r="O10" i="51"/>
  <c r="C30" i="51"/>
  <c r="E88" i="66"/>
  <c r="E13" i="66"/>
  <c r="C17" i="66"/>
  <c r="F15" i="66"/>
  <c r="F42" i="66"/>
  <c r="G56" i="66"/>
  <c r="F72" i="66"/>
  <c r="J7" i="51"/>
  <c r="O7" i="51" s="1"/>
  <c r="J15" i="51"/>
  <c r="O15" i="51" s="1"/>
  <c r="M21" i="51"/>
  <c r="O21" i="51" s="1"/>
  <c r="C54" i="66"/>
  <c r="D54" i="61"/>
  <c r="D102" i="61" s="1"/>
  <c r="G50" i="61"/>
  <c r="D97" i="61"/>
  <c r="C123" i="61"/>
  <c r="G80" i="61"/>
  <c r="D77" i="61"/>
  <c r="J4" i="51"/>
  <c r="J12" i="51"/>
  <c r="O12" i="51" s="1"/>
  <c r="M18" i="51"/>
  <c r="N18" i="51" s="1"/>
  <c r="D102" i="66"/>
  <c r="D88" i="66"/>
  <c r="D54" i="66"/>
  <c r="F56" i="66"/>
  <c r="E78" i="66"/>
  <c r="F60" i="61"/>
  <c r="F65" i="61"/>
  <c r="C67" i="61"/>
  <c r="D123" i="61"/>
  <c r="G23" i="62"/>
  <c r="E54" i="62"/>
  <c r="G53" i="62"/>
  <c r="E102" i="62"/>
  <c r="E68" i="62"/>
  <c r="E90" i="62" s="1"/>
  <c r="B97" i="62"/>
  <c r="B77" i="62"/>
  <c r="C95" i="62"/>
  <c r="D68" i="63"/>
  <c r="G60" i="63"/>
  <c r="F84" i="61"/>
  <c r="B125" i="61"/>
  <c r="F60" i="62"/>
  <c r="D115" i="63"/>
  <c r="G29" i="63"/>
  <c r="G86" i="63"/>
  <c r="F86" i="63"/>
  <c r="T63" i="17"/>
  <c r="T86" i="17"/>
  <c r="T132" i="17"/>
  <c r="T201" i="17"/>
  <c r="T247" i="17"/>
  <c r="T270" i="17"/>
  <c r="T339" i="17"/>
  <c r="T385" i="17"/>
  <c r="T408" i="17"/>
  <c r="T454" i="17"/>
  <c r="F25" i="66"/>
  <c r="D44" i="66"/>
  <c r="F67" i="66"/>
  <c r="B92" i="66"/>
  <c r="D74" i="66"/>
  <c r="D117" i="66" s="1"/>
  <c r="C119" i="66"/>
  <c r="G40" i="61"/>
  <c r="D117" i="61"/>
  <c r="E102" i="61"/>
  <c r="E68" i="61"/>
  <c r="E90" i="61" s="1"/>
  <c r="D95" i="61"/>
  <c r="E98" i="61"/>
  <c r="D108" i="62"/>
  <c r="D98" i="62"/>
  <c r="D94" i="62"/>
  <c r="D19" i="62"/>
  <c r="G17" i="62"/>
  <c r="G60" i="62"/>
  <c r="D68" i="62"/>
  <c r="B69" i="63"/>
  <c r="B102" i="63"/>
  <c r="H39" i="17"/>
  <c r="H40" i="17" s="1"/>
  <c r="G11" i="66"/>
  <c r="G25" i="66"/>
  <c r="C65" i="66"/>
  <c r="F65" i="66" s="1"/>
  <c r="G67" i="66"/>
  <c r="B118" i="66"/>
  <c r="B105" i="61"/>
  <c r="B28" i="61"/>
  <c r="E23" i="61"/>
  <c r="E99" i="61" s="1"/>
  <c r="G21" i="61"/>
  <c r="C50" i="61"/>
  <c r="F82" i="61"/>
  <c r="C27" i="62"/>
  <c r="F27" i="62" s="1"/>
  <c r="F26" i="62"/>
  <c r="B69" i="62"/>
  <c r="C126" i="62"/>
  <c r="F65" i="62"/>
  <c r="C68" i="62"/>
  <c r="F78" i="62"/>
  <c r="C99" i="62"/>
  <c r="D50" i="63"/>
  <c r="G48" i="63"/>
  <c r="B126" i="63"/>
  <c r="B68" i="63"/>
  <c r="B90" i="63" s="1"/>
  <c r="G73" i="63"/>
  <c r="F73" i="63"/>
  <c r="D13" i="66"/>
  <c r="B123" i="66"/>
  <c r="B113" i="66"/>
  <c r="D47" i="66"/>
  <c r="D89" i="66"/>
  <c r="D92" i="66"/>
  <c r="C118" i="66"/>
  <c r="D93" i="66"/>
  <c r="G78" i="66"/>
  <c r="G27" i="62"/>
  <c r="D50" i="62"/>
  <c r="D126" i="63"/>
  <c r="G67" i="63"/>
  <c r="C123" i="66"/>
  <c r="C113" i="66"/>
  <c r="E92" i="66"/>
  <c r="D118" i="66"/>
  <c r="E93" i="66"/>
  <c r="D105" i="61"/>
  <c r="G19" i="61"/>
  <c r="D28" i="61"/>
  <c r="F19" i="61"/>
  <c r="B90" i="61"/>
  <c r="E80" i="66"/>
  <c r="G86" i="61"/>
  <c r="C84" i="62"/>
  <c r="C77" i="62" s="1"/>
  <c r="C97" i="63"/>
  <c r="B123" i="63"/>
  <c r="F80" i="63"/>
  <c r="B94" i="61"/>
  <c r="B96" i="61"/>
  <c r="B98" i="61"/>
  <c r="B100" i="61"/>
  <c r="B102" i="61"/>
  <c r="B108" i="61"/>
  <c r="C117" i="61"/>
  <c r="E17" i="62"/>
  <c r="D95" i="62"/>
  <c r="D99" i="62"/>
  <c r="D116" i="62"/>
  <c r="C119" i="62"/>
  <c r="B105" i="63"/>
  <c r="B28" i="63"/>
  <c r="E102" i="63"/>
  <c r="C67" i="63"/>
  <c r="C123" i="63"/>
  <c r="G80" i="63"/>
  <c r="B101" i="63"/>
  <c r="B87" i="63"/>
  <c r="E97" i="63"/>
  <c r="C108" i="64"/>
  <c r="C94" i="64"/>
  <c r="C19" i="64"/>
  <c r="F17" i="64"/>
  <c r="B102" i="64"/>
  <c r="B68" i="64"/>
  <c r="G86" i="64"/>
  <c r="F86" i="64"/>
  <c r="C10" i="15"/>
  <c r="B30" i="16"/>
  <c r="C110" i="5"/>
  <c r="E113" i="1"/>
  <c r="E74" i="1"/>
  <c r="G33" i="61"/>
  <c r="F58" i="61"/>
  <c r="G63" i="61"/>
  <c r="D67" i="61"/>
  <c r="C77" i="61"/>
  <c r="F80" i="61"/>
  <c r="E84" i="61"/>
  <c r="D125" i="61" s="1"/>
  <c r="C94" i="61"/>
  <c r="C98" i="61"/>
  <c r="C125" i="61"/>
  <c r="F17" i="62"/>
  <c r="C19" i="62"/>
  <c r="G40" i="62"/>
  <c r="F49" i="62"/>
  <c r="G58" i="62"/>
  <c r="E84" i="62"/>
  <c r="D125" i="62" s="1"/>
  <c r="E95" i="62"/>
  <c r="E97" i="62"/>
  <c r="E99" i="62"/>
  <c r="D119" i="62"/>
  <c r="D124" i="62"/>
  <c r="D129" i="62"/>
  <c r="C19" i="63"/>
  <c r="C116" i="63"/>
  <c r="F26" i="63"/>
  <c r="D121" i="63"/>
  <c r="G33" i="63"/>
  <c r="C50" i="63"/>
  <c r="F60" i="63"/>
  <c r="G65" i="63"/>
  <c r="F71" i="63"/>
  <c r="D123" i="63"/>
  <c r="B94" i="63"/>
  <c r="B98" i="63"/>
  <c r="D124" i="63"/>
  <c r="D129" i="63"/>
  <c r="D77" i="64"/>
  <c r="D87" i="64" s="1"/>
  <c r="C77" i="64"/>
  <c r="B116" i="1"/>
  <c r="B91" i="1"/>
  <c r="B96" i="1" s="1"/>
  <c r="B98" i="1" s="1"/>
  <c r="B87" i="61"/>
  <c r="B88" i="61" s="1"/>
  <c r="D94" i="61"/>
  <c r="D98" i="61"/>
  <c r="D108" i="61"/>
  <c r="B123" i="61"/>
  <c r="B28" i="62"/>
  <c r="D67" i="62"/>
  <c r="B94" i="62"/>
  <c r="B98" i="62"/>
  <c r="B102" i="62"/>
  <c r="D116" i="63"/>
  <c r="G26" i="63"/>
  <c r="D28" i="63"/>
  <c r="C94" i="63"/>
  <c r="C98" i="63"/>
  <c r="D119" i="63"/>
  <c r="E94" i="64"/>
  <c r="E19" i="64"/>
  <c r="C123" i="64"/>
  <c r="G80" i="64"/>
  <c r="C125" i="64"/>
  <c r="G84" i="64"/>
  <c r="B102" i="65"/>
  <c r="B68" i="65"/>
  <c r="G64" i="65"/>
  <c r="D67" i="65"/>
  <c r="F64" i="65"/>
  <c r="B125" i="65"/>
  <c r="F84" i="65"/>
  <c r="E102" i="5"/>
  <c r="D22" i="16"/>
  <c r="G87" i="5"/>
  <c r="G60" i="1"/>
  <c r="D53" i="5"/>
  <c r="D63" i="1"/>
  <c r="G63" i="1" s="1"/>
  <c r="E66" i="1"/>
  <c r="E58" i="5"/>
  <c r="E59" i="5" s="1"/>
  <c r="E64" i="5"/>
  <c r="G64" i="5" s="1"/>
  <c r="G71" i="1"/>
  <c r="B101" i="7"/>
  <c r="B38" i="7"/>
  <c r="D110" i="7"/>
  <c r="F23" i="61"/>
  <c r="F26" i="61"/>
  <c r="G49" i="61"/>
  <c r="G26" i="62"/>
  <c r="D77" i="62"/>
  <c r="F80" i="62"/>
  <c r="C94" i="62"/>
  <c r="C98" i="62"/>
  <c r="D108" i="63"/>
  <c r="D94" i="63"/>
  <c r="F17" i="63"/>
  <c r="E19" i="63"/>
  <c r="F22" i="63"/>
  <c r="G23" i="63"/>
  <c r="G31" i="63"/>
  <c r="F33" i="63"/>
  <c r="F41" i="63"/>
  <c r="G64" i="63"/>
  <c r="B124" i="63"/>
  <c r="C99" i="63"/>
  <c r="F79" i="63"/>
  <c r="F85" i="63"/>
  <c r="C84" i="63"/>
  <c r="E100" i="64"/>
  <c r="E96" i="64"/>
  <c r="E101" i="64"/>
  <c r="B51" i="5"/>
  <c r="B93" i="5" s="1"/>
  <c r="B104" i="5"/>
  <c r="C28" i="61"/>
  <c r="D118" i="61"/>
  <c r="F22" i="62"/>
  <c r="F31" i="62"/>
  <c r="F36" i="62"/>
  <c r="F48" i="62"/>
  <c r="F64" i="62"/>
  <c r="G80" i="62"/>
  <c r="D120" i="62"/>
  <c r="G17" i="63"/>
  <c r="E50" i="63"/>
  <c r="E54" i="63" s="1"/>
  <c r="E69" i="63" s="1"/>
  <c r="C124" i="63"/>
  <c r="G79" i="63"/>
  <c r="D98" i="63"/>
  <c r="G85" i="63"/>
  <c r="D84" i="63"/>
  <c r="B99" i="64"/>
  <c r="B95" i="64"/>
  <c r="F78" i="65"/>
  <c r="D20" i="16"/>
  <c r="D23" i="16" s="1"/>
  <c r="E108" i="5"/>
  <c r="G60" i="5"/>
  <c r="F48" i="61"/>
  <c r="C116" i="61"/>
  <c r="F41" i="62"/>
  <c r="G48" i="62"/>
  <c r="E98" i="62"/>
  <c r="F15" i="63"/>
  <c r="F18" i="63"/>
  <c r="C27" i="63"/>
  <c r="F27" i="63" s="1"/>
  <c r="F40" i="63"/>
  <c r="C95" i="63"/>
  <c r="E68" i="63"/>
  <c r="E98" i="63"/>
  <c r="E84" i="63"/>
  <c r="D125" i="63" s="1"/>
  <c r="B96" i="63"/>
  <c r="B100" i="63"/>
  <c r="C117" i="63"/>
  <c r="B108" i="64"/>
  <c r="B98" i="64"/>
  <c r="B94" i="64"/>
  <c r="B19" i="64"/>
  <c r="G23" i="64"/>
  <c r="D99" i="64"/>
  <c r="D95" i="64"/>
  <c r="D120" i="64"/>
  <c r="G31" i="64"/>
  <c r="C119" i="64"/>
  <c r="F36" i="64"/>
  <c r="C129" i="64"/>
  <c r="B126" i="64"/>
  <c r="B100" i="64"/>
  <c r="B96" i="64"/>
  <c r="F50" i="65"/>
  <c r="C54" i="65"/>
  <c r="C119" i="61"/>
  <c r="B95" i="62"/>
  <c r="G18" i="63"/>
  <c r="B99" i="63"/>
  <c r="B95" i="63"/>
  <c r="D27" i="63"/>
  <c r="G27" i="63" s="1"/>
  <c r="F29" i="63"/>
  <c r="C115" i="63"/>
  <c r="G40" i="63"/>
  <c r="F57" i="63"/>
  <c r="F76" i="63"/>
  <c r="D117" i="63"/>
  <c r="D17" i="64"/>
  <c r="E87" i="64"/>
  <c r="D97" i="64"/>
  <c r="C19" i="65"/>
  <c r="F17" i="65"/>
  <c r="C108" i="65"/>
  <c r="C94" i="65"/>
  <c r="G47" i="65"/>
  <c r="D50" i="65"/>
  <c r="F21" i="64"/>
  <c r="G25" i="64"/>
  <c r="F42" i="64"/>
  <c r="C50" i="64"/>
  <c r="G60" i="64"/>
  <c r="G65" i="64"/>
  <c r="G78" i="64"/>
  <c r="D125" i="64"/>
  <c r="D127" i="64" s="1"/>
  <c r="E97" i="64"/>
  <c r="G78" i="65"/>
  <c r="G82" i="65"/>
  <c r="G84" i="65"/>
  <c r="C125" i="65"/>
  <c r="G28" i="5"/>
  <c r="D102" i="5"/>
  <c r="F30" i="5"/>
  <c r="C15" i="15"/>
  <c r="K29" i="5"/>
  <c r="F43" i="5"/>
  <c r="F58" i="5"/>
  <c r="E116" i="8"/>
  <c r="G15" i="9"/>
  <c r="D27" i="9"/>
  <c r="D107" i="9"/>
  <c r="F15" i="64"/>
  <c r="G21" i="64"/>
  <c r="F31" i="64"/>
  <c r="D50" i="64"/>
  <c r="E102" i="64"/>
  <c r="E68" i="64"/>
  <c r="E90" i="64" s="1"/>
  <c r="F79" i="64"/>
  <c r="C98" i="64"/>
  <c r="B124" i="64"/>
  <c r="C99" i="64"/>
  <c r="D19" i="65"/>
  <c r="G17" i="65"/>
  <c r="C27" i="65"/>
  <c r="F25" i="65"/>
  <c r="F81" i="65"/>
  <c r="C80" i="65"/>
  <c r="E5" i="15"/>
  <c r="B99" i="5"/>
  <c r="G39" i="5"/>
  <c r="C6" i="18"/>
  <c r="D15" i="15"/>
  <c r="G43" i="5"/>
  <c r="L22" i="5"/>
  <c r="L29" i="5"/>
  <c r="E109" i="5"/>
  <c r="D16" i="16"/>
  <c r="E33" i="1"/>
  <c r="B114" i="1"/>
  <c r="B118" i="1" s="1"/>
  <c r="B69" i="1"/>
  <c r="F29" i="10"/>
  <c r="C28" i="10"/>
  <c r="F28" i="10" s="1"/>
  <c r="C118" i="64"/>
  <c r="F41" i="64"/>
  <c r="G58" i="64"/>
  <c r="D98" i="64"/>
  <c r="F85" i="64"/>
  <c r="C84" i="64"/>
  <c r="C121" i="64"/>
  <c r="D129" i="64"/>
  <c r="E105" i="65"/>
  <c r="E28" i="65"/>
  <c r="F53" i="65"/>
  <c r="F63" i="65"/>
  <c r="C67" i="65"/>
  <c r="E87" i="65"/>
  <c r="E88" i="65" s="1"/>
  <c r="G81" i="65"/>
  <c r="D80" i="65"/>
  <c r="D77" i="65" s="1"/>
  <c r="B101" i="65"/>
  <c r="D123" i="65"/>
  <c r="F9" i="5"/>
  <c r="B67" i="5"/>
  <c r="E101" i="5"/>
  <c r="E117" i="6"/>
  <c r="G41" i="64"/>
  <c r="D68" i="64"/>
  <c r="E98" i="64"/>
  <c r="G83" i="64"/>
  <c r="F18" i="65"/>
  <c r="D23" i="65"/>
  <c r="G23" i="65" s="1"/>
  <c r="G22" i="65"/>
  <c r="F60" i="65"/>
  <c r="D95" i="65"/>
  <c r="C115" i="65"/>
  <c r="M2" i="16"/>
  <c r="I2" i="16"/>
  <c r="D20" i="5"/>
  <c r="G9" i="5"/>
  <c r="C20" i="15"/>
  <c r="C24" i="15" s="1"/>
  <c r="C7" i="15"/>
  <c r="F17" i="5"/>
  <c r="D103" i="5"/>
  <c r="G25" i="5"/>
  <c r="F38" i="5"/>
  <c r="B7" i="18"/>
  <c r="C56" i="5"/>
  <c r="F55" i="5"/>
  <c r="F64" i="5"/>
  <c r="G65" i="5"/>
  <c r="J3" i="31"/>
  <c r="G3" i="30"/>
  <c r="H3" i="19"/>
  <c r="I3" i="31"/>
  <c r="G3" i="31"/>
  <c r="C7" i="5"/>
  <c r="C27" i="1"/>
  <c r="F17" i="1"/>
  <c r="C10" i="5"/>
  <c r="F10" i="5" s="1"/>
  <c r="C108" i="1"/>
  <c r="F48" i="1"/>
  <c r="C41" i="5"/>
  <c r="E91" i="6"/>
  <c r="E96" i="6" s="1"/>
  <c r="E98" i="6" s="1"/>
  <c r="G40" i="65"/>
  <c r="D117" i="65"/>
  <c r="F42" i="65"/>
  <c r="D68" i="65"/>
  <c r="G60" i="65"/>
  <c r="E95" i="65"/>
  <c r="E77" i="65"/>
  <c r="D124" i="65"/>
  <c r="E99" i="65"/>
  <c r="E102" i="65"/>
  <c r="D108" i="65"/>
  <c r="B20" i="5"/>
  <c r="B26" i="5" s="1"/>
  <c r="E20" i="5"/>
  <c r="E26" i="5" s="1"/>
  <c r="D20" i="15"/>
  <c r="D7" i="15"/>
  <c r="G17" i="5"/>
  <c r="F21" i="5"/>
  <c r="E103" i="5"/>
  <c r="F29" i="5"/>
  <c r="G55" i="5"/>
  <c r="D56" i="5"/>
  <c r="E13" i="15"/>
  <c r="B105" i="5"/>
  <c r="B79" i="5"/>
  <c r="E10" i="15" s="1"/>
  <c r="D22" i="15"/>
  <c r="G37" i="1"/>
  <c r="G60" i="7"/>
  <c r="C63" i="7"/>
  <c r="F62" i="7"/>
  <c r="F57" i="64"/>
  <c r="C60" i="64"/>
  <c r="C67" i="64"/>
  <c r="C95" i="64"/>
  <c r="F73" i="64"/>
  <c r="D98" i="65"/>
  <c r="C20" i="5"/>
  <c r="F8" i="5"/>
  <c r="C100" i="5"/>
  <c r="C13" i="15"/>
  <c r="F76" i="5"/>
  <c r="C105" i="5"/>
  <c r="B37" i="16" s="1"/>
  <c r="F80" i="5"/>
  <c r="C23" i="16"/>
  <c r="F77" i="1"/>
  <c r="C70" i="5"/>
  <c r="C75" i="1"/>
  <c r="F79" i="1"/>
  <c r="C72" i="5"/>
  <c r="F72" i="5" s="1"/>
  <c r="G97" i="1"/>
  <c r="D90" i="5"/>
  <c r="G90" i="5" s="1"/>
  <c r="K5" i="31"/>
  <c r="I5" i="19"/>
  <c r="G27" i="6"/>
  <c r="G62" i="7"/>
  <c r="D63" i="7"/>
  <c r="G63" i="7" s="1"/>
  <c r="D126" i="64"/>
  <c r="G67" i="64"/>
  <c r="B123" i="64"/>
  <c r="F80" i="64"/>
  <c r="C97" i="64"/>
  <c r="B108" i="65"/>
  <c r="B98" i="65"/>
  <c r="B94" i="65"/>
  <c r="B19" i="65"/>
  <c r="C23" i="65"/>
  <c r="F23" i="65" s="1"/>
  <c r="F21" i="65"/>
  <c r="D27" i="65"/>
  <c r="G27" i="65" s="1"/>
  <c r="D116" i="65"/>
  <c r="G26" i="65"/>
  <c r="G29" i="65"/>
  <c r="F47" i="65"/>
  <c r="B100" i="65"/>
  <c r="B96" i="65"/>
  <c r="E98" i="65"/>
  <c r="F13" i="5"/>
  <c r="F35" i="5"/>
  <c r="D100" i="5"/>
  <c r="E67" i="5"/>
  <c r="C109" i="1"/>
  <c r="F35" i="1"/>
  <c r="C28" i="5"/>
  <c r="D66" i="1"/>
  <c r="G65" i="1"/>
  <c r="F65" i="1"/>
  <c r="D58" i="5"/>
  <c r="G77" i="1"/>
  <c r="D70" i="5"/>
  <c r="D75" i="1"/>
  <c r="F18" i="6"/>
  <c r="C27" i="6"/>
  <c r="E38" i="6"/>
  <c r="E114" i="8"/>
  <c r="E69" i="8"/>
  <c r="B120" i="8"/>
  <c r="C98" i="65"/>
  <c r="C103" i="5"/>
  <c r="E14" i="15"/>
  <c r="D29" i="15"/>
  <c r="D101" i="5"/>
  <c r="C108" i="5"/>
  <c r="B9" i="16"/>
  <c r="F60" i="1"/>
  <c r="E111" i="1"/>
  <c r="F97" i="1"/>
  <c r="E109" i="6"/>
  <c r="E107" i="6"/>
  <c r="D117" i="6"/>
  <c r="D115" i="6"/>
  <c r="G67" i="6"/>
  <c r="E108" i="6"/>
  <c r="E111" i="6"/>
  <c r="B119" i="6"/>
  <c r="F88" i="6"/>
  <c r="C86" i="6"/>
  <c r="F86" i="6" s="1"/>
  <c r="F17" i="7"/>
  <c r="G34" i="7"/>
  <c r="F79" i="7"/>
  <c r="B118" i="7"/>
  <c r="G34" i="8"/>
  <c r="F34" i="8"/>
  <c r="G88" i="8"/>
  <c r="F15" i="9"/>
  <c r="D106" i="9"/>
  <c r="G39" i="9"/>
  <c r="E82" i="5"/>
  <c r="G82" i="5" s="1"/>
  <c r="G89" i="1"/>
  <c r="D110" i="1"/>
  <c r="D66" i="6"/>
  <c r="E113" i="6"/>
  <c r="F15" i="7"/>
  <c r="C27" i="7"/>
  <c r="C112" i="7"/>
  <c r="F28" i="7"/>
  <c r="D80" i="7"/>
  <c r="G82" i="7"/>
  <c r="G79" i="8"/>
  <c r="F79" i="8"/>
  <c r="J9" i="31"/>
  <c r="H9" i="19"/>
  <c r="C33" i="10"/>
  <c r="E113" i="12"/>
  <c r="C99" i="65"/>
  <c r="L19" i="5"/>
  <c r="L27" i="5" s="1"/>
  <c r="E6" i="15"/>
  <c r="E30" i="15" s="1"/>
  <c r="B100" i="5"/>
  <c r="D105" i="5"/>
  <c r="C37" i="16" s="1"/>
  <c r="G80" i="5"/>
  <c r="D79" i="5"/>
  <c r="B22" i="16"/>
  <c r="F86" i="5"/>
  <c r="D110" i="5"/>
  <c r="C2" i="16"/>
  <c r="C5" i="15"/>
  <c r="B43" i="1"/>
  <c r="B49" i="1" s="1"/>
  <c r="B56" i="1"/>
  <c r="B105" i="1"/>
  <c r="D109" i="1"/>
  <c r="G35" i="1"/>
  <c r="C63" i="1"/>
  <c r="F63" i="1" s="1"/>
  <c r="E86" i="1"/>
  <c r="G86" i="1" s="1"/>
  <c r="G87" i="1"/>
  <c r="D28" i="6"/>
  <c r="G30" i="6"/>
  <c r="G53" i="6"/>
  <c r="E66" i="6"/>
  <c r="G15" i="7"/>
  <c r="D27" i="7"/>
  <c r="D109" i="7"/>
  <c r="D28" i="7"/>
  <c r="G28" i="7" s="1"/>
  <c r="B114" i="7"/>
  <c r="B69" i="7"/>
  <c r="C66" i="7"/>
  <c r="F65" i="7"/>
  <c r="C108" i="7"/>
  <c r="F76" i="7"/>
  <c r="C75" i="7"/>
  <c r="G87" i="7"/>
  <c r="D112" i="7"/>
  <c r="D86" i="7"/>
  <c r="D117" i="7" s="1"/>
  <c r="F87" i="7"/>
  <c r="B38" i="8"/>
  <c r="B101" i="8"/>
  <c r="C110" i="8"/>
  <c r="E74" i="8"/>
  <c r="B114" i="10"/>
  <c r="B69" i="10"/>
  <c r="D99" i="65"/>
  <c r="C119" i="65"/>
  <c r="B5" i="16"/>
  <c r="G3" i="16" s="1"/>
  <c r="D99" i="5"/>
  <c r="D5" i="15"/>
  <c r="C9" i="16"/>
  <c r="B8" i="16"/>
  <c r="C6" i="15"/>
  <c r="C30" i="15" s="1"/>
  <c r="C31" i="15"/>
  <c r="B21" i="16"/>
  <c r="B23" i="16" s="1"/>
  <c r="E105" i="5"/>
  <c r="D37" i="16" s="1"/>
  <c r="E79" i="5"/>
  <c r="D30" i="16" s="1"/>
  <c r="C22" i="16"/>
  <c r="G86" i="5"/>
  <c r="D28" i="15"/>
  <c r="D39" i="15"/>
  <c r="E28" i="1"/>
  <c r="E109" i="1"/>
  <c r="D107" i="1"/>
  <c r="D117" i="1"/>
  <c r="G93" i="1"/>
  <c r="C112" i="1"/>
  <c r="E110" i="6"/>
  <c r="G62" i="6"/>
  <c r="E116" i="6"/>
  <c r="E112" i="6"/>
  <c r="E27" i="7"/>
  <c r="E33" i="7" s="1"/>
  <c r="G6" i="30"/>
  <c r="I6" i="30" s="1"/>
  <c r="F21" i="7"/>
  <c r="D107" i="7"/>
  <c r="G65" i="7"/>
  <c r="D66" i="7"/>
  <c r="D108" i="7"/>
  <c r="G76" i="7"/>
  <c r="D75" i="7"/>
  <c r="F39" i="8"/>
  <c r="C106" i="8"/>
  <c r="J10" i="31"/>
  <c r="H10" i="19"/>
  <c r="C33" i="46"/>
  <c r="D119" i="65"/>
  <c r="C5" i="16"/>
  <c r="H3" i="16" s="1"/>
  <c r="J29" i="5"/>
  <c r="E99" i="5"/>
  <c r="D9" i="16"/>
  <c r="D6" i="15"/>
  <c r="D30" i="15" s="1"/>
  <c r="B56" i="5"/>
  <c r="B59" i="5" s="1"/>
  <c r="E29" i="15"/>
  <c r="B108" i="5"/>
  <c r="D31" i="15"/>
  <c r="C21" i="16"/>
  <c r="B109" i="5"/>
  <c r="D21" i="15"/>
  <c r="B101" i="5"/>
  <c r="E100" i="5"/>
  <c r="C8" i="16"/>
  <c r="C28" i="15"/>
  <c r="F22" i="1"/>
  <c r="E107" i="1"/>
  <c r="F80" i="1"/>
  <c r="G82" i="1"/>
  <c r="G85" i="1"/>
  <c r="G95" i="1"/>
  <c r="D108" i="1"/>
  <c r="G19" i="6"/>
  <c r="C109" i="6"/>
  <c r="F35" i="6"/>
  <c r="G40" i="6"/>
  <c r="B69" i="6"/>
  <c r="B99" i="6" s="1"/>
  <c r="B114" i="6"/>
  <c r="B118" i="6" s="1"/>
  <c r="F76" i="6"/>
  <c r="C75" i="6"/>
  <c r="C110" i="6"/>
  <c r="H6" i="30"/>
  <c r="G21" i="7"/>
  <c r="F31" i="7"/>
  <c r="F68" i="7"/>
  <c r="F73" i="7"/>
  <c r="G85" i="7"/>
  <c r="C110" i="7"/>
  <c r="G17" i="8"/>
  <c r="F17" i="8"/>
  <c r="D5" i="16"/>
  <c r="I3" i="16" s="1"/>
  <c r="B103" i="5"/>
  <c r="B102" i="5"/>
  <c r="B16" i="16"/>
  <c r="E22" i="15"/>
  <c r="E24" i="15" s="1"/>
  <c r="C101" i="5"/>
  <c r="C73" i="5"/>
  <c r="F75" i="5"/>
  <c r="C16" i="16"/>
  <c r="E7" i="15"/>
  <c r="D27" i="1"/>
  <c r="D111" i="1" s="1"/>
  <c r="G18" i="1"/>
  <c r="E117" i="1"/>
  <c r="E115" i="1"/>
  <c r="G67" i="1"/>
  <c r="G80" i="1"/>
  <c r="B120" i="1"/>
  <c r="B119" i="1"/>
  <c r="B38" i="6"/>
  <c r="B101" i="6"/>
  <c r="D107" i="6"/>
  <c r="G44" i="6"/>
  <c r="C117" i="6"/>
  <c r="C115" i="6"/>
  <c r="F67" i="6"/>
  <c r="D111" i="6"/>
  <c r="F39" i="7"/>
  <c r="C106" i="7"/>
  <c r="F36" i="9"/>
  <c r="C106" i="9"/>
  <c r="F39" i="9"/>
  <c r="B116" i="9"/>
  <c r="B91" i="9"/>
  <c r="B96" i="9" s="1"/>
  <c r="B98" i="9" s="1"/>
  <c r="B99" i="9" s="1"/>
  <c r="G89" i="10"/>
  <c r="D86" i="10"/>
  <c r="E107" i="7"/>
  <c r="G31" i="8"/>
  <c r="F31" i="8"/>
  <c r="D107" i="8"/>
  <c r="B114" i="8"/>
  <c r="B69" i="8"/>
  <c r="D86" i="8"/>
  <c r="G86" i="8" s="1"/>
  <c r="G90" i="8"/>
  <c r="B101" i="9"/>
  <c r="B38" i="9"/>
  <c r="E28" i="12"/>
  <c r="E33" i="12" s="1"/>
  <c r="G30" i="12"/>
  <c r="K3" i="31"/>
  <c r="H3" i="31"/>
  <c r="H3" i="30"/>
  <c r="I3" i="19"/>
  <c r="B101" i="1"/>
  <c r="G80" i="6"/>
  <c r="B113" i="7"/>
  <c r="E108" i="7"/>
  <c r="E112" i="7"/>
  <c r="E86" i="7"/>
  <c r="E117" i="7" s="1"/>
  <c r="D115" i="7"/>
  <c r="G25" i="8"/>
  <c r="F25" i="8"/>
  <c r="C109" i="8"/>
  <c r="B116" i="8"/>
  <c r="B119" i="8" s="1"/>
  <c r="B91" i="8"/>
  <c r="B96" i="8" s="1"/>
  <c r="B98" i="8" s="1"/>
  <c r="B111" i="8"/>
  <c r="B118" i="8"/>
  <c r="E27" i="9"/>
  <c r="E33" i="9" s="1"/>
  <c r="H8" i="30"/>
  <c r="G21" i="9"/>
  <c r="G75" i="10"/>
  <c r="D74" i="10"/>
  <c r="B74" i="10"/>
  <c r="B111" i="10"/>
  <c r="C107" i="1"/>
  <c r="C63" i="6"/>
  <c r="B113" i="6"/>
  <c r="C117" i="7"/>
  <c r="C115" i="7"/>
  <c r="B120" i="7"/>
  <c r="F15" i="8"/>
  <c r="C27" i="8"/>
  <c r="D109" i="8"/>
  <c r="F35" i="8"/>
  <c r="F76" i="8"/>
  <c r="C75" i="8"/>
  <c r="C108" i="8"/>
  <c r="C111" i="8"/>
  <c r="G82" i="8"/>
  <c r="F82" i="8"/>
  <c r="F87" i="8"/>
  <c r="C86" i="8"/>
  <c r="C112" i="8"/>
  <c r="C107" i="6"/>
  <c r="C109" i="7"/>
  <c r="B74" i="7"/>
  <c r="B111" i="7"/>
  <c r="G15" i="8"/>
  <c r="D27" i="8"/>
  <c r="D28" i="8"/>
  <c r="G32" i="8"/>
  <c r="C63" i="8"/>
  <c r="F62" i="8"/>
  <c r="E117" i="8"/>
  <c r="G76" i="8"/>
  <c r="D75" i="8"/>
  <c r="D110" i="8"/>
  <c r="C27" i="9"/>
  <c r="D108" i="9"/>
  <c r="E37" i="15"/>
  <c r="C28" i="6"/>
  <c r="G35" i="6"/>
  <c r="D75" i="6"/>
  <c r="I6" i="31"/>
  <c r="C107" i="7"/>
  <c r="E115" i="7"/>
  <c r="E118" i="7" s="1"/>
  <c r="F72" i="7"/>
  <c r="E75" i="7"/>
  <c r="C80" i="7"/>
  <c r="E109" i="8"/>
  <c r="G7" i="30"/>
  <c r="I7" i="30" s="1"/>
  <c r="I14" i="30" s="1"/>
  <c r="F21" i="8"/>
  <c r="G35" i="8"/>
  <c r="G40" i="8"/>
  <c r="G62" i="8"/>
  <c r="D63" i="8"/>
  <c r="G63" i="8" s="1"/>
  <c r="C66" i="8"/>
  <c r="F65" i="8"/>
  <c r="F68" i="8"/>
  <c r="F73" i="8"/>
  <c r="E86" i="8"/>
  <c r="G25" i="9"/>
  <c r="F59" i="9"/>
  <c r="E108" i="9"/>
  <c r="G78" i="9"/>
  <c r="D75" i="9"/>
  <c r="G81" i="9"/>
  <c r="D80" i="9"/>
  <c r="E101" i="10"/>
  <c r="E38" i="10"/>
  <c r="B118" i="10"/>
  <c r="G63" i="46"/>
  <c r="D66" i="46"/>
  <c r="E115" i="6"/>
  <c r="E110" i="7"/>
  <c r="E109" i="7"/>
  <c r="H7" i="30"/>
  <c r="G21" i="8"/>
  <c r="I7" i="31"/>
  <c r="C107" i="8"/>
  <c r="G60" i="8"/>
  <c r="G65" i="8"/>
  <c r="G73" i="8"/>
  <c r="F90" i="8"/>
  <c r="G17" i="9"/>
  <c r="G28" i="9"/>
  <c r="D109" i="9"/>
  <c r="G59" i="9"/>
  <c r="D63" i="9"/>
  <c r="B120" i="10"/>
  <c r="E38" i="46"/>
  <c r="E101" i="46"/>
  <c r="E106" i="46"/>
  <c r="G39" i="46"/>
  <c r="G67" i="8"/>
  <c r="C28" i="9"/>
  <c r="G35" i="9"/>
  <c r="F44" i="9"/>
  <c r="F64" i="9"/>
  <c r="C108" i="9"/>
  <c r="B111" i="9"/>
  <c r="C107" i="9"/>
  <c r="F48" i="10"/>
  <c r="F95" i="10"/>
  <c r="G18" i="46"/>
  <c r="D27" i="46"/>
  <c r="F27" i="46" s="1"/>
  <c r="F53" i="46"/>
  <c r="G53" i="46"/>
  <c r="G80" i="12"/>
  <c r="B113" i="8"/>
  <c r="F21" i="9"/>
  <c r="E106" i="9"/>
  <c r="B114" i="9"/>
  <c r="B69" i="9"/>
  <c r="F67" i="9"/>
  <c r="E111" i="9"/>
  <c r="B120" i="9"/>
  <c r="B119" i="9"/>
  <c r="B118" i="9"/>
  <c r="E106" i="10"/>
  <c r="E113" i="10"/>
  <c r="E74" i="10"/>
  <c r="E91" i="10" s="1"/>
  <c r="E96" i="10" s="1"/>
  <c r="E98" i="10" s="1"/>
  <c r="F80" i="10"/>
  <c r="C111" i="10"/>
  <c r="E112" i="10"/>
  <c r="C117" i="10"/>
  <c r="B101" i="46"/>
  <c r="B38" i="46"/>
  <c r="C115" i="8"/>
  <c r="C117" i="8"/>
  <c r="C110" i="9"/>
  <c r="G72" i="9"/>
  <c r="B113" i="9"/>
  <c r="F89" i="9"/>
  <c r="C109" i="9"/>
  <c r="C115" i="9"/>
  <c r="G24" i="10"/>
  <c r="C110" i="10"/>
  <c r="F32" i="10"/>
  <c r="C109" i="10"/>
  <c r="F35" i="10"/>
  <c r="D66" i="10"/>
  <c r="G61" i="10"/>
  <c r="G64" i="10"/>
  <c r="D115" i="10"/>
  <c r="G67" i="10"/>
  <c r="D117" i="10"/>
  <c r="G78" i="10"/>
  <c r="C109" i="46"/>
  <c r="F48" i="46"/>
  <c r="E27" i="8"/>
  <c r="E33" i="8" s="1"/>
  <c r="D115" i="8"/>
  <c r="D110" i="9"/>
  <c r="F75" i="9"/>
  <c r="D115" i="9"/>
  <c r="B101" i="10"/>
  <c r="B38" i="10"/>
  <c r="D110" i="10"/>
  <c r="G32" i="10"/>
  <c r="D109" i="10"/>
  <c r="G35" i="10"/>
  <c r="E115" i="10"/>
  <c r="G81" i="10"/>
  <c r="G35" i="46"/>
  <c r="D109" i="46"/>
  <c r="F37" i="46"/>
  <c r="G37" i="46"/>
  <c r="E107" i="8"/>
  <c r="E115" i="8"/>
  <c r="E118" i="8" s="1"/>
  <c r="E110" i="9"/>
  <c r="E109" i="9"/>
  <c r="C63" i="9"/>
  <c r="F63" i="9" s="1"/>
  <c r="E66" i="9"/>
  <c r="D112" i="9"/>
  <c r="C117" i="9"/>
  <c r="I9" i="31"/>
  <c r="F44" i="10"/>
  <c r="C107" i="10"/>
  <c r="C66" i="10"/>
  <c r="E111" i="10"/>
  <c r="I11" i="31"/>
  <c r="C107" i="12"/>
  <c r="F44" i="12"/>
  <c r="D80" i="8"/>
  <c r="F32" i="9"/>
  <c r="E107" i="9"/>
  <c r="G52" i="9"/>
  <c r="E112" i="9"/>
  <c r="E86" i="9"/>
  <c r="E117" i="9" s="1"/>
  <c r="F86" i="10"/>
  <c r="F18" i="46"/>
  <c r="C28" i="46"/>
  <c r="F31" i="46"/>
  <c r="B116" i="46"/>
  <c r="B91" i="46"/>
  <c r="B96" i="46" s="1"/>
  <c r="B98" i="46" s="1"/>
  <c r="C111" i="12"/>
  <c r="F80" i="12"/>
  <c r="C74" i="12"/>
  <c r="G85" i="9"/>
  <c r="G88" i="9"/>
  <c r="F15" i="10"/>
  <c r="G17" i="10"/>
  <c r="F21" i="10"/>
  <c r="G25" i="10"/>
  <c r="D27" i="10"/>
  <c r="D113" i="10" s="1"/>
  <c r="G31" i="10"/>
  <c r="G34" i="10"/>
  <c r="F62" i="10"/>
  <c r="F65" i="10"/>
  <c r="G73" i="10"/>
  <c r="C75" i="10"/>
  <c r="G79" i="10"/>
  <c r="G82" i="10"/>
  <c r="G44" i="46"/>
  <c r="E107" i="46"/>
  <c r="F50" i="46"/>
  <c r="G50" i="46"/>
  <c r="F63" i="46"/>
  <c r="C66" i="46"/>
  <c r="B114" i="46"/>
  <c r="B118" i="46" s="1"/>
  <c r="B69" i="46"/>
  <c r="E66" i="46"/>
  <c r="E108" i="46"/>
  <c r="E111" i="46"/>
  <c r="F89" i="46"/>
  <c r="D115" i="46"/>
  <c r="B101" i="12"/>
  <c r="B38" i="12"/>
  <c r="D110" i="12"/>
  <c r="G32" i="12"/>
  <c r="D109" i="12"/>
  <c r="G35" i="12"/>
  <c r="E27" i="13"/>
  <c r="E33" i="13" s="1"/>
  <c r="G18" i="13"/>
  <c r="F72" i="9"/>
  <c r="E75" i="9"/>
  <c r="C80" i="9"/>
  <c r="D86" i="9"/>
  <c r="G86" i="9" s="1"/>
  <c r="G87" i="9"/>
  <c r="E115" i="9"/>
  <c r="E109" i="10"/>
  <c r="F67" i="10"/>
  <c r="G72" i="10"/>
  <c r="D80" i="10"/>
  <c r="E86" i="10"/>
  <c r="E117" i="10" s="1"/>
  <c r="F35" i="46"/>
  <c r="E112" i="46"/>
  <c r="E86" i="46"/>
  <c r="E117" i="46" s="1"/>
  <c r="E111" i="12"/>
  <c r="B106" i="9"/>
  <c r="E107" i="10"/>
  <c r="C108" i="46"/>
  <c r="F67" i="46"/>
  <c r="G72" i="46"/>
  <c r="F75" i="46"/>
  <c r="C74" i="46"/>
  <c r="C113" i="46"/>
  <c r="C27" i="12"/>
  <c r="G48" i="12"/>
  <c r="F48" i="12"/>
  <c r="B69" i="12"/>
  <c r="B114" i="12"/>
  <c r="E114" i="13"/>
  <c r="E69" i="13"/>
  <c r="B106" i="13"/>
  <c r="F72" i="13"/>
  <c r="B116" i="13"/>
  <c r="B119" i="13" s="1"/>
  <c r="B91" i="13"/>
  <c r="B96" i="13" s="1"/>
  <c r="B98" i="13" s="1"/>
  <c r="E63" i="10"/>
  <c r="E66" i="10" s="1"/>
  <c r="C108" i="10"/>
  <c r="C110" i="46"/>
  <c r="F40" i="46"/>
  <c r="G40" i="46"/>
  <c r="F60" i="46"/>
  <c r="G60" i="46"/>
  <c r="E63" i="46"/>
  <c r="D74" i="46"/>
  <c r="D113" i="46"/>
  <c r="F29" i="12"/>
  <c r="C28" i="12"/>
  <c r="B101" i="13"/>
  <c r="B38" i="13"/>
  <c r="G72" i="13"/>
  <c r="G84" i="13"/>
  <c r="F84" i="13"/>
  <c r="D28" i="10"/>
  <c r="G28" i="10" s="1"/>
  <c r="C106" i="10"/>
  <c r="D28" i="46"/>
  <c r="G28" i="46" s="1"/>
  <c r="G30" i="46"/>
  <c r="D110" i="46"/>
  <c r="G32" i="46"/>
  <c r="F78" i="46"/>
  <c r="F81" i="46"/>
  <c r="F46" i="12"/>
  <c r="D86" i="12"/>
  <c r="G86" i="12" s="1"/>
  <c r="C108" i="12"/>
  <c r="G22" i="13"/>
  <c r="F22" i="13"/>
  <c r="D109" i="13"/>
  <c r="D108" i="13"/>
  <c r="D112" i="10"/>
  <c r="F24" i="46"/>
  <c r="E110" i="46"/>
  <c r="F61" i="46"/>
  <c r="D108" i="46"/>
  <c r="G78" i="46"/>
  <c r="G81" i="46"/>
  <c r="D80" i="46"/>
  <c r="B120" i="46"/>
  <c r="B119" i="46"/>
  <c r="C115" i="46"/>
  <c r="C110" i="12"/>
  <c r="F32" i="12"/>
  <c r="C109" i="12"/>
  <c r="F35" i="12"/>
  <c r="F60" i="12"/>
  <c r="C63" i="12"/>
  <c r="G85" i="46"/>
  <c r="G88" i="46"/>
  <c r="F15" i="12"/>
  <c r="G17" i="12"/>
  <c r="F21" i="12"/>
  <c r="G25" i="12"/>
  <c r="D27" i="12"/>
  <c r="G31" i="12"/>
  <c r="G34" i="12"/>
  <c r="E116" i="12"/>
  <c r="E119" i="12" s="1"/>
  <c r="G81" i="12"/>
  <c r="F88" i="12"/>
  <c r="C116" i="12"/>
  <c r="D107" i="13"/>
  <c r="D106" i="13"/>
  <c r="C108" i="13"/>
  <c r="F21" i="14"/>
  <c r="G13" i="30"/>
  <c r="I13" i="30" s="1"/>
  <c r="G67" i="14"/>
  <c r="D115" i="14"/>
  <c r="F72" i="46"/>
  <c r="E75" i="46"/>
  <c r="C80" i="46"/>
  <c r="D86" i="46"/>
  <c r="G87" i="46"/>
  <c r="E115" i="46"/>
  <c r="D107" i="12"/>
  <c r="D63" i="13"/>
  <c r="D112" i="13"/>
  <c r="D80" i="14"/>
  <c r="G81" i="14"/>
  <c r="F81" i="14"/>
  <c r="B106" i="46"/>
  <c r="G50" i="12"/>
  <c r="D66" i="12"/>
  <c r="G71" i="12"/>
  <c r="C113" i="12"/>
  <c r="F77" i="12"/>
  <c r="B91" i="12"/>
  <c r="B96" i="12" s="1"/>
  <c r="B98" i="12" s="1"/>
  <c r="B99" i="12" s="1"/>
  <c r="G12" i="30"/>
  <c r="I12" i="30" s="1"/>
  <c r="F21" i="13"/>
  <c r="F28" i="13"/>
  <c r="C112" i="13"/>
  <c r="G37" i="13"/>
  <c r="G40" i="13"/>
  <c r="C75" i="13"/>
  <c r="G78" i="13"/>
  <c r="D75" i="13"/>
  <c r="E111" i="13"/>
  <c r="F97" i="13"/>
  <c r="G31" i="14"/>
  <c r="F77" i="14"/>
  <c r="C75" i="14"/>
  <c r="C106" i="46"/>
  <c r="C115" i="12"/>
  <c r="D112" i="12"/>
  <c r="I13" i="19"/>
  <c r="K13" i="31"/>
  <c r="D33" i="14"/>
  <c r="G27" i="14"/>
  <c r="F44" i="46"/>
  <c r="D28" i="12"/>
  <c r="G28" i="12" s="1"/>
  <c r="G44" i="12"/>
  <c r="D117" i="12"/>
  <c r="F75" i="12"/>
  <c r="G83" i="12"/>
  <c r="E112" i="12"/>
  <c r="G29" i="13"/>
  <c r="F31" i="13"/>
  <c r="F34" i="13"/>
  <c r="F68" i="13"/>
  <c r="E75" i="13"/>
  <c r="E108" i="13"/>
  <c r="G76" i="13"/>
  <c r="G61" i="14"/>
  <c r="F61" i="14"/>
  <c r="C114" i="14"/>
  <c r="C69" i="14"/>
  <c r="E66" i="12"/>
  <c r="G95" i="12"/>
  <c r="C107" i="13"/>
  <c r="F15" i="13"/>
  <c r="C27" i="13"/>
  <c r="G31" i="13"/>
  <c r="D28" i="13"/>
  <c r="G28" i="13" s="1"/>
  <c r="F39" i="13"/>
  <c r="C106" i="13"/>
  <c r="F59" i="13"/>
  <c r="F88" i="13"/>
  <c r="G88" i="13"/>
  <c r="F67" i="14"/>
  <c r="C115" i="14"/>
  <c r="C118" i="14" s="1"/>
  <c r="E112" i="14"/>
  <c r="E110" i="13"/>
  <c r="E109" i="13"/>
  <c r="E107" i="13"/>
  <c r="F64" i="13"/>
  <c r="D110" i="13"/>
  <c r="B101" i="14"/>
  <c r="B38" i="14"/>
  <c r="F46" i="14"/>
  <c r="D108" i="14"/>
  <c r="G76" i="14"/>
  <c r="D75" i="14"/>
  <c r="F76" i="14"/>
  <c r="F83" i="14"/>
  <c r="E110" i="14"/>
  <c r="D108" i="12"/>
  <c r="B114" i="13"/>
  <c r="B118" i="13" s="1"/>
  <c r="B69" i="13"/>
  <c r="F76" i="13"/>
  <c r="C106" i="14"/>
  <c r="F39" i="14"/>
  <c r="G72" i="14"/>
  <c r="B119" i="14"/>
  <c r="B120" i="14"/>
  <c r="F88" i="14"/>
  <c r="C86" i="14"/>
  <c r="C117" i="14" s="1"/>
  <c r="G90" i="14"/>
  <c r="F90" i="14"/>
  <c r="C66" i="13"/>
  <c r="F81" i="13"/>
  <c r="C80" i="13"/>
  <c r="C108" i="14"/>
  <c r="C27" i="14"/>
  <c r="G65" i="14"/>
  <c r="F65" i="14"/>
  <c r="D86" i="14"/>
  <c r="G86" i="14" s="1"/>
  <c r="D27" i="13"/>
  <c r="F67" i="13"/>
  <c r="G81" i="13"/>
  <c r="D80" i="13"/>
  <c r="F89" i="13"/>
  <c r="D107" i="14"/>
  <c r="G24" i="14"/>
  <c r="F26" i="14"/>
  <c r="F35" i="14"/>
  <c r="F37" i="14"/>
  <c r="D63" i="14"/>
  <c r="E75" i="14"/>
  <c r="B91" i="14"/>
  <c r="B96" i="14" s="1"/>
  <c r="B98" i="14" s="1"/>
  <c r="B99" i="14" s="1"/>
  <c r="C63" i="13"/>
  <c r="F63" i="13" s="1"/>
  <c r="G87" i="13"/>
  <c r="D86" i="13"/>
  <c r="E27" i="14"/>
  <c r="G35" i="14"/>
  <c r="D109" i="14"/>
  <c r="G48" i="14"/>
  <c r="F60" i="14"/>
  <c r="C109" i="14"/>
  <c r="D75" i="12"/>
  <c r="C86" i="12"/>
  <c r="F86" i="12" s="1"/>
  <c r="D115" i="12"/>
  <c r="G52" i="13"/>
  <c r="E86" i="13"/>
  <c r="E117" i="13" s="1"/>
  <c r="E112" i="13"/>
  <c r="F18" i="14"/>
  <c r="B106" i="14"/>
  <c r="C28" i="14"/>
  <c r="F28" i="14" s="1"/>
  <c r="F31" i="14"/>
  <c r="G87" i="14"/>
  <c r="B114" i="14"/>
  <c r="B118" i="14" s="1"/>
  <c r="E115" i="13"/>
  <c r="E118" i="13" s="1"/>
  <c r="C110" i="14"/>
  <c r="D106" i="14"/>
  <c r="F44" i="14"/>
  <c r="I13" i="31"/>
  <c r="B113" i="14"/>
  <c r="B111" i="14"/>
  <c r="G95" i="14"/>
  <c r="D110" i="14"/>
  <c r="G32" i="14"/>
  <c r="E63" i="14"/>
  <c r="E66" i="14" s="1"/>
  <c r="C80" i="14"/>
  <c r="D112" i="14"/>
  <c r="F93" i="14"/>
  <c r="C107" i="14"/>
  <c r="K13" i="19"/>
  <c r="L4" i="31"/>
  <c r="L14" i="31" s="1"/>
  <c r="H45" i="30"/>
  <c r="H45" i="31"/>
  <c r="C4" i="59" l="1"/>
  <c r="B4" i="52"/>
  <c r="C64" i="50"/>
  <c r="N45" i="51"/>
  <c r="O40" i="30"/>
  <c r="N38" i="48"/>
  <c r="O41" i="31"/>
  <c r="N44" i="51"/>
  <c r="O41" i="30"/>
  <c r="N48" i="51"/>
  <c r="E120" i="7"/>
  <c r="D101" i="65"/>
  <c r="G77" i="65"/>
  <c r="D87" i="65"/>
  <c r="D96" i="65"/>
  <c r="D100" i="65"/>
  <c r="C120" i="14"/>
  <c r="J19" i="30"/>
  <c r="I21" i="30"/>
  <c r="I22" i="30" s="1"/>
  <c r="I30" i="30" s="1"/>
  <c r="J30" i="30" s="1"/>
  <c r="I19" i="30"/>
  <c r="C87" i="62"/>
  <c r="F77" i="62"/>
  <c r="F87" i="62" s="1"/>
  <c r="C100" i="62"/>
  <c r="C96" i="62"/>
  <c r="C101" i="62"/>
  <c r="E69" i="14"/>
  <c r="E114" i="14"/>
  <c r="E101" i="12"/>
  <c r="E38" i="12"/>
  <c r="B107" i="5"/>
  <c r="B62" i="5"/>
  <c r="E120" i="13"/>
  <c r="E120" i="46"/>
  <c r="G87" i="64"/>
  <c r="B58" i="52"/>
  <c r="B64" i="52"/>
  <c r="B51" i="52"/>
  <c r="B50" i="52"/>
  <c r="B82" i="66"/>
  <c r="D90" i="61"/>
  <c r="G68" i="61"/>
  <c r="G44" i="66"/>
  <c r="D48" i="66"/>
  <c r="E33" i="14"/>
  <c r="E111" i="14"/>
  <c r="H13" i="31"/>
  <c r="D101" i="14"/>
  <c r="G33" i="14"/>
  <c r="D38" i="14"/>
  <c r="C118" i="46"/>
  <c r="F80" i="9"/>
  <c r="C111" i="9"/>
  <c r="E114" i="46"/>
  <c r="E69" i="46"/>
  <c r="C112" i="46"/>
  <c r="F28" i="46"/>
  <c r="D111" i="8"/>
  <c r="G80" i="8"/>
  <c r="F80" i="8"/>
  <c r="D114" i="10"/>
  <c r="G66" i="10"/>
  <c r="D69" i="10"/>
  <c r="C120" i="8"/>
  <c r="C112" i="9"/>
  <c r="F28" i="9"/>
  <c r="D66" i="8"/>
  <c r="I7" i="19"/>
  <c r="K7" i="31"/>
  <c r="G27" i="8"/>
  <c r="D33" i="8"/>
  <c r="B116" i="10"/>
  <c r="B119" i="10" s="1"/>
  <c r="B91" i="10"/>
  <c r="B96" i="10" s="1"/>
  <c r="B98" i="10" s="1"/>
  <c r="B99" i="10" s="1"/>
  <c r="B110" i="5"/>
  <c r="K6" i="31"/>
  <c r="I6" i="19"/>
  <c r="G27" i="7"/>
  <c r="D33" i="7"/>
  <c r="C102" i="5"/>
  <c r="F28" i="5"/>
  <c r="E14" i="44"/>
  <c r="C126" i="64"/>
  <c r="F67" i="64"/>
  <c r="D14" i="15"/>
  <c r="B94" i="5"/>
  <c r="B31" i="5"/>
  <c r="G68" i="65"/>
  <c r="C126" i="65"/>
  <c r="F67" i="65"/>
  <c r="B126" i="65"/>
  <c r="B105" i="64"/>
  <c r="B28" i="64"/>
  <c r="E110" i="5"/>
  <c r="E28" i="63"/>
  <c r="E105" i="63"/>
  <c r="D87" i="62"/>
  <c r="D100" i="62"/>
  <c r="D96" i="62"/>
  <c r="D101" i="62"/>
  <c r="B90" i="65"/>
  <c r="B69" i="65"/>
  <c r="B88" i="65" s="1"/>
  <c r="B99" i="1"/>
  <c r="B103" i="63"/>
  <c r="B93" i="63"/>
  <c r="B104" i="63"/>
  <c r="B92" i="63"/>
  <c r="B30" i="63"/>
  <c r="B127" i="63"/>
  <c r="B103" i="61"/>
  <c r="B93" i="61"/>
  <c r="B30" i="61"/>
  <c r="B104" i="61"/>
  <c r="B92" i="61"/>
  <c r="D28" i="62"/>
  <c r="D105" i="62"/>
  <c r="D101" i="61"/>
  <c r="D87" i="61"/>
  <c r="D100" i="61"/>
  <c r="D96" i="61"/>
  <c r="C89" i="66"/>
  <c r="C93" i="66"/>
  <c r="F17" i="66"/>
  <c r="I13" i="51"/>
  <c r="G248" i="17"/>
  <c r="G52" i="66"/>
  <c r="F52" i="66"/>
  <c r="D26" i="43"/>
  <c r="I21" i="51"/>
  <c r="G432" i="17"/>
  <c r="I16" i="51"/>
  <c r="G317" i="17"/>
  <c r="C55" i="59"/>
  <c r="C60" i="59"/>
  <c r="G110" i="17"/>
  <c r="I7" i="51"/>
  <c r="N42" i="31"/>
  <c r="P42" i="31" s="1"/>
  <c r="N42" i="30"/>
  <c r="N44" i="19"/>
  <c r="M40" i="18"/>
  <c r="M37" i="48"/>
  <c r="O37" i="48" s="1"/>
  <c r="M46" i="51"/>
  <c r="O42" i="19"/>
  <c r="C74" i="6"/>
  <c r="C113" i="6"/>
  <c r="F75" i="6"/>
  <c r="H5" i="19"/>
  <c r="J5" i="19" s="1"/>
  <c r="J5" i="31"/>
  <c r="F27" i="6"/>
  <c r="C33" i="6"/>
  <c r="F54" i="62"/>
  <c r="C69" i="62"/>
  <c r="E89" i="66"/>
  <c r="G57" i="66"/>
  <c r="C5" i="43"/>
  <c r="I10" i="51"/>
  <c r="G179" i="17"/>
  <c r="F80" i="13"/>
  <c r="C111" i="13"/>
  <c r="M19" i="31"/>
  <c r="L19" i="31"/>
  <c r="L21" i="31"/>
  <c r="L22" i="31" s="1"/>
  <c r="L30" i="31" s="1"/>
  <c r="M30" i="31" s="1"/>
  <c r="D113" i="12"/>
  <c r="G75" i="12"/>
  <c r="D74" i="12"/>
  <c r="G86" i="13"/>
  <c r="D117" i="13"/>
  <c r="K12" i="31"/>
  <c r="I12" i="19"/>
  <c r="D33" i="13"/>
  <c r="G27" i="13"/>
  <c r="G66" i="12"/>
  <c r="D114" i="12"/>
  <c r="D120" i="12" s="1"/>
  <c r="D69" i="12"/>
  <c r="G69" i="12" s="1"/>
  <c r="G63" i="13"/>
  <c r="D66" i="13"/>
  <c r="B120" i="13"/>
  <c r="J11" i="31"/>
  <c r="C33" i="12"/>
  <c r="H11" i="19"/>
  <c r="F27" i="12"/>
  <c r="E11" i="48"/>
  <c r="G80" i="10"/>
  <c r="D111" i="10"/>
  <c r="E113" i="9"/>
  <c r="E74" i="9"/>
  <c r="B105" i="12"/>
  <c r="B56" i="12"/>
  <c r="B43" i="12"/>
  <c r="B49" i="12" s="1"/>
  <c r="F74" i="12"/>
  <c r="C91" i="12"/>
  <c r="C74" i="9"/>
  <c r="G63" i="10"/>
  <c r="G63" i="9"/>
  <c r="D66" i="9"/>
  <c r="D74" i="9"/>
  <c r="G75" i="9"/>
  <c r="D113" i="9"/>
  <c r="D113" i="6"/>
  <c r="D74" i="6"/>
  <c r="G75" i="6"/>
  <c r="D74" i="8"/>
  <c r="D113" i="8"/>
  <c r="G75" i="8"/>
  <c r="F86" i="8"/>
  <c r="D117" i="8"/>
  <c r="B99" i="8"/>
  <c r="E112" i="1"/>
  <c r="G28" i="1"/>
  <c r="B105" i="8"/>
  <c r="B56" i="8"/>
  <c r="B43" i="8"/>
  <c r="B49" i="8" s="1"/>
  <c r="L2" i="16"/>
  <c r="H2" i="16"/>
  <c r="J6" i="31"/>
  <c r="H6" i="19"/>
  <c r="J6" i="19" s="1"/>
  <c r="F27" i="7"/>
  <c r="C33" i="7"/>
  <c r="D113" i="1"/>
  <c r="G75" i="1"/>
  <c r="D74" i="1"/>
  <c r="C66" i="1"/>
  <c r="C102" i="64"/>
  <c r="C68" i="64"/>
  <c r="F60" i="64"/>
  <c r="B84" i="5"/>
  <c r="B89" i="5" s="1"/>
  <c r="B91" i="5" s="1"/>
  <c r="C95" i="65"/>
  <c r="B125" i="64"/>
  <c r="B127" i="64" s="1"/>
  <c r="F84" i="64"/>
  <c r="C97" i="65"/>
  <c r="F80" i="65"/>
  <c r="B123" i="65"/>
  <c r="B127" i="65" s="1"/>
  <c r="C54" i="64"/>
  <c r="F50" i="64"/>
  <c r="E90" i="63"/>
  <c r="C77" i="65"/>
  <c r="E77" i="63"/>
  <c r="G67" i="62"/>
  <c r="D126" i="62"/>
  <c r="D127" i="62" s="1"/>
  <c r="B88" i="63"/>
  <c r="D103" i="61"/>
  <c r="D93" i="61"/>
  <c r="D30" i="61"/>
  <c r="D104" i="61"/>
  <c r="D92" i="61"/>
  <c r="B101" i="62"/>
  <c r="B87" i="62"/>
  <c r="B88" i="62" s="1"/>
  <c r="B100" i="62"/>
  <c r="B96" i="62"/>
  <c r="E77" i="61"/>
  <c r="D96" i="66"/>
  <c r="G54" i="66"/>
  <c r="D62" i="66"/>
  <c r="E99" i="66"/>
  <c r="E22" i="66"/>
  <c r="I8" i="51"/>
  <c r="G133" i="17"/>
  <c r="K25" i="19"/>
  <c r="N21" i="51"/>
  <c r="G23" i="61"/>
  <c r="B63" i="66"/>
  <c r="I14" i="51"/>
  <c r="G271" i="17"/>
  <c r="L24" i="51"/>
  <c r="O43" i="30"/>
  <c r="O43" i="19"/>
  <c r="O44" i="31"/>
  <c r="F28" i="12"/>
  <c r="C112" i="12"/>
  <c r="E38" i="8"/>
  <c r="E101" i="8"/>
  <c r="D117" i="9"/>
  <c r="G9" i="31"/>
  <c r="C101" i="10"/>
  <c r="C38" i="10"/>
  <c r="D69" i="1"/>
  <c r="G66" i="1"/>
  <c r="D114" i="1"/>
  <c r="D118" i="1" s="1"/>
  <c r="G20" i="5"/>
  <c r="D104" i="5"/>
  <c r="C38" i="16" s="1"/>
  <c r="D26" i="5"/>
  <c r="D26" i="16"/>
  <c r="B105" i="7"/>
  <c r="B56" i="7"/>
  <c r="B43" i="7"/>
  <c r="B49" i="7" s="1"/>
  <c r="D99" i="66"/>
  <c r="G13" i="66"/>
  <c r="D22" i="66"/>
  <c r="F68" i="63"/>
  <c r="K11" i="31"/>
  <c r="I11" i="19"/>
  <c r="G27" i="12"/>
  <c r="D33" i="12"/>
  <c r="G10" i="31"/>
  <c r="C38" i="46"/>
  <c r="C101" i="46"/>
  <c r="G66" i="7"/>
  <c r="D69" i="7"/>
  <c r="G69" i="7" s="1"/>
  <c r="D114" i="7"/>
  <c r="D120" i="7" s="1"/>
  <c r="C24" i="16"/>
  <c r="D68" i="5"/>
  <c r="G70" i="5"/>
  <c r="D66" i="43"/>
  <c r="B28" i="65"/>
  <c r="B105" i="65"/>
  <c r="C26" i="5"/>
  <c r="F20" i="5"/>
  <c r="J4" i="31"/>
  <c r="H4" i="19"/>
  <c r="C33" i="1"/>
  <c r="F27" i="1"/>
  <c r="I8" i="19"/>
  <c r="K8" i="31"/>
  <c r="G27" i="9"/>
  <c r="D33" i="9"/>
  <c r="C105" i="65"/>
  <c r="C28" i="65"/>
  <c r="F19" i="65"/>
  <c r="B103" i="62"/>
  <c r="B93" i="62"/>
  <c r="B30" i="62"/>
  <c r="B104" i="62"/>
  <c r="B92" i="62"/>
  <c r="D127" i="63"/>
  <c r="E116" i="1"/>
  <c r="E91" i="1"/>
  <c r="E96" i="1" s="1"/>
  <c r="E98" i="1" s="1"/>
  <c r="B69" i="64"/>
  <c r="B88" i="64" s="1"/>
  <c r="B90" i="64"/>
  <c r="B125" i="62"/>
  <c r="B127" i="62" s="1"/>
  <c r="F84" i="62"/>
  <c r="C102" i="62"/>
  <c r="C126" i="61"/>
  <c r="C127" i="61" s="1"/>
  <c r="F67" i="61"/>
  <c r="I17" i="51"/>
  <c r="G340" i="17"/>
  <c r="E61" i="66"/>
  <c r="C125" i="62"/>
  <c r="C127" i="62" s="1"/>
  <c r="U63" i="17"/>
  <c r="G5" i="51"/>
  <c r="I18" i="51"/>
  <c r="G363" i="17"/>
  <c r="E69" i="61"/>
  <c r="N24" i="51"/>
  <c r="N41" i="31"/>
  <c r="N41" i="30"/>
  <c r="P41" i="30" s="1"/>
  <c r="N43" i="19"/>
  <c r="M39" i="18"/>
  <c r="O39" i="18" s="1"/>
  <c r="M36" i="48"/>
  <c r="O36" i="48" s="1"/>
  <c r="M45" i="51"/>
  <c r="N46" i="51"/>
  <c r="O44" i="19"/>
  <c r="G63" i="14"/>
  <c r="C113" i="14"/>
  <c r="F75" i="14"/>
  <c r="C74" i="14"/>
  <c r="E74" i="46"/>
  <c r="E113" i="46"/>
  <c r="G80" i="9"/>
  <c r="D111" i="9"/>
  <c r="G28" i="8"/>
  <c r="D112" i="8"/>
  <c r="E101" i="7"/>
  <c r="E38" i="7"/>
  <c r="B102" i="1"/>
  <c r="B51" i="1"/>
  <c r="F70" i="5"/>
  <c r="C68" i="5"/>
  <c r="E66" i="43"/>
  <c r="D119" i="66"/>
  <c r="E71" i="66"/>
  <c r="C69" i="13"/>
  <c r="F66" i="13"/>
  <c r="C114" i="13"/>
  <c r="D114" i="46"/>
  <c r="G66" i="46"/>
  <c r="D69" i="46"/>
  <c r="G69" i="46" s="1"/>
  <c r="C111" i="7"/>
  <c r="F80" i="7"/>
  <c r="G74" i="10"/>
  <c r="D91" i="10"/>
  <c r="F63" i="14"/>
  <c r="B105" i="14"/>
  <c r="B56" i="14"/>
  <c r="B43" i="14"/>
  <c r="B49" i="14" s="1"/>
  <c r="E114" i="12"/>
  <c r="E69" i="12"/>
  <c r="E99" i="12" s="1"/>
  <c r="E118" i="46"/>
  <c r="C112" i="10"/>
  <c r="B56" i="13"/>
  <c r="B105" i="13"/>
  <c r="B43" i="13"/>
  <c r="B49" i="13" s="1"/>
  <c r="G75" i="46"/>
  <c r="F74" i="46"/>
  <c r="C91" i="46"/>
  <c r="D118" i="46"/>
  <c r="F66" i="46"/>
  <c r="C114" i="46"/>
  <c r="C120" i="46" s="1"/>
  <c r="C69" i="46"/>
  <c r="F69" i="46" s="1"/>
  <c r="F75" i="10"/>
  <c r="C113" i="10"/>
  <c r="C74" i="10"/>
  <c r="D120" i="10"/>
  <c r="E99" i="10"/>
  <c r="D111" i="12"/>
  <c r="E113" i="7"/>
  <c r="E74" i="7"/>
  <c r="F28" i="6"/>
  <c r="C112" i="6"/>
  <c r="E119" i="8"/>
  <c r="E120" i="8"/>
  <c r="B91" i="7"/>
  <c r="B96" i="7" s="1"/>
  <c r="B98" i="7" s="1"/>
  <c r="B99" i="7" s="1"/>
  <c r="B116" i="7"/>
  <c r="B119" i="7" s="1"/>
  <c r="C12" i="15"/>
  <c r="F73" i="5"/>
  <c r="C104" i="5"/>
  <c r="B38" i="16" s="1"/>
  <c r="F90" i="5"/>
  <c r="F86" i="7"/>
  <c r="G86" i="7"/>
  <c r="C69" i="7"/>
  <c r="C114" i="7"/>
  <c r="C118" i="7" s="1"/>
  <c r="F66" i="7"/>
  <c r="D29" i="16"/>
  <c r="D31" i="16" s="1"/>
  <c r="E84" i="5"/>
  <c r="E89" i="5" s="1"/>
  <c r="E91" i="5" s="1"/>
  <c r="E111" i="8"/>
  <c r="B2" i="16"/>
  <c r="C1" i="15"/>
  <c r="B3" i="18"/>
  <c r="K19" i="5"/>
  <c r="K27" i="5" s="1"/>
  <c r="D45" i="4"/>
  <c r="D19" i="16"/>
  <c r="M3" i="16" s="1"/>
  <c r="E107" i="5"/>
  <c r="E62" i="5"/>
  <c r="D104" i="63"/>
  <c r="D92" i="63"/>
  <c r="G28" i="63"/>
  <c r="D30" i="63"/>
  <c r="D103" i="63"/>
  <c r="D93" i="63"/>
  <c r="B127" i="61"/>
  <c r="C100" i="64"/>
  <c r="C96" i="64"/>
  <c r="F77" i="64"/>
  <c r="C101" i="64"/>
  <c r="C105" i="63"/>
  <c r="C28" i="63"/>
  <c r="F19" i="63"/>
  <c r="E95" i="61"/>
  <c r="D71" i="66"/>
  <c r="I5" i="51"/>
  <c r="G64" i="17"/>
  <c r="I11" i="51"/>
  <c r="G202" i="17"/>
  <c r="V40" i="17"/>
  <c r="H4" i="51"/>
  <c r="M24" i="51"/>
  <c r="N47" i="51"/>
  <c r="N39" i="18"/>
  <c r="O45" i="19"/>
  <c r="D113" i="7"/>
  <c r="D74" i="7"/>
  <c r="G75" i="7"/>
  <c r="F63" i="12"/>
  <c r="C66" i="12"/>
  <c r="I9" i="19"/>
  <c r="J9" i="19" s="1"/>
  <c r="K9" i="31"/>
  <c r="G27" i="10"/>
  <c r="D33" i="10"/>
  <c r="D74" i="13"/>
  <c r="G75" i="13"/>
  <c r="D113" i="13"/>
  <c r="E69" i="10"/>
  <c r="E114" i="10"/>
  <c r="E120" i="10" s="1"/>
  <c r="E38" i="13"/>
  <c r="E101" i="13"/>
  <c r="F28" i="8"/>
  <c r="B105" i="9"/>
  <c r="B56" i="9"/>
  <c r="B43" i="9"/>
  <c r="B49" i="9" s="1"/>
  <c r="C111" i="1"/>
  <c r="G58" i="5"/>
  <c r="D59" i="5"/>
  <c r="E106" i="5"/>
  <c r="D39" i="16" s="1"/>
  <c r="F63" i="7"/>
  <c r="E99" i="6"/>
  <c r="C14" i="15"/>
  <c r="E103" i="65"/>
  <c r="E93" i="65"/>
  <c r="E92" i="65"/>
  <c r="E30" i="65"/>
  <c r="E104" i="65"/>
  <c r="E38" i="1"/>
  <c r="E101" i="1"/>
  <c r="F27" i="65"/>
  <c r="B125" i="63"/>
  <c r="F84" i="63"/>
  <c r="E69" i="1"/>
  <c r="E114" i="1"/>
  <c r="E118" i="1" s="1"/>
  <c r="D100" i="64"/>
  <c r="D96" i="64"/>
  <c r="G77" i="64"/>
  <c r="D101" i="64"/>
  <c r="B24" i="16"/>
  <c r="G80" i="66"/>
  <c r="C72" i="43"/>
  <c r="D54" i="62"/>
  <c r="G50" i="62"/>
  <c r="G47" i="66"/>
  <c r="D93" i="43"/>
  <c r="F47" i="66"/>
  <c r="C90" i="62"/>
  <c r="F68" i="62"/>
  <c r="D90" i="62"/>
  <c r="G68" i="62"/>
  <c r="G84" i="61"/>
  <c r="C117" i="66"/>
  <c r="C121" i="66" s="1"/>
  <c r="D91" i="66"/>
  <c r="G74" i="66"/>
  <c r="O18" i="51"/>
  <c r="E44" i="66"/>
  <c r="E48" i="66" s="1"/>
  <c r="C38" i="43"/>
  <c r="U431" i="17"/>
  <c r="G21" i="51"/>
  <c r="I12" i="51"/>
  <c r="G225" i="17"/>
  <c r="D21" i="18"/>
  <c r="V63" i="17"/>
  <c r="H5" i="51"/>
  <c r="J27" i="19"/>
  <c r="I25" i="30"/>
  <c r="I29" i="30" s="1"/>
  <c r="L25" i="31"/>
  <c r="L28" i="31" s="1"/>
  <c r="M28" i="31" s="1"/>
  <c r="B23" i="18"/>
  <c r="C31" i="51"/>
  <c r="C33" i="51" s="1"/>
  <c r="C22" i="48"/>
  <c r="C25" i="48" s="1"/>
  <c r="B94" i="66"/>
  <c r="B90" i="66"/>
  <c r="B95" i="66"/>
  <c r="E28" i="61"/>
  <c r="E105" i="61"/>
  <c r="G455" i="17"/>
  <c r="I22" i="51"/>
  <c r="C95" i="66"/>
  <c r="C90" i="66"/>
  <c r="C94" i="66"/>
  <c r="H23" i="51"/>
  <c r="V477" i="17"/>
  <c r="N44" i="31"/>
  <c r="N44" i="30"/>
  <c r="P44" i="30" s="1"/>
  <c r="N46" i="19"/>
  <c r="P46" i="19" s="1"/>
  <c r="M42" i="18"/>
  <c r="O42" i="18" s="1"/>
  <c r="M39" i="48"/>
  <c r="O39" i="48" s="1"/>
  <c r="M48" i="51"/>
  <c r="C27" i="48"/>
  <c r="N40" i="18"/>
  <c r="I31" i="30"/>
  <c r="B111" i="5"/>
  <c r="E94" i="5"/>
  <c r="I4" i="16" s="1"/>
  <c r="E31" i="5"/>
  <c r="F54" i="66"/>
  <c r="C62" i="66"/>
  <c r="E69" i="6"/>
  <c r="E114" i="6"/>
  <c r="E118" i="6" s="1"/>
  <c r="D66" i="14"/>
  <c r="E113" i="13"/>
  <c r="E74" i="13"/>
  <c r="D112" i="46"/>
  <c r="C117" i="12"/>
  <c r="G86" i="46"/>
  <c r="D117" i="46"/>
  <c r="F86" i="13"/>
  <c r="B120" i="12"/>
  <c r="B118" i="12"/>
  <c r="E118" i="9"/>
  <c r="F86" i="46"/>
  <c r="D116" i="10"/>
  <c r="D119" i="10" s="1"/>
  <c r="B99" i="46"/>
  <c r="E114" i="9"/>
  <c r="E120" i="9" s="1"/>
  <c r="E69" i="9"/>
  <c r="D118" i="10"/>
  <c r="B105" i="46"/>
  <c r="B43" i="46"/>
  <c r="B49" i="46" s="1"/>
  <c r="B56" i="46"/>
  <c r="E105" i="10"/>
  <c r="E56" i="10"/>
  <c r="E43" i="10"/>
  <c r="E49" i="10" s="1"/>
  <c r="E116" i="10"/>
  <c r="E119" i="10" s="1"/>
  <c r="F63" i="8"/>
  <c r="H7" i="19"/>
  <c r="J7" i="19" s="1"/>
  <c r="J7" i="31"/>
  <c r="C33" i="8"/>
  <c r="F27" i="8"/>
  <c r="F63" i="6"/>
  <c r="C66" i="6"/>
  <c r="E119" i="1"/>
  <c r="E91" i="8"/>
  <c r="E96" i="8" s="1"/>
  <c r="E98" i="8" s="1"/>
  <c r="E99" i="8" s="1"/>
  <c r="G28" i="6"/>
  <c r="D112" i="6"/>
  <c r="D10" i="15"/>
  <c r="C30" i="16"/>
  <c r="G79" i="5"/>
  <c r="D111" i="7"/>
  <c r="G80" i="7"/>
  <c r="D69" i="6"/>
  <c r="G69" i="6" s="1"/>
  <c r="G66" i="6"/>
  <c r="D114" i="6"/>
  <c r="D120" i="6" s="1"/>
  <c r="B120" i="6"/>
  <c r="F87" i="64"/>
  <c r="E101" i="65"/>
  <c r="E96" i="65"/>
  <c r="E100" i="65"/>
  <c r="F41" i="5"/>
  <c r="B6" i="18"/>
  <c r="B18" i="16"/>
  <c r="B26" i="16" s="1"/>
  <c r="C59" i="5"/>
  <c r="F56" i="5"/>
  <c r="C102" i="65"/>
  <c r="G68" i="64"/>
  <c r="D97" i="65"/>
  <c r="C123" i="65"/>
  <c r="C127" i="65" s="1"/>
  <c r="G80" i="65"/>
  <c r="E104" i="5"/>
  <c r="D38" i="16" s="1"/>
  <c r="D54" i="64"/>
  <c r="D90" i="64" s="1"/>
  <c r="G50" i="64"/>
  <c r="G50" i="65"/>
  <c r="D54" i="65"/>
  <c r="D90" i="65" s="1"/>
  <c r="D108" i="64"/>
  <c r="D94" i="64"/>
  <c r="D19" i="64"/>
  <c r="F19" i="64" s="1"/>
  <c r="G17" i="64"/>
  <c r="G19" i="63"/>
  <c r="C125" i="63"/>
  <c r="G84" i="63"/>
  <c r="D77" i="63"/>
  <c r="C103" i="61"/>
  <c r="C93" i="61"/>
  <c r="C30" i="61"/>
  <c r="C104" i="61"/>
  <c r="C92" i="61"/>
  <c r="F28" i="61"/>
  <c r="C127" i="64"/>
  <c r="E69" i="64"/>
  <c r="E88" i="64" s="1"/>
  <c r="C101" i="61"/>
  <c r="F77" i="61"/>
  <c r="F87" i="61" s="1"/>
  <c r="C87" i="61"/>
  <c r="C100" i="61"/>
  <c r="C96" i="61"/>
  <c r="F79" i="5"/>
  <c r="C105" i="64"/>
  <c r="C28" i="64"/>
  <c r="C54" i="61"/>
  <c r="F50" i="61"/>
  <c r="D69" i="61"/>
  <c r="G54" i="61"/>
  <c r="I20" i="51"/>
  <c r="G409" i="17"/>
  <c r="I9" i="51"/>
  <c r="G156" i="17"/>
  <c r="F43" i="66"/>
  <c r="C44" i="66"/>
  <c r="E41" i="43"/>
  <c r="B22" i="66"/>
  <c r="B99" i="66"/>
  <c r="I4" i="51"/>
  <c r="G41" i="17"/>
  <c r="G478" i="17"/>
  <c r="I23" i="51"/>
  <c r="G23" i="51"/>
  <c r="U477" i="17"/>
  <c r="G294" i="17"/>
  <c r="I15" i="51"/>
  <c r="C102" i="66"/>
  <c r="C13" i="66"/>
  <c r="F11" i="66"/>
  <c r="C88" i="66"/>
  <c r="C92" i="66"/>
  <c r="F74" i="66"/>
  <c r="U39" i="17"/>
  <c r="N40" i="31"/>
  <c r="N40" i="30"/>
  <c r="N42" i="19"/>
  <c r="M38" i="18"/>
  <c r="M35" i="48"/>
  <c r="M44" i="51"/>
  <c r="N39" i="4"/>
  <c r="J40" i="4" s="1"/>
  <c r="N41" i="18"/>
  <c r="L31" i="31"/>
  <c r="O40" i="31"/>
  <c r="C114" i="10"/>
  <c r="C118" i="10" s="1"/>
  <c r="F66" i="10"/>
  <c r="C69" i="10"/>
  <c r="F69" i="10" s="1"/>
  <c r="H8" i="19"/>
  <c r="J8" i="31"/>
  <c r="F27" i="9"/>
  <c r="C113" i="9"/>
  <c r="C33" i="9"/>
  <c r="F75" i="8"/>
  <c r="C74" i="8"/>
  <c r="C113" i="8"/>
  <c r="K4" i="31"/>
  <c r="I4" i="19"/>
  <c r="D33" i="1"/>
  <c r="G27" i="1"/>
  <c r="C113" i="7"/>
  <c r="F75" i="7"/>
  <c r="C74" i="7"/>
  <c r="E119" i="6"/>
  <c r="E120" i="6"/>
  <c r="D117" i="14"/>
  <c r="G74" i="46"/>
  <c r="D91" i="46"/>
  <c r="F86" i="9"/>
  <c r="C69" i="8"/>
  <c r="C114" i="8"/>
  <c r="C118" i="8" s="1"/>
  <c r="F66" i="8"/>
  <c r="C112" i="14"/>
  <c r="G80" i="46"/>
  <c r="D111" i="46"/>
  <c r="E113" i="14"/>
  <c r="E74" i="14"/>
  <c r="F86" i="14"/>
  <c r="F80" i="14"/>
  <c r="C111" i="14"/>
  <c r="G80" i="13"/>
  <c r="D111" i="13"/>
  <c r="C33" i="14"/>
  <c r="H13" i="19"/>
  <c r="J13" i="19" s="1"/>
  <c r="F27" i="14"/>
  <c r="J13" i="31"/>
  <c r="E13" i="48"/>
  <c r="D113" i="14"/>
  <c r="G75" i="14"/>
  <c r="D74" i="14"/>
  <c r="H12" i="19"/>
  <c r="J12" i="19" s="1"/>
  <c r="J12" i="31"/>
  <c r="F27" i="13"/>
  <c r="C33" i="13"/>
  <c r="E12" i="48"/>
  <c r="F75" i="13"/>
  <c r="C74" i="13"/>
  <c r="C113" i="13"/>
  <c r="G80" i="14"/>
  <c r="D111" i="14"/>
  <c r="F80" i="46"/>
  <c r="C111" i="46"/>
  <c r="B99" i="13"/>
  <c r="D116" i="46"/>
  <c r="C116" i="46"/>
  <c r="C119" i="46" s="1"/>
  <c r="B56" i="10"/>
  <c r="B43" i="10"/>
  <c r="B49" i="10" s="1"/>
  <c r="B105" i="10"/>
  <c r="C66" i="9"/>
  <c r="I10" i="19"/>
  <c r="J10" i="19" s="1"/>
  <c r="K10" i="31"/>
  <c r="G27" i="46"/>
  <c r="D33" i="46"/>
  <c r="F33" i="46" s="1"/>
  <c r="E105" i="46"/>
  <c r="E56" i="46"/>
  <c r="E43" i="46"/>
  <c r="E49" i="46" s="1"/>
  <c r="E101" i="9"/>
  <c r="E38" i="9"/>
  <c r="D118" i="7"/>
  <c r="G86" i="10"/>
  <c r="B105" i="6"/>
  <c r="B43" i="6"/>
  <c r="B49" i="6" s="1"/>
  <c r="B56" i="6"/>
  <c r="C111" i="6"/>
  <c r="D120" i="1"/>
  <c r="E113" i="8"/>
  <c r="E111" i="7"/>
  <c r="B122" i="1"/>
  <c r="B121" i="1"/>
  <c r="F27" i="10"/>
  <c r="E105" i="6"/>
  <c r="E56" i="6"/>
  <c r="E43" i="6"/>
  <c r="E49" i="6" s="1"/>
  <c r="D33" i="6"/>
  <c r="C113" i="1"/>
  <c r="F75" i="1"/>
  <c r="C74" i="1"/>
  <c r="C87" i="64"/>
  <c r="C18" i="16"/>
  <c r="C26" i="16" s="1"/>
  <c r="G56" i="5"/>
  <c r="D24" i="15"/>
  <c r="C68" i="65"/>
  <c r="C69" i="65" s="1"/>
  <c r="D105" i="65"/>
  <c r="D28" i="65"/>
  <c r="G19" i="65"/>
  <c r="B106" i="5"/>
  <c r="E111" i="5"/>
  <c r="E77" i="62"/>
  <c r="E12" i="15"/>
  <c r="G84" i="62"/>
  <c r="F53" i="5"/>
  <c r="G53" i="5"/>
  <c r="D37" i="43"/>
  <c r="D126" i="65"/>
  <c r="D127" i="65" s="1"/>
  <c r="G67" i="65"/>
  <c r="E28" i="64"/>
  <c r="E105" i="64"/>
  <c r="F50" i="63"/>
  <c r="C54" i="63"/>
  <c r="C90" i="63" s="1"/>
  <c r="F19" i="62"/>
  <c r="C28" i="62"/>
  <c r="C105" i="62"/>
  <c r="D126" i="61"/>
  <c r="D127" i="61" s="1"/>
  <c r="G67" i="61"/>
  <c r="C126" i="63"/>
  <c r="C127" i="63" s="1"/>
  <c r="F67" i="63"/>
  <c r="E94" i="62"/>
  <c r="E19" i="62"/>
  <c r="G19" i="62" s="1"/>
  <c r="C77" i="63"/>
  <c r="B126" i="61"/>
  <c r="G50" i="63"/>
  <c r="D54" i="63"/>
  <c r="F67" i="62"/>
  <c r="G68" i="63"/>
  <c r="E69" i="62"/>
  <c r="C68" i="61"/>
  <c r="O4" i="51"/>
  <c r="J24" i="51"/>
  <c r="O24" i="51" s="1"/>
  <c r="C81" i="66"/>
  <c r="M23" i="31"/>
  <c r="J23" i="30"/>
  <c r="F50" i="62"/>
  <c r="G41" i="66"/>
  <c r="I6" i="51"/>
  <c r="G87" i="17"/>
  <c r="N43" i="31"/>
  <c r="P43" i="31" s="1"/>
  <c r="N43" i="30"/>
  <c r="N45" i="19"/>
  <c r="M41" i="18"/>
  <c r="O41" i="18" s="1"/>
  <c r="M38" i="48"/>
  <c r="O38" i="48" s="1"/>
  <c r="M47" i="51"/>
  <c r="O47" i="51" s="1"/>
  <c r="O42" i="30"/>
  <c r="P43" i="19" l="1"/>
  <c r="P43" i="30"/>
  <c r="O45" i="51"/>
  <c r="P44" i="31"/>
  <c r="O48" i="51"/>
  <c r="P41" i="31"/>
  <c r="L29" i="31"/>
  <c r="M29" i="31" s="1"/>
  <c r="J29" i="30"/>
  <c r="H9" i="31"/>
  <c r="D101" i="10"/>
  <c r="G33" i="10"/>
  <c r="D38" i="10"/>
  <c r="C34" i="51"/>
  <c r="D96" i="10"/>
  <c r="G91" i="10"/>
  <c r="E91" i="46"/>
  <c r="E96" i="46" s="1"/>
  <c r="E98" i="46" s="1"/>
  <c r="E99" i="46" s="1"/>
  <c r="E116" i="46"/>
  <c r="E119" i="46" s="1"/>
  <c r="F26" i="5"/>
  <c r="C31" i="5"/>
  <c r="C94" i="5"/>
  <c r="G4" i="16" s="1"/>
  <c r="B121" i="7"/>
  <c r="B122" i="7"/>
  <c r="D119" i="9"/>
  <c r="C101" i="65"/>
  <c r="C100" i="65"/>
  <c r="C96" i="65"/>
  <c r="F77" i="65"/>
  <c r="F87" i="65" s="1"/>
  <c r="C87" i="65"/>
  <c r="C88" i="65" s="1"/>
  <c r="B102" i="8"/>
  <c r="B51" i="8"/>
  <c r="C96" i="12"/>
  <c r="F91" i="12"/>
  <c r="E104" i="63"/>
  <c r="E92" i="63"/>
  <c r="E30" i="63"/>
  <c r="E103" i="63"/>
  <c r="E93" i="63"/>
  <c r="G48" i="66"/>
  <c r="D63" i="66"/>
  <c r="E105" i="9"/>
  <c r="E43" i="9"/>
  <c r="E49" i="9" s="1"/>
  <c r="E56" i="9"/>
  <c r="G8" i="31"/>
  <c r="F33" i="9"/>
  <c r="C38" i="9"/>
  <c r="C101" i="9"/>
  <c r="M40" i="48"/>
  <c r="O35" i="48"/>
  <c r="O40" i="48" s="1"/>
  <c r="C31" i="48" s="1"/>
  <c r="C32" i="48" s="1"/>
  <c r="B122" i="46"/>
  <c r="B121" i="46"/>
  <c r="C101" i="13"/>
  <c r="F33" i="13"/>
  <c r="C38" i="13"/>
  <c r="G12" i="31"/>
  <c r="M43" i="18"/>
  <c r="O38" i="18"/>
  <c r="E91" i="65"/>
  <c r="E32" i="65"/>
  <c r="E35" i="65" s="1"/>
  <c r="E37" i="65" s="1"/>
  <c r="C19" i="16"/>
  <c r="D107" i="5"/>
  <c r="G59" i="5"/>
  <c r="D62" i="5"/>
  <c r="G62" i="5" s="1"/>
  <c r="D106" i="5"/>
  <c r="C39" i="16" s="1"/>
  <c r="G68" i="5"/>
  <c r="D67" i="5"/>
  <c r="D11" i="15"/>
  <c r="D91" i="61"/>
  <c r="D32" i="61"/>
  <c r="B122" i="8"/>
  <c r="B121" i="8"/>
  <c r="D24" i="16"/>
  <c r="E113" i="5"/>
  <c r="E112" i="5"/>
  <c r="M5" i="16" s="1"/>
  <c r="B98" i="5"/>
  <c r="B36" i="5"/>
  <c r="B42" i="5" s="1"/>
  <c r="J28" i="5"/>
  <c r="J32" i="5" s="1"/>
  <c r="B49" i="5"/>
  <c r="J21" i="5"/>
  <c r="J25" i="5" s="1"/>
  <c r="C104" i="64"/>
  <c r="C92" i="64"/>
  <c r="C103" i="64"/>
  <c r="C93" i="64"/>
  <c r="F28" i="64"/>
  <c r="C30" i="64"/>
  <c r="F91" i="46"/>
  <c r="C96" i="46"/>
  <c r="E94" i="66"/>
  <c r="E90" i="66"/>
  <c r="E95" i="66"/>
  <c r="E81" i="66"/>
  <c r="E105" i="8"/>
  <c r="E56" i="8"/>
  <c r="E43" i="8"/>
  <c r="E49" i="8" s="1"/>
  <c r="G6" i="31"/>
  <c r="C101" i="7"/>
  <c r="F33" i="7"/>
  <c r="C38" i="7"/>
  <c r="B102" i="12"/>
  <c r="B51" i="12"/>
  <c r="G74" i="12"/>
  <c r="D91" i="12"/>
  <c r="D116" i="12"/>
  <c r="D119" i="12" s="1"/>
  <c r="B91" i="63"/>
  <c r="B32" i="63"/>
  <c r="B35" i="63" s="1"/>
  <c r="B37" i="63" s="1"/>
  <c r="B93" i="64"/>
  <c r="B104" i="64"/>
  <c r="B92" i="64"/>
  <c r="B30" i="64"/>
  <c r="B103" i="64"/>
  <c r="H7" i="31"/>
  <c r="G33" i="8"/>
  <c r="D101" i="8"/>
  <c r="D38" i="8"/>
  <c r="D56" i="14"/>
  <c r="D105" i="14"/>
  <c r="D43" i="14"/>
  <c r="B53" i="52"/>
  <c r="B54" i="52" s="1"/>
  <c r="B60" i="52" s="1"/>
  <c r="B61" i="52" s="1"/>
  <c r="B63" i="52"/>
  <c r="B66" i="52" s="1"/>
  <c r="G74" i="9"/>
  <c r="D91" i="9"/>
  <c r="D116" i="9"/>
  <c r="C116" i="6"/>
  <c r="C119" i="6" s="1"/>
  <c r="C91" i="6"/>
  <c r="F74" i="6"/>
  <c r="E104" i="61"/>
  <c r="E92" i="61"/>
  <c r="E93" i="61"/>
  <c r="E103" i="61"/>
  <c r="E30" i="61"/>
  <c r="E105" i="13"/>
  <c r="E43" i="13"/>
  <c r="E49" i="13" s="1"/>
  <c r="E56" i="13"/>
  <c r="C90" i="61"/>
  <c r="F68" i="61"/>
  <c r="C88" i="64"/>
  <c r="B121" i="6"/>
  <c r="B122" i="6"/>
  <c r="E122" i="46"/>
  <c r="E121" i="46"/>
  <c r="N45" i="30"/>
  <c r="P40" i="30"/>
  <c r="G18" i="17"/>
  <c r="D100" i="63"/>
  <c r="D96" i="63"/>
  <c r="G77" i="63"/>
  <c r="D101" i="63"/>
  <c r="D87" i="63"/>
  <c r="D69" i="65"/>
  <c r="G54" i="65"/>
  <c r="D102" i="65"/>
  <c r="E120" i="1"/>
  <c r="E91" i="13"/>
  <c r="E96" i="13" s="1"/>
  <c r="E98" i="13" s="1"/>
  <c r="E99" i="13" s="1"/>
  <c r="E116" i="13"/>
  <c r="E119" i="13" s="1"/>
  <c r="D6" i="16"/>
  <c r="D35" i="16" s="1"/>
  <c r="E49" i="5"/>
  <c r="E36" i="5"/>
  <c r="E42" i="5" s="1"/>
  <c r="E98" i="5"/>
  <c r="D7" i="16"/>
  <c r="B25" i="16"/>
  <c r="K2" i="16"/>
  <c r="G2" i="16"/>
  <c r="F69" i="7"/>
  <c r="C120" i="7"/>
  <c r="E91" i="7"/>
  <c r="E96" i="7" s="1"/>
  <c r="E98" i="7" s="1"/>
  <c r="E99" i="7" s="1"/>
  <c r="E116" i="7"/>
  <c r="E119" i="7" s="1"/>
  <c r="F74" i="10"/>
  <c r="C91" i="10"/>
  <c r="C116" i="10"/>
  <c r="C119" i="10" s="1"/>
  <c r="E120" i="12"/>
  <c r="E118" i="12"/>
  <c r="I28" i="30"/>
  <c r="J28" i="30" s="1"/>
  <c r="D118" i="6"/>
  <c r="G69" i="1"/>
  <c r="C69" i="64"/>
  <c r="F54" i="64"/>
  <c r="D91" i="8"/>
  <c r="G74" i="8"/>
  <c r="D116" i="8"/>
  <c r="D114" i="9"/>
  <c r="D118" i="9" s="1"/>
  <c r="D69" i="9"/>
  <c r="G69" i="9" s="1"/>
  <c r="G66" i="9"/>
  <c r="B121" i="12"/>
  <c r="B122" i="12"/>
  <c r="J11" i="19"/>
  <c r="G5" i="31"/>
  <c r="C101" i="6"/>
  <c r="F33" i="6"/>
  <c r="C38" i="6"/>
  <c r="O46" i="51"/>
  <c r="H6" i="31"/>
  <c r="D101" i="7"/>
  <c r="G33" i="7"/>
  <c r="D38" i="7"/>
  <c r="G69" i="10"/>
  <c r="E120" i="14"/>
  <c r="E118" i="14"/>
  <c r="F44" i="66"/>
  <c r="C48" i="66"/>
  <c r="C91" i="61"/>
  <c r="C32" i="61"/>
  <c r="F30" i="61"/>
  <c r="G19" i="64"/>
  <c r="D28" i="64"/>
  <c r="D105" i="64"/>
  <c r="G7" i="31"/>
  <c r="C38" i="8"/>
  <c r="C101" i="8"/>
  <c r="F33" i="8"/>
  <c r="F62" i="66"/>
  <c r="C84" i="66"/>
  <c r="G54" i="63"/>
  <c r="D69" i="63"/>
  <c r="D102" i="63"/>
  <c r="E104" i="64"/>
  <c r="E92" i="64"/>
  <c r="E30" i="64"/>
  <c r="E103" i="64"/>
  <c r="E93" i="64"/>
  <c r="E100" i="62"/>
  <c r="E96" i="62"/>
  <c r="E101" i="62"/>
  <c r="E87" i="62"/>
  <c r="E88" i="62" s="1"/>
  <c r="E121" i="6"/>
  <c r="E122" i="6"/>
  <c r="F66" i="9"/>
  <c r="C114" i="9"/>
  <c r="C69" i="9"/>
  <c r="G91" i="46"/>
  <c r="D96" i="46"/>
  <c r="C69" i="61"/>
  <c r="C88" i="61" s="1"/>
  <c r="F54" i="61"/>
  <c r="C102" i="61"/>
  <c r="B102" i="46"/>
  <c r="B51" i="46"/>
  <c r="D94" i="66"/>
  <c r="D90" i="66"/>
  <c r="D95" i="66"/>
  <c r="G71" i="66"/>
  <c r="D81" i="66"/>
  <c r="E105" i="7"/>
  <c r="E56" i="7"/>
  <c r="E43" i="7"/>
  <c r="E49" i="7" s="1"/>
  <c r="E100" i="61"/>
  <c r="E96" i="61"/>
  <c r="E101" i="61"/>
  <c r="E87" i="61"/>
  <c r="E88" i="61" s="1"/>
  <c r="D30" i="62"/>
  <c r="D104" i="62"/>
  <c r="D92" i="62"/>
  <c r="D103" i="62"/>
  <c r="D93" i="62"/>
  <c r="G28" i="62"/>
  <c r="E102" i="46"/>
  <c r="E51" i="46"/>
  <c r="E91" i="14"/>
  <c r="E96" i="14" s="1"/>
  <c r="E98" i="14" s="1"/>
  <c r="E99" i="14" s="1"/>
  <c r="E116" i="14"/>
  <c r="E119" i="14" s="1"/>
  <c r="H4" i="31"/>
  <c r="D38" i="1"/>
  <c r="D101" i="1"/>
  <c r="G33" i="1"/>
  <c r="N47" i="19"/>
  <c r="P42" i="19"/>
  <c r="C22" i="66"/>
  <c r="F13" i="66"/>
  <c r="C99" i="66"/>
  <c r="F28" i="62"/>
  <c r="C30" i="62"/>
  <c r="C104" i="62"/>
  <c r="C92" i="62"/>
  <c r="C103" i="62"/>
  <c r="C93" i="62"/>
  <c r="F74" i="1"/>
  <c r="C91" i="1"/>
  <c r="C116" i="1"/>
  <c r="C119" i="1" s="1"/>
  <c r="B51" i="6"/>
  <c r="B102" i="6"/>
  <c r="B102" i="10"/>
  <c r="B51" i="10"/>
  <c r="G13" i="31"/>
  <c r="C101" i="14"/>
  <c r="C38" i="14"/>
  <c r="F33" i="14"/>
  <c r="J8" i="19"/>
  <c r="N45" i="31"/>
  <c r="P40" i="31"/>
  <c r="P45" i="31" s="1"/>
  <c r="I24" i="51"/>
  <c r="F71" i="66"/>
  <c r="F81" i="66" s="1"/>
  <c r="F66" i="12"/>
  <c r="C69" i="12"/>
  <c r="F69" i="12" s="1"/>
  <c r="C114" i="12"/>
  <c r="C118" i="12" s="1"/>
  <c r="C103" i="63"/>
  <c r="C93" i="63"/>
  <c r="C104" i="63"/>
  <c r="C92" i="63"/>
  <c r="F28" i="63"/>
  <c r="C30" i="63"/>
  <c r="F54" i="65"/>
  <c r="B102" i="14"/>
  <c r="B51" i="14"/>
  <c r="E99" i="1"/>
  <c r="G4" i="31"/>
  <c r="C38" i="1"/>
  <c r="C101" i="1"/>
  <c r="F33" i="1"/>
  <c r="C56" i="46"/>
  <c r="C43" i="46"/>
  <c r="C105" i="46"/>
  <c r="D98" i="66"/>
  <c r="D86" i="66"/>
  <c r="D97" i="66"/>
  <c r="D87" i="66"/>
  <c r="D24" i="66"/>
  <c r="G22" i="66"/>
  <c r="D27" i="16"/>
  <c r="M4" i="16" s="1"/>
  <c r="F33" i="10"/>
  <c r="E98" i="66"/>
  <c r="E86" i="66"/>
  <c r="E97" i="66"/>
  <c r="E87" i="66"/>
  <c r="E24" i="66"/>
  <c r="F68" i="64"/>
  <c r="C90" i="64"/>
  <c r="G11" i="31"/>
  <c r="C101" i="12"/>
  <c r="F33" i="12"/>
  <c r="C38" i="12"/>
  <c r="D88" i="61"/>
  <c r="G87" i="61"/>
  <c r="C101" i="63"/>
  <c r="C100" i="63"/>
  <c r="C96" i="63"/>
  <c r="F77" i="63"/>
  <c r="F87" i="63" s="1"/>
  <c r="C87" i="63"/>
  <c r="P45" i="19"/>
  <c r="D90" i="63"/>
  <c r="E28" i="62"/>
  <c r="E105" i="62"/>
  <c r="D103" i="65"/>
  <c r="D93" i="65"/>
  <c r="D30" i="65"/>
  <c r="G28" i="65"/>
  <c r="D104" i="65"/>
  <c r="D92" i="65"/>
  <c r="H10" i="31"/>
  <c r="G33" i="46"/>
  <c r="D38" i="46"/>
  <c r="D101" i="46"/>
  <c r="B122" i="10"/>
  <c r="B121" i="10"/>
  <c r="D91" i="14"/>
  <c r="G74" i="14"/>
  <c r="D116" i="14"/>
  <c r="D119" i="14" s="1"/>
  <c r="G4" i="51"/>
  <c r="G24" i="51" s="1"/>
  <c r="U40" i="17"/>
  <c r="F66" i="6"/>
  <c r="C69" i="6"/>
  <c r="F69" i="6" s="1"/>
  <c r="C114" i="6"/>
  <c r="E51" i="10"/>
  <c r="E102" i="10"/>
  <c r="D120" i="46"/>
  <c r="D119" i="46"/>
  <c r="D114" i="14"/>
  <c r="D118" i="14" s="1"/>
  <c r="G66" i="14"/>
  <c r="D69" i="14"/>
  <c r="F66" i="14"/>
  <c r="D69" i="62"/>
  <c r="G54" i="62"/>
  <c r="D102" i="62"/>
  <c r="B102" i="9"/>
  <c r="B51" i="9"/>
  <c r="H24" i="51"/>
  <c r="D32" i="63"/>
  <c r="G30" i="63"/>
  <c r="D91" i="63"/>
  <c r="B102" i="13"/>
  <c r="B51" i="13"/>
  <c r="B121" i="14"/>
  <c r="B122" i="14"/>
  <c r="C106" i="5"/>
  <c r="B39" i="16" s="1"/>
  <c r="F68" i="5"/>
  <c r="C67" i="5"/>
  <c r="C11" i="15"/>
  <c r="E11" i="15"/>
  <c r="C24" i="48"/>
  <c r="C30" i="65"/>
  <c r="F28" i="65"/>
  <c r="C103" i="65"/>
  <c r="C93" i="65"/>
  <c r="C104" i="65"/>
  <c r="C92" i="65"/>
  <c r="J4" i="19"/>
  <c r="C56" i="10"/>
  <c r="C43" i="10"/>
  <c r="F38" i="10"/>
  <c r="C105" i="10"/>
  <c r="D118" i="12"/>
  <c r="D91" i="6"/>
  <c r="G74" i="6"/>
  <c r="D116" i="6"/>
  <c r="D119" i="6" s="1"/>
  <c r="E91" i="9"/>
  <c r="E96" i="9" s="1"/>
  <c r="E98" i="9" s="1"/>
  <c r="E99" i="9" s="1"/>
  <c r="E116" i="9"/>
  <c r="E119" i="9" s="1"/>
  <c r="H12" i="31"/>
  <c r="D38" i="13"/>
  <c r="D101" i="13"/>
  <c r="G33" i="13"/>
  <c r="O40" i="18"/>
  <c r="G77" i="61"/>
  <c r="B91" i="61"/>
  <c r="B32" i="61"/>
  <c r="B35" i="61" s="1"/>
  <c r="B37" i="61" s="1"/>
  <c r="G77" i="62"/>
  <c r="C88" i="62"/>
  <c r="C69" i="63"/>
  <c r="F54" i="63"/>
  <c r="C102" i="63"/>
  <c r="C91" i="13"/>
  <c r="F74" i="13"/>
  <c r="C116" i="13"/>
  <c r="C119" i="13" s="1"/>
  <c r="C91" i="7"/>
  <c r="F74" i="7"/>
  <c r="C116" i="7"/>
  <c r="C119" i="7" s="1"/>
  <c r="C91" i="8"/>
  <c r="F74" i="8"/>
  <c r="C116" i="8"/>
  <c r="C119" i="8" s="1"/>
  <c r="C120" i="10"/>
  <c r="B98" i="66"/>
  <c r="B86" i="66"/>
  <c r="B97" i="66"/>
  <c r="B24" i="66"/>
  <c r="B87" i="66"/>
  <c r="G54" i="64"/>
  <c r="D69" i="64"/>
  <c r="D88" i="64" s="1"/>
  <c r="D102" i="64"/>
  <c r="E121" i="10"/>
  <c r="E122" i="10"/>
  <c r="B122" i="9"/>
  <c r="B121" i="9"/>
  <c r="B104" i="65"/>
  <c r="B92" i="65"/>
  <c r="B30" i="65"/>
  <c r="B93" i="65"/>
  <c r="B103" i="65"/>
  <c r="C28" i="16"/>
  <c r="L6" i="16" s="1"/>
  <c r="C25" i="16"/>
  <c r="D101" i="12"/>
  <c r="H11" i="31"/>
  <c r="G33" i="12"/>
  <c r="D38" i="12"/>
  <c r="G26" i="5"/>
  <c r="D94" i="5"/>
  <c r="H4" i="16" s="1"/>
  <c r="D31" i="5"/>
  <c r="D84" i="66"/>
  <c r="G28" i="61"/>
  <c r="C69" i="1"/>
  <c r="F69" i="1" s="1"/>
  <c r="F66" i="1"/>
  <c r="C114" i="1"/>
  <c r="P44" i="19"/>
  <c r="D88" i="62"/>
  <c r="G87" i="62"/>
  <c r="G66" i="8"/>
  <c r="D69" i="8"/>
  <c r="G69" i="8" s="1"/>
  <c r="D114" i="8"/>
  <c r="D118" i="8" s="1"/>
  <c r="E102" i="6"/>
  <c r="E51" i="6"/>
  <c r="F74" i="14"/>
  <c r="C91" i="14"/>
  <c r="C116" i="14"/>
  <c r="C119" i="14" s="1"/>
  <c r="E62" i="66"/>
  <c r="E84" i="66" s="1"/>
  <c r="D120" i="66"/>
  <c r="D121" i="66" s="1"/>
  <c r="G61" i="66"/>
  <c r="B91" i="62"/>
  <c r="B32" i="62"/>
  <c r="B35" i="62" s="1"/>
  <c r="B37" i="62" s="1"/>
  <c r="E14" i="48"/>
  <c r="E56" i="12"/>
  <c r="E43" i="12"/>
  <c r="E49" i="12" s="1"/>
  <c r="E105" i="12"/>
  <c r="C90" i="65"/>
  <c r="F68" i="65"/>
  <c r="H5" i="31"/>
  <c r="D101" i="6"/>
  <c r="G33" i="6"/>
  <c r="D38" i="6"/>
  <c r="F69" i="8"/>
  <c r="M49" i="51"/>
  <c r="O44" i="51"/>
  <c r="B19" i="16"/>
  <c r="C107" i="5"/>
  <c r="F59" i="5"/>
  <c r="C62" i="5"/>
  <c r="F62" i="5" s="1"/>
  <c r="C119" i="12"/>
  <c r="C120" i="12"/>
  <c r="E63" i="66"/>
  <c r="E96" i="66"/>
  <c r="E56" i="1"/>
  <c r="E105" i="1"/>
  <c r="E43" i="1"/>
  <c r="E49" i="1" s="1"/>
  <c r="G74" i="13"/>
  <c r="D91" i="13"/>
  <c r="D116" i="13"/>
  <c r="D119" i="13" s="1"/>
  <c r="D91" i="7"/>
  <c r="G74" i="7"/>
  <c r="D116" i="7"/>
  <c r="D119" i="7" s="1"/>
  <c r="B122" i="13"/>
  <c r="B121" i="13"/>
  <c r="C120" i="13"/>
  <c r="C118" i="13"/>
  <c r="B55" i="1"/>
  <c r="B104" i="1" s="1"/>
  <c r="B103" i="1"/>
  <c r="B54" i="1"/>
  <c r="H8" i="31"/>
  <c r="G33" i="9"/>
  <c r="D38" i="9"/>
  <c r="D101" i="9"/>
  <c r="B102" i="7"/>
  <c r="B51" i="7"/>
  <c r="E100" i="63"/>
  <c r="E96" i="63"/>
  <c r="E101" i="63"/>
  <c r="E87" i="63"/>
  <c r="E88" i="63" s="1"/>
  <c r="G74" i="1"/>
  <c r="D116" i="1"/>
  <c r="D119" i="1" s="1"/>
  <c r="D91" i="1"/>
  <c r="D119" i="8"/>
  <c r="D120" i="8"/>
  <c r="F74" i="9"/>
  <c r="C91" i="9"/>
  <c r="C116" i="9"/>
  <c r="C119" i="9" s="1"/>
  <c r="D69" i="13"/>
  <c r="G69" i="13" s="1"/>
  <c r="G66" i="13"/>
  <c r="D114" i="13"/>
  <c r="D118" i="13" s="1"/>
  <c r="P42" i="30"/>
  <c r="B112" i="5"/>
  <c r="B113" i="5"/>
  <c r="E118" i="10"/>
  <c r="E101" i="14"/>
  <c r="E38" i="14"/>
  <c r="G87" i="65"/>
  <c r="D88" i="65"/>
  <c r="E102" i="12" l="1"/>
  <c r="E51" i="12"/>
  <c r="L34" i="31"/>
  <c r="M34" i="31" s="1"/>
  <c r="L33" i="31"/>
  <c r="L32" i="31"/>
  <c r="M32" i="31" s="1"/>
  <c r="D105" i="8"/>
  <c r="D43" i="8"/>
  <c r="D56" i="8"/>
  <c r="G38" i="8"/>
  <c r="D111" i="5"/>
  <c r="D113" i="5"/>
  <c r="E122" i="12"/>
  <c r="E121" i="12"/>
  <c r="D56" i="46"/>
  <c r="D43" i="46"/>
  <c r="F43" i="46" s="1"/>
  <c r="G38" i="46"/>
  <c r="D105" i="46"/>
  <c r="C98" i="12"/>
  <c r="C49" i="10"/>
  <c r="F69" i="9"/>
  <c r="D104" i="64"/>
  <c r="D92" i="64"/>
  <c r="D30" i="64"/>
  <c r="G28" i="64"/>
  <c r="D103" i="64"/>
  <c r="D93" i="64"/>
  <c r="D10" i="16"/>
  <c r="E95" i="5"/>
  <c r="E44" i="5"/>
  <c r="I34" i="30"/>
  <c r="J34" i="30" s="1"/>
  <c r="I33" i="30"/>
  <c r="I32" i="30"/>
  <c r="J32" i="30" s="1"/>
  <c r="E110" i="65"/>
  <c r="E38" i="65"/>
  <c r="E106" i="65"/>
  <c r="B54" i="8"/>
  <c r="B103" i="8"/>
  <c r="B55" i="8"/>
  <c r="B104" i="8" s="1"/>
  <c r="D120" i="9"/>
  <c r="B54" i="7"/>
  <c r="B55" i="7"/>
  <c r="B104" i="7" s="1"/>
  <c r="B103" i="7"/>
  <c r="D98" i="46"/>
  <c r="G96" i="46"/>
  <c r="G91" i="9"/>
  <c r="D96" i="9"/>
  <c r="D35" i="61"/>
  <c r="D105" i="6"/>
  <c r="G38" i="6"/>
  <c r="D56" i="6"/>
  <c r="D43" i="6"/>
  <c r="C7" i="16"/>
  <c r="C6" i="16"/>
  <c r="C35" i="16" s="1"/>
  <c r="G31" i="5"/>
  <c r="L28" i="5"/>
  <c r="L32" i="5" s="1"/>
  <c r="D49" i="5"/>
  <c r="D36" i="5"/>
  <c r="L21" i="5"/>
  <c r="L25" i="5" s="1"/>
  <c r="D98" i="5"/>
  <c r="F91" i="7"/>
  <c r="C96" i="7"/>
  <c r="L3" i="16"/>
  <c r="C27" i="16"/>
  <c r="L4" i="16" s="1"/>
  <c r="E102" i="7"/>
  <c r="E51" i="7"/>
  <c r="E56" i="14"/>
  <c r="G56" i="14" s="1"/>
  <c r="E43" i="14"/>
  <c r="E49" i="14" s="1"/>
  <c r="E105" i="14"/>
  <c r="C118" i="1"/>
  <c r="C120" i="1"/>
  <c r="C122" i="10"/>
  <c r="C121" i="10"/>
  <c r="E30" i="62"/>
  <c r="E104" i="62"/>
  <c r="E92" i="62"/>
  <c r="E103" i="62"/>
  <c r="E93" i="62"/>
  <c r="E85" i="66"/>
  <c r="E26" i="66"/>
  <c r="E29" i="66" s="1"/>
  <c r="E31" i="66" s="1"/>
  <c r="D85" i="66"/>
  <c r="G24" i="66"/>
  <c r="D26" i="66"/>
  <c r="C122" i="46"/>
  <c r="C121" i="46"/>
  <c r="C56" i="14"/>
  <c r="C43" i="14"/>
  <c r="C105" i="14"/>
  <c r="F38" i="14"/>
  <c r="C96" i="1"/>
  <c r="F91" i="1"/>
  <c r="E121" i="7"/>
  <c r="E122" i="7"/>
  <c r="B55" i="46"/>
  <c r="B104" i="46" s="1"/>
  <c r="B103" i="46"/>
  <c r="B54" i="46"/>
  <c r="C118" i="9"/>
  <c r="C120" i="9"/>
  <c r="E115" i="5"/>
  <c r="D33" i="16" s="1"/>
  <c r="E114" i="5"/>
  <c r="D32" i="16" s="1"/>
  <c r="M7" i="16" s="1"/>
  <c r="D88" i="63"/>
  <c r="G87" i="63"/>
  <c r="C98" i="46"/>
  <c r="F96" i="46"/>
  <c r="C29" i="16"/>
  <c r="C31" i="16" s="1"/>
  <c r="D84" i="5"/>
  <c r="G67" i="5"/>
  <c r="D109" i="5"/>
  <c r="D112" i="5" s="1"/>
  <c r="L5" i="16" s="1"/>
  <c r="E122" i="9"/>
  <c r="E121" i="9"/>
  <c r="E32" i="63"/>
  <c r="E35" i="63" s="1"/>
  <c r="E37" i="63" s="1"/>
  <c r="E91" i="63"/>
  <c r="G96" i="10"/>
  <c r="D98" i="10"/>
  <c r="F30" i="62"/>
  <c r="C32" i="62"/>
  <c r="C91" i="62"/>
  <c r="C105" i="6"/>
  <c r="F38" i="6"/>
  <c r="C43" i="6"/>
  <c r="C56" i="6"/>
  <c r="B113" i="63"/>
  <c r="B122" i="63" s="1"/>
  <c r="B128" i="63" s="1"/>
  <c r="B130" i="63" s="1"/>
  <c r="B110" i="63"/>
  <c r="B38" i="63"/>
  <c r="B106" i="63"/>
  <c r="B113" i="61"/>
  <c r="B122" i="61" s="1"/>
  <c r="B128" i="61" s="1"/>
  <c r="B130" i="61" s="1"/>
  <c r="B110" i="61"/>
  <c r="B38" i="61"/>
  <c r="B106" i="61"/>
  <c r="C91" i="65"/>
  <c r="C32" i="65"/>
  <c r="F30" i="65"/>
  <c r="C49" i="46"/>
  <c r="D105" i="9"/>
  <c r="G38" i="9"/>
  <c r="D43" i="9"/>
  <c r="D56" i="9"/>
  <c r="B38" i="62"/>
  <c r="B106" i="62"/>
  <c r="B113" i="62"/>
  <c r="B122" i="62" s="1"/>
  <c r="B128" i="62" s="1"/>
  <c r="B130" i="62" s="1"/>
  <c r="B110" i="62"/>
  <c r="D105" i="12"/>
  <c r="D56" i="12"/>
  <c r="D43" i="12"/>
  <c r="G38" i="12"/>
  <c r="B91" i="65"/>
  <c r="B32" i="65"/>
  <c r="B35" i="65" s="1"/>
  <c r="B37" i="65" s="1"/>
  <c r="F91" i="13"/>
  <c r="C96" i="13"/>
  <c r="J14" i="19"/>
  <c r="C91" i="63"/>
  <c r="F30" i="63"/>
  <c r="C32" i="63"/>
  <c r="D105" i="7"/>
  <c r="G38" i="7"/>
  <c r="D43" i="7"/>
  <c r="D56" i="7"/>
  <c r="D120" i="14"/>
  <c r="E121" i="13"/>
  <c r="E122" i="13"/>
  <c r="D49" i="14"/>
  <c r="D96" i="12"/>
  <c r="G91" i="12"/>
  <c r="E51" i="8"/>
  <c r="E102" i="8"/>
  <c r="D28" i="16"/>
  <c r="M6" i="16" s="1"/>
  <c r="D25" i="16"/>
  <c r="O43" i="18"/>
  <c r="E102" i="9"/>
  <c r="E51" i="9"/>
  <c r="D96" i="1"/>
  <c r="G91" i="1"/>
  <c r="C96" i="14"/>
  <c r="F91" i="14"/>
  <c r="P45" i="30"/>
  <c r="E51" i="1"/>
  <c r="E102" i="1"/>
  <c r="E103" i="6"/>
  <c r="E55" i="6"/>
  <c r="E104" i="6" s="1"/>
  <c r="E54" i="6"/>
  <c r="B54" i="13"/>
  <c r="B103" i="13"/>
  <c r="B55" i="13"/>
  <c r="B104" i="13" s="1"/>
  <c r="C111" i="5"/>
  <c r="C113" i="5"/>
  <c r="F91" i="9"/>
  <c r="C96" i="9"/>
  <c r="E121" i="1"/>
  <c r="E122" i="1"/>
  <c r="K3" i="16"/>
  <c r="B27" i="16"/>
  <c r="K4" i="16" s="1"/>
  <c r="E103" i="10"/>
  <c r="E54" i="10"/>
  <c r="E55" i="10"/>
  <c r="E104" i="10" s="1"/>
  <c r="G91" i="14"/>
  <c r="D96" i="14"/>
  <c r="C105" i="12"/>
  <c r="C56" i="12"/>
  <c r="C43" i="12"/>
  <c r="F38" i="12"/>
  <c r="C86" i="66"/>
  <c r="F22" i="66"/>
  <c r="C98" i="66"/>
  <c r="C87" i="66"/>
  <c r="C97" i="66"/>
  <c r="C24" i="66"/>
  <c r="D91" i="62"/>
  <c r="D32" i="62"/>
  <c r="F69" i="13"/>
  <c r="E91" i="64"/>
  <c r="E32" i="64"/>
  <c r="E35" i="64" s="1"/>
  <c r="E37" i="64" s="1"/>
  <c r="C35" i="61"/>
  <c r="F32" i="61"/>
  <c r="D96" i="8"/>
  <c r="G91" i="8"/>
  <c r="E51" i="13"/>
  <c r="E102" i="13"/>
  <c r="C96" i="6"/>
  <c r="F91" i="6"/>
  <c r="B32" i="64"/>
  <c r="B35" i="64" s="1"/>
  <c r="B37" i="64" s="1"/>
  <c r="B91" i="64"/>
  <c r="E121" i="8"/>
  <c r="E122" i="8"/>
  <c r="B32" i="18"/>
  <c r="D32" i="18" s="1"/>
  <c r="B31" i="18"/>
  <c r="D31" i="18" s="1"/>
  <c r="B30" i="18"/>
  <c r="D30" i="18" s="1"/>
  <c r="D56" i="10"/>
  <c r="F56" i="10" s="1"/>
  <c r="D43" i="10"/>
  <c r="G38" i="10"/>
  <c r="D105" i="10"/>
  <c r="G38" i="13"/>
  <c r="D105" i="13"/>
  <c r="D43" i="13"/>
  <c r="D56" i="13"/>
  <c r="C105" i="7"/>
  <c r="F38" i="7"/>
  <c r="C56" i="7"/>
  <c r="C43" i="7"/>
  <c r="F38" i="9"/>
  <c r="C105" i="9"/>
  <c r="C56" i="9"/>
  <c r="C43" i="9"/>
  <c r="F38" i="46"/>
  <c r="O49" i="51"/>
  <c r="C40" i="51" s="1"/>
  <c r="C41" i="51" s="1"/>
  <c r="C96" i="8"/>
  <c r="F91" i="8"/>
  <c r="D96" i="6"/>
  <c r="G91" i="6"/>
  <c r="B29" i="16"/>
  <c r="B31" i="16" s="1"/>
  <c r="C84" i="5"/>
  <c r="F67" i="5"/>
  <c r="C109" i="5"/>
  <c r="C112" i="5" s="1"/>
  <c r="K5" i="16" s="1"/>
  <c r="C118" i="6"/>
  <c r="C120" i="6"/>
  <c r="C88" i="63"/>
  <c r="C43" i="1"/>
  <c r="C56" i="1"/>
  <c r="C105" i="1"/>
  <c r="F38" i="1"/>
  <c r="B55" i="10"/>
  <c r="B104" i="10" s="1"/>
  <c r="B103" i="10"/>
  <c r="B54" i="10"/>
  <c r="P47" i="19"/>
  <c r="E54" i="46"/>
  <c r="E103" i="46"/>
  <c r="E55" i="46"/>
  <c r="E104" i="46" s="1"/>
  <c r="D82" i="66"/>
  <c r="G81" i="66"/>
  <c r="C96" i="10"/>
  <c r="F91" i="10"/>
  <c r="B28" i="16"/>
  <c r="K6" i="16" s="1"/>
  <c r="D122" i="14"/>
  <c r="D121" i="14"/>
  <c r="B103" i="12"/>
  <c r="B55" i="12"/>
  <c r="B104" i="12" s="1"/>
  <c r="B54" i="12"/>
  <c r="B114" i="5"/>
  <c r="B115" i="5"/>
  <c r="C30" i="48"/>
  <c r="C28" i="48"/>
  <c r="C29" i="48"/>
  <c r="D120" i="13"/>
  <c r="B7" i="16"/>
  <c r="B6" i="16"/>
  <c r="B35" i="16" s="1"/>
  <c r="C36" i="5"/>
  <c r="F31" i="5"/>
  <c r="K28" i="5"/>
  <c r="K32" i="5" s="1"/>
  <c r="C49" i="5"/>
  <c r="C98" i="5"/>
  <c r="K21" i="5"/>
  <c r="K25" i="5" s="1"/>
  <c r="B95" i="5"/>
  <c r="B44" i="5"/>
  <c r="E4" i="15"/>
  <c r="E8" i="15" s="1"/>
  <c r="E17" i="15" s="1"/>
  <c r="D96" i="13"/>
  <c r="G91" i="13"/>
  <c r="B103" i="9"/>
  <c r="B54" i="9"/>
  <c r="B55" i="9"/>
  <c r="B104" i="9" s="1"/>
  <c r="B103" i="14"/>
  <c r="B55" i="14"/>
  <c r="B104" i="14" s="1"/>
  <c r="B54" i="14"/>
  <c r="B54" i="6"/>
  <c r="B103" i="6"/>
  <c r="B55" i="6"/>
  <c r="B104" i="6" s="1"/>
  <c r="D34" i="16"/>
  <c r="I7" i="16"/>
  <c r="D56" i="1"/>
  <c r="D105" i="1"/>
  <c r="G38" i="1"/>
  <c r="D43" i="1"/>
  <c r="D96" i="7"/>
  <c r="G91" i="7"/>
  <c r="C39" i="51"/>
  <c r="C38" i="51"/>
  <c r="C37" i="51"/>
  <c r="G62" i="66"/>
  <c r="B26" i="66"/>
  <c r="B29" i="66" s="1"/>
  <c r="B31" i="66" s="1"/>
  <c r="B85" i="66"/>
  <c r="D35" i="63"/>
  <c r="G32" i="63"/>
  <c r="G69" i="14"/>
  <c r="F69" i="14"/>
  <c r="D91" i="65"/>
  <c r="D32" i="65"/>
  <c r="G30" i="65"/>
  <c r="M13" i="31"/>
  <c r="L35" i="31"/>
  <c r="L36" i="31" s="1"/>
  <c r="M36" i="31" s="1"/>
  <c r="M37" i="31"/>
  <c r="J36" i="19"/>
  <c r="K36" i="19" s="1"/>
  <c r="J35" i="19"/>
  <c r="K35" i="19" s="1"/>
  <c r="J34" i="19"/>
  <c r="K34" i="19" s="1"/>
  <c r="C105" i="8"/>
  <c r="F38" i="8"/>
  <c r="C43" i="8"/>
  <c r="C56" i="8"/>
  <c r="F48" i="66"/>
  <c r="C63" i="66"/>
  <c r="C82" i="66" s="1"/>
  <c r="C96" i="66"/>
  <c r="E32" i="61"/>
  <c r="E35" i="61" s="1"/>
  <c r="E37" i="61" s="1"/>
  <c r="E91" i="61"/>
  <c r="G38" i="14"/>
  <c r="E82" i="66"/>
  <c r="C32" i="64"/>
  <c r="F30" i="64"/>
  <c r="C91" i="64"/>
  <c r="G30" i="61"/>
  <c r="C56" i="13"/>
  <c r="F38" i="13"/>
  <c r="C105" i="13"/>
  <c r="C43" i="13"/>
  <c r="B100" i="66" l="1"/>
  <c r="B107" i="66"/>
  <c r="B116" i="66" s="1"/>
  <c r="B122" i="66" s="1"/>
  <c r="B124" i="66" s="1"/>
  <c r="B104" i="66"/>
  <c r="B32" i="66"/>
  <c r="C42" i="5"/>
  <c r="F36" i="5"/>
  <c r="F96" i="10"/>
  <c r="C98" i="10"/>
  <c r="D122" i="7"/>
  <c r="G56" i="7"/>
  <c r="D121" i="7"/>
  <c r="C121" i="6"/>
  <c r="F56" i="6"/>
  <c r="C122" i="6"/>
  <c r="E91" i="62"/>
  <c r="E32" i="62"/>
  <c r="E35" i="62" s="1"/>
  <c r="E37" i="62" s="1"/>
  <c r="F84" i="5"/>
  <c r="C89" i="5"/>
  <c r="F43" i="9"/>
  <c r="C49" i="9"/>
  <c r="D122" i="13"/>
  <c r="D121" i="13"/>
  <c r="G56" i="13"/>
  <c r="F96" i="6"/>
  <c r="C98" i="6"/>
  <c r="C98" i="9"/>
  <c r="F96" i="9"/>
  <c r="G96" i="1"/>
  <c r="D98" i="1"/>
  <c r="G43" i="7"/>
  <c r="D49" i="7"/>
  <c r="F43" i="6"/>
  <c r="C49" i="6"/>
  <c r="E103" i="7"/>
  <c r="E54" i="7"/>
  <c r="E55" i="7"/>
  <c r="E104" i="7" s="1"/>
  <c r="D42" i="5"/>
  <c r="G36" i="5"/>
  <c r="E107" i="65"/>
  <c r="E43" i="65"/>
  <c r="C102" i="10"/>
  <c r="C51" i="10"/>
  <c r="F9" i="48"/>
  <c r="J9" i="48" s="1"/>
  <c r="M33" i="31"/>
  <c r="L37" i="31"/>
  <c r="E35" i="15"/>
  <c r="E41" i="15" s="1"/>
  <c r="E43" i="15" s="1"/>
  <c r="F43" i="7"/>
  <c r="C49" i="7"/>
  <c r="D98" i="8"/>
  <c r="G96" i="8"/>
  <c r="C49" i="12"/>
  <c r="F43" i="12"/>
  <c r="D49" i="12"/>
  <c r="G43" i="12"/>
  <c r="C35" i="62"/>
  <c r="F32" i="62"/>
  <c r="D121" i="8"/>
  <c r="G56" i="8"/>
  <c r="D122" i="8"/>
  <c r="C121" i="7"/>
  <c r="C122" i="7"/>
  <c r="F56" i="7"/>
  <c r="C26" i="66"/>
  <c r="C85" i="66"/>
  <c r="F24" i="66"/>
  <c r="G43" i="9"/>
  <c r="D49" i="9"/>
  <c r="D12" i="16"/>
  <c r="D13" i="16"/>
  <c r="E96" i="5"/>
  <c r="I5" i="16" s="1"/>
  <c r="E48" i="5"/>
  <c r="E47" i="5"/>
  <c r="G43" i="8"/>
  <c r="D49" i="8"/>
  <c r="C122" i="13"/>
  <c r="C121" i="13"/>
  <c r="F56" i="13"/>
  <c r="D121" i="1"/>
  <c r="D122" i="1"/>
  <c r="G56" i="1"/>
  <c r="D49" i="10"/>
  <c r="G43" i="10"/>
  <c r="D29" i="66"/>
  <c r="G26" i="66"/>
  <c r="C115" i="5"/>
  <c r="B33" i="16" s="1"/>
  <c r="F49" i="5"/>
  <c r="C114" i="5"/>
  <c r="B32" i="16" s="1"/>
  <c r="K7" i="16" s="1"/>
  <c r="C121" i="1"/>
  <c r="C122" i="1"/>
  <c r="F56" i="1"/>
  <c r="C122" i="9"/>
  <c r="F56" i="9"/>
  <c r="C121" i="9"/>
  <c r="G43" i="13"/>
  <c r="D49" i="13"/>
  <c r="E54" i="9"/>
  <c r="E103" i="9"/>
  <c r="E55" i="9"/>
  <c r="E104" i="9" s="1"/>
  <c r="G96" i="12"/>
  <c r="D98" i="12"/>
  <c r="B106" i="65"/>
  <c r="B38" i="65"/>
  <c r="B113" i="65"/>
  <c r="B122" i="65" s="1"/>
  <c r="B128" i="65" s="1"/>
  <c r="B130" i="65" s="1"/>
  <c r="B110" i="65"/>
  <c r="C102" i="46"/>
  <c r="F49" i="46"/>
  <c r="C51" i="46"/>
  <c r="F10" i="48"/>
  <c r="J10" i="48" s="1"/>
  <c r="E106" i="63"/>
  <c r="E38" i="63"/>
  <c r="E110" i="63"/>
  <c r="F98" i="46"/>
  <c r="C99" i="46"/>
  <c r="C49" i="14"/>
  <c r="F43" i="14"/>
  <c r="E100" i="66"/>
  <c r="E104" i="66"/>
  <c r="E32" i="66"/>
  <c r="D115" i="5"/>
  <c r="C33" i="16" s="1"/>
  <c r="G49" i="5"/>
  <c r="D114" i="5"/>
  <c r="C32" i="16" s="1"/>
  <c r="L7" i="16" s="1"/>
  <c r="F96" i="12"/>
  <c r="C98" i="7"/>
  <c r="F96" i="7"/>
  <c r="D98" i="9"/>
  <c r="G96" i="9"/>
  <c r="G32" i="65"/>
  <c r="D35" i="65"/>
  <c r="C121" i="12"/>
  <c r="F56" i="12"/>
  <c r="C122" i="12"/>
  <c r="E106" i="61"/>
  <c r="E110" i="61"/>
  <c r="E38" i="61"/>
  <c r="B113" i="64"/>
  <c r="B122" i="64" s="1"/>
  <c r="B128" i="64" s="1"/>
  <c r="B130" i="64" s="1"/>
  <c r="B106" i="64"/>
  <c r="B110" i="64"/>
  <c r="B38" i="64"/>
  <c r="C98" i="1"/>
  <c r="F98" i="1" s="1"/>
  <c r="F96" i="1"/>
  <c r="E102" i="14"/>
  <c r="E51" i="14"/>
  <c r="D122" i="10"/>
  <c r="D121" i="10"/>
  <c r="G56" i="10"/>
  <c r="E106" i="64"/>
  <c r="E38" i="64"/>
  <c r="E110" i="64"/>
  <c r="G96" i="14"/>
  <c r="D98" i="14"/>
  <c r="E54" i="8"/>
  <c r="E103" i="8"/>
  <c r="E55" i="8"/>
  <c r="E104" i="8" s="1"/>
  <c r="E122" i="14"/>
  <c r="E121" i="14"/>
  <c r="D121" i="6"/>
  <c r="G56" i="6"/>
  <c r="D122" i="6"/>
  <c r="F43" i="10"/>
  <c r="G7" i="16"/>
  <c r="B34" i="16"/>
  <c r="C35" i="64"/>
  <c r="F32" i="64"/>
  <c r="C121" i="8"/>
  <c r="F56" i="8"/>
  <c r="C122" i="8"/>
  <c r="D37" i="63"/>
  <c r="G35" i="63"/>
  <c r="E54" i="13"/>
  <c r="E103" i="13"/>
  <c r="E55" i="13"/>
  <c r="E104" i="13" s="1"/>
  <c r="G30" i="62"/>
  <c r="G43" i="14"/>
  <c r="B107" i="62"/>
  <c r="B43" i="62"/>
  <c r="C122" i="14"/>
  <c r="C121" i="14"/>
  <c r="F56" i="14"/>
  <c r="G32" i="61"/>
  <c r="C99" i="12"/>
  <c r="E55" i="12"/>
  <c r="E104" i="12" s="1"/>
  <c r="E54" i="12"/>
  <c r="E103" i="12"/>
  <c r="I35" i="30"/>
  <c r="I36" i="30" s="1"/>
  <c r="J36" i="30" s="1"/>
  <c r="J37" i="30"/>
  <c r="I37" i="30" s="1"/>
  <c r="D122" i="9"/>
  <c r="G56" i="9"/>
  <c r="D121" i="9"/>
  <c r="B96" i="5"/>
  <c r="B48" i="5"/>
  <c r="B97" i="5" s="1"/>
  <c r="B47" i="5"/>
  <c r="E27" i="15"/>
  <c r="E33" i="15" s="1"/>
  <c r="C98" i="8"/>
  <c r="F96" i="8"/>
  <c r="D121" i="12"/>
  <c r="G56" i="12"/>
  <c r="D122" i="12"/>
  <c r="D49" i="46"/>
  <c r="G43" i="46"/>
  <c r="C37" i="61"/>
  <c r="F35" i="61"/>
  <c r="F4" i="48"/>
  <c r="F96" i="14"/>
  <c r="C98" i="14"/>
  <c r="D99" i="10"/>
  <c r="G98" i="10"/>
  <c r="G84" i="5"/>
  <c r="D89" i="5"/>
  <c r="C34" i="16"/>
  <c r="H7" i="16"/>
  <c r="G43" i="6"/>
  <c r="D49" i="6"/>
  <c r="D122" i="46"/>
  <c r="D121" i="46"/>
  <c r="G56" i="46"/>
  <c r="C98" i="13"/>
  <c r="F96" i="13"/>
  <c r="B43" i="61"/>
  <c r="B107" i="61"/>
  <c r="G98" i="46"/>
  <c r="D99" i="46"/>
  <c r="D98" i="7"/>
  <c r="G96" i="7"/>
  <c r="C49" i="1"/>
  <c r="F43" i="1"/>
  <c r="F43" i="13"/>
  <c r="C49" i="13"/>
  <c r="F43" i="8"/>
  <c r="C49" i="8"/>
  <c r="G43" i="1"/>
  <c r="D49" i="1"/>
  <c r="D98" i="13"/>
  <c r="G96" i="13"/>
  <c r="J37" i="19"/>
  <c r="K39" i="19"/>
  <c r="D98" i="6"/>
  <c r="G98" i="6" s="1"/>
  <c r="G96" i="6"/>
  <c r="D35" i="62"/>
  <c r="G32" i="62"/>
  <c r="E103" i="1"/>
  <c r="E54" i="1"/>
  <c r="E55" i="1"/>
  <c r="E104" i="1" s="1"/>
  <c r="B33" i="18"/>
  <c r="C35" i="18"/>
  <c r="D102" i="14"/>
  <c r="G49" i="14"/>
  <c r="D51" i="14"/>
  <c r="F32" i="63"/>
  <c r="C35" i="63"/>
  <c r="C35" i="65"/>
  <c r="F32" i="65"/>
  <c r="B107" i="63"/>
  <c r="B43" i="63"/>
  <c r="F56" i="46"/>
  <c r="D37" i="61"/>
  <c r="G35" i="61"/>
  <c r="J33" i="30"/>
  <c r="G30" i="64"/>
  <c r="D91" i="64"/>
  <c r="D32" i="64"/>
  <c r="G98" i="9" l="1"/>
  <c r="D99" i="9"/>
  <c r="J4" i="48"/>
  <c r="E43" i="64"/>
  <c r="E107" i="64"/>
  <c r="D102" i="12"/>
  <c r="G49" i="12"/>
  <c r="D51" i="12"/>
  <c r="C37" i="64"/>
  <c r="F7" i="48"/>
  <c r="J7" i="48" s="1"/>
  <c r="B107" i="64"/>
  <c r="B43" i="64"/>
  <c r="C99" i="7"/>
  <c r="F98" i="7"/>
  <c r="C55" i="46"/>
  <c r="C103" i="46"/>
  <c r="C54" i="46"/>
  <c r="D99" i="12"/>
  <c r="G98" i="12"/>
  <c r="C10" i="16"/>
  <c r="D95" i="5"/>
  <c r="G42" i="5"/>
  <c r="D44" i="5"/>
  <c r="C4" i="18"/>
  <c r="C10" i="18" s="1"/>
  <c r="D4" i="15"/>
  <c r="D8" i="15" s="1"/>
  <c r="D17" i="15" s="1"/>
  <c r="D99" i="1"/>
  <c r="G98" i="1"/>
  <c r="C4" i="15"/>
  <c r="C8" i="15" s="1"/>
  <c r="C17" i="15" s="1"/>
  <c r="B10" i="16"/>
  <c r="C95" i="5"/>
  <c r="C44" i="5"/>
  <c r="B4" i="18"/>
  <c r="B10" i="18" s="1"/>
  <c r="F42" i="5"/>
  <c r="F49" i="13"/>
  <c r="C51" i="13"/>
  <c r="C102" i="13"/>
  <c r="F12" i="48"/>
  <c r="J12" i="48" s="1"/>
  <c r="B43" i="65"/>
  <c r="B107" i="65"/>
  <c r="C37" i="65"/>
  <c r="F35" i="65"/>
  <c r="F8" i="48"/>
  <c r="J8" i="48" s="1"/>
  <c r="F35" i="63"/>
  <c r="C37" i="63"/>
  <c r="F6" i="48"/>
  <c r="J6" i="48" s="1"/>
  <c r="C99" i="8"/>
  <c r="F98" i="8"/>
  <c r="F49" i="1"/>
  <c r="C51" i="1"/>
  <c r="C102" i="1"/>
  <c r="F98" i="13"/>
  <c r="C99" i="13"/>
  <c r="D91" i="5"/>
  <c r="G91" i="5" s="1"/>
  <c r="G89" i="5"/>
  <c r="C38" i="61"/>
  <c r="C109" i="61"/>
  <c r="F37" i="61"/>
  <c r="C106" i="61"/>
  <c r="C113" i="61"/>
  <c r="C122" i="61" s="1"/>
  <c r="C128" i="61" s="1"/>
  <c r="C130" i="61" s="1"/>
  <c r="C110" i="61"/>
  <c r="B109" i="61"/>
  <c r="D31" i="66"/>
  <c r="G29" i="66"/>
  <c r="E22" i="59"/>
  <c r="J22" i="59" s="1"/>
  <c r="J26" i="59" s="1"/>
  <c r="D102" i="9"/>
  <c r="D51" i="9"/>
  <c r="G49" i="9"/>
  <c r="C102" i="12"/>
  <c r="C51" i="12"/>
  <c r="F49" i="12"/>
  <c r="F11" i="48"/>
  <c r="J11" i="48" s="1"/>
  <c r="G51" i="14"/>
  <c r="D54" i="14"/>
  <c r="D103" i="14"/>
  <c r="D55" i="14"/>
  <c r="G49" i="1"/>
  <c r="D51" i="1"/>
  <c r="D102" i="1"/>
  <c r="D51" i="8"/>
  <c r="D102" i="8"/>
  <c r="G49" i="8"/>
  <c r="C55" i="10"/>
  <c r="C103" i="10"/>
  <c r="C54" i="10"/>
  <c r="D51" i="7"/>
  <c r="G49" i="7"/>
  <c r="D102" i="7"/>
  <c r="G98" i="13"/>
  <c r="D99" i="13"/>
  <c r="B37" i="66"/>
  <c r="B101" i="66"/>
  <c r="G98" i="7"/>
  <c r="D99" i="7"/>
  <c r="D102" i="46"/>
  <c r="D51" i="46"/>
  <c r="F51" i="46" s="1"/>
  <c r="G49" i="46"/>
  <c r="D109" i="63"/>
  <c r="D106" i="63"/>
  <c r="D110" i="63"/>
  <c r="D38" i="63"/>
  <c r="G37" i="63"/>
  <c r="D113" i="63"/>
  <c r="D122" i="63" s="1"/>
  <c r="D128" i="63" s="1"/>
  <c r="D130" i="63" s="1"/>
  <c r="D37" i="65"/>
  <c r="G35" i="65"/>
  <c r="D102" i="10"/>
  <c r="G49" i="10"/>
  <c r="D51" i="10"/>
  <c r="F51" i="10" s="1"/>
  <c r="D99" i="8"/>
  <c r="G98" i="8"/>
  <c r="F49" i="10"/>
  <c r="F98" i="9"/>
  <c r="C99" i="9"/>
  <c r="C91" i="5"/>
  <c r="F89" i="5"/>
  <c r="C51" i="14"/>
  <c r="F49" i="14"/>
  <c r="C102" i="14"/>
  <c r="F13" i="48"/>
  <c r="J13" i="48" s="1"/>
  <c r="C102" i="9"/>
  <c r="C51" i="9"/>
  <c r="F49" i="9"/>
  <c r="D109" i="61"/>
  <c r="G37" i="61"/>
  <c r="D106" i="61"/>
  <c r="D113" i="61"/>
  <c r="D122" i="61" s="1"/>
  <c r="D128" i="61" s="1"/>
  <c r="D130" i="61" s="1"/>
  <c r="D110" i="61"/>
  <c r="D38" i="61"/>
  <c r="D37" i="62"/>
  <c r="G35" i="62"/>
  <c r="D35" i="64"/>
  <c r="G32" i="64"/>
  <c r="C51" i="8"/>
  <c r="F49" i="8"/>
  <c r="C102" i="8"/>
  <c r="D99" i="14"/>
  <c r="G98" i="14"/>
  <c r="E54" i="14"/>
  <c r="E103" i="14"/>
  <c r="E55" i="14"/>
  <c r="E104" i="14" s="1"/>
  <c r="C51" i="7"/>
  <c r="F49" i="7"/>
  <c r="C102" i="7"/>
  <c r="C51" i="6"/>
  <c r="F49" i="6"/>
  <c r="C102" i="6"/>
  <c r="F98" i="6"/>
  <c r="D51" i="6"/>
  <c r="G49" i="6"/>
  <c r="D102" i="6"/>
  <c r="F98" i="14"/>
  <c r="C99" i="14"/>
  <c r="F98" i="12"/>
  <c r="E43" i="61"/>
  <c r="E107" i="61"/>
  <c r="E101" i="66"/>
  <c r="E37" i="66"/>
  <c r="E43" i="63"/>
  <c r="E107" i="63"/>
  <c r="D51" i="13"/>
  <c r="G49" i="13"/>
  <c r="D102" i="13"/>
  <c r="D15" i="16"/>
  <c r="E97" i="5"/>
  <c r="I6" i="16" s="1"/>
  <c r="D14" i="16"/>
  <c r="D36" i="16" s="1"/>
  <c r="F26" i="66"/>
  <c r="C29" i="66"/>
  <c r="F5" i="48"/>
  <c r="J5" i="48" s="1"/>
  <c r="C37" i="62"/>
  <c r="F35" i="62"/>
  <c r="E106" i="62"/>
  <c r="E110" i="62"/>
  <c r="E38" i="62"/>
  <c r="C99" i="10"/>
  <c r="F98" i="10"/>
  <c r="C109" i="63" l="1"/>
  <c r="C110" i="63"/>
  <c r="C38" i="63"/>
  <c r="F37" i="63"/>
  <c r="C106" i="63"/>
  <c r="C113" i="63"/>
  <c r="C122" i="63" s="1"/>
  <c r="C128" i="63" s="1"/>
  <c r="C130" i="63" s="1"/>
  <c r="B109" i="63"/>
  <c r="C54" i="8"/>
  <c r="C103" i="8"/>
  <c r="C55" i="8"/>
  <c r="F51" i="8"/>
  <c r="D103" i="1"/>
  <c r="G51" i="1"/>
  <c r="D55" i="1"/>
  <c r="D54" i="1"/>
  <c r="G54" i="1" s="1"/>
  <c r="D104" i="14"/>
  <c r="G55" i="14"/>
  <c r="C103" i="13"/>
  <c r="C55" i="13"/>
  <c r="F51" i="13"/>
  <c r="C54" i="13"/>
  <c r="F54" i="10"/>
  <c r="D54" i="6"/>
  <c r="G54" i="6" s="1"/>
  <c r="D103" i="6"/>
  <c r="D55" i="6"/>
  <c r="G51" i="6"/>
  <c r="F91" i="5"/>
  <c r="C104" i="10"/>
  <c r="D54" i="9"/>
  <c r="G54" i="9" s="1"/>
  <c r="D55" i="9"/>
  <c r="G51" i="9"/>
  <c r="D103" i="9"/>
  <c r="D107" i="63"/>
  <c r="D43" i="63"/>
  <c r="G43" i="63" s="1"/>
  <c r="D103" i="10"/>
  <c r="G51" i="10"/>
  <c r="D55" i="10"/>
  <c r="D54" i="10"/>
  <c r="G54" i="10" s="1"/>
  <c r="C109" i="62"/>
  <c r="C38" i="62"/>
  <c r="C106" i="62"/>
  <c r="F37" i="62"/>
  <c r="C113" i="62"/>
  <c r="C122" i="62" s="1"/>
  <c r="C128" i="62" s="1"/>
  <c r="C130" i="62" s="1"/>
  <c r="C110" i="62"/>
  <c r="B109" i="62"/>
  <c r="D38" i="62"/>
  <c r="D106" i="62"/>
  <c r="G37" i="62"/>
  <c r="D113" i="62"/>
  <c r="D122" i="62" s="1"/>
  <c r="D128" i="62" s="1"/>
  <c r="D130" i="62" s="1"/>
  <c r="D110" i="62"/>
  <c r="D109" i="62"/>
  <c r="C55" i="9"/>
  <c r="F51" i="9"/>
  <c r="C103" i="9"/>
  <c r="C54" i="9"/>
  <c r="G54" i="14"/>
  <c r="C55" i="1"/>
  <c r="C103" i="1"/>
  <c r="F51" i="1"/>
  <c r="C54" i="1"/>
  <c r="F54" i="1" s="1"/>
  <c r="J14" i="48"/>
  <c r="C55" i="14"/>
  <c r="C54" i="14"/>
  <c r="F54" i="14" s="1"/>
  <c r="F51" i="14"/>
  <c r="C103" i="14"/>
  <c r="G35" i="64"/>
  <c r="D37" i="64"/>
  <c r="D54" i="13"/>
  <c r="G54" i="13" s="1"/>
  <c r="D103" i="13"/>
  <c r="D55" i="13"/>
  <c r="G51" i="13"/>
  <c r="D107" i="61"/>
  <c r="D43" i="61"/>
  <c r="G43" i="61" s="1"/>
  <c r="D113" i="65"/>
  <c r="D122" i="65" s="1"/>
  <c r="D128" i="65" s="1"/>
  <c r="D130" i="65" s="1"/>
  <c r="D110" i="65"/>
  <c r="G37" i="65"/>
  <c r="D109" i="65"/>
  <c r="D38" i="65"/>
  <c r="D106" i="65"/>
  <c r="G51" i="46"/>
  <c r="D54" i="46"/>
  <c r="G54" i="46" s="1"/>
  <c r="D103" i="46"/>
  <c r="D55" i="46"/>
  <c r="C113" i="65"/>
  <c r="C122" i="65" s="1"/>
  <c r="C128" i="65" s="1"/>
  <c r="C130" i="65" s="1"/>
  <c r="C110" i="65"/>
  <c r="F37" i="65"/>
  <c r="C106" i="65"/>
  <c r="C38" i="65"/>
  <c r="C109" i="65"/>
  <c r="B109" i="65"/>
  <c r="J16" i="19"/>
  <c r="D10" i="18"/>
  <c r="B12" i="18"/>
  <c r="M14" i="31"/>
  <c r="F54" i="46"/>
  <c r="F35" i="64"/>
  <c r="F14" i="48"/>
  <c r="C54" i="6"/>
  <c r="F54" i="6" s="1"/>
  <c r="C103" i="6"/>
  <c r="C55" i="6"/>
  <c r="F51" i="6"/>
  <c r="C31" i="66"/>
  <c r="F29" i="66"/>
  <c r="F22" i="59"/>
  <c r="D103" i="8"/>
  <c r="D55" i="8"/>
  <c r="G51" i="8"/>
  <c r="D54" i="8"/>
  <c r="G54" i="8" s="1"/>
  <c r="C43" i="61"/>
  <c r="F43" i="61" s="1"/>
  <c r="C107" i="61"/>
  <c r="B13" i="16"/>
  <c r="B12" i="16"/>
  <c r="C48" i="5"/>
  <c r="C96" i="5"/>
  <c r="G5" i="16" s="1"/>
  <c r="F44" i="5"/>
  <c r="C47" i="5"/>
  <c r="F47" i="5" s="1"/>
  <c r="C27" i="15"/>
  <c r="C33" i="15" s="1"/>
  <c r="C35" i="15" s="1"/>
  <c r="C41" i="15" s="1"/>
  <c r="C43" i="15" s="1"/>
  <c r="C13" i="16"/>
  <c r="C12" i="16"/>
  <c r="D96" i="5"/>
  <c r="H5" i="16" s="1"/>
  <c r="D48" i="5"/>
  <c r="G44" i="5"/>
  <c r="D47" i="5"/>
  <c r="G47" i="5" s="1"/>
  <c r="D27" i="15"/>
  <c r="D33" i="15" s="1"/>
  <c r="D35" i="15" s="1"/>
  <c r="D41" i="15" s="1"/>
  <c r="D43" i="15" s="1"/>
  <c r="C106" i="64"/>
  <c r="C38" i="64"/>
  <c r="F37" i="64"/>
  <c r="C113" i="64"/>
  <c r="C122" i="64" s="1"/>
  <c r="C128" i="64" s="1"/>
  <c r="C130" i="64" s="1"/>
  <c r="C110" i="64"/>
  <c r="B109" i="64"/>
  <c r="E107" i="62"/>
  <c r="E43" i="62"/>
  <c r="C103" i="7"/>
  <c r="C54" i="7"/>
  <c r="F54" i="7" s="1"/>
  <c r="C55" i="7"/>
  <c r="F51" i="7"/>
  <c r="C103" i="12"/>
  <c r="C55" i="12"/>
  <c r="C54" i="12"/>
  <c r="F54" i="12" s="1"/>
  <c r="F51" i="12"/>
  <c r="D54" i="7"/>
  <c r="G54" i="7" s="1"/>
  <c r="D55" i="7"/>
  <c r="D103" i="7"/>
  <c r="G51" i="7"/>
  <c r="D100" i="66"/>
  <c r="D107" i="66"/>
  <c r="D116" i="66" s="1"/>
  <c r="D122" i="66" s="1"/>
  <c r="D124" i="66" s="1"/>
  <c r="D104" i="66"/>
  <c r="D32" i="66"/>
  <c r="D103" i="66"/>
  <c r="G31" i="66"/>
  <c r="C104" i="46"/>
  <c r="D103" i="12"/>
  <c r="D54" i="12"/>
  <c r="G54" i="12" s="1"/>
  <c r="G51" i="12"/>
  <c r="D55" i="12"/>
  <c r="D17" i="18" l="1"/>
  <c r="B17" i="18"/>
  <c r="B19" i="18" s="1"/>
  <c r="B20" i="18" s="1"/>
  <c r="D43" i="62"/>
  <c r="G43" i="62" s="1"/>
  <c r="D107" i="62"/>
  <c r="D104" i="9"/>
  <c r="G55" i="9"/>
  <c r="D104" i="10"/>
  <c r="G55" i="10"/>
  <c r="G55" i="1"/>
  <c r="D104" i="1"/>
  <c r="K21" i="19"/>
  <c r="K16" i="19"/>
  <c r="J21" i="19"/>
  <c r="J23" i="19" s="1"/>
  <c r="J24" i="19" s="1"/>
  <c r="D104" i="46"/>
  <c r="G55" i="46"/>
  <c r="D106" i="64"/>
  <c r="D38" i="64"/>
  <c r="D109" i="64"/>
  <c r="G37" i="64"/>
  <c r="D113" i="64"/>
  <c r="D122" i="64" s="1"/>
  <c r="D128" i="64" s="1"/>
  <c r="D130" i="64" s="1"/>
  <c r="D110" i="64"/>
  <c r="C104" i="9"/>
  <c r="F55" i="9"/>
  <c r="F55" i="10"/>
  <c r="F54" i="13"/>
  <c r="D104" i="12"/>
  <c r="G55" i="12"/>
  <c r="F55" i="12"/>
  <c r="C104" i="12"/>
  <c r="G55" i="8"/>
  <c r="D104" i="8"/>
  <c r="F55" i="46"/>
  <c r="C15" i="16"/>
  <c r="D97" i="5"/>
  <c r="H6" i="16" s="1"/>
  <c r="C14" i="16"/>
  <c r="C36" i="16" s="1"/>
  <c r="G48" i="5"/>
  <c r="B15" i="16"/>
  <c r="C97" i="5"/>
  <c r="G6" i="16" s="1"/>
  <c r="B14" i="16"/>
  <c r="B36" i="16" s="1"/>
  <c r="F48" i="5"/>
  <c r="F55" i="13"/>
  <c r="C104" i="13"/>
  <c r="C57" i="59"/>
  <c r="K22" i="59"/>
  <c r="K26" i="59" s="1"/>
  <c r="G22" i="59" s="1"/>
  <c r="G36" i="59" s="1"/>
  <c r="C41" i="59" s="1"/>
  <c r="C107" i="65"/>
  <c r="C43" i="65"/>
  <c r="F55" i="1"/>
  <c r="C104" i="1"/>
  <c r="C104" i="8"/>
  <c r="F55" i="8"/>
  <c r="C107" i="63"/>
  <c r="C43" i="63"/>
  <c r="F43" i="63" s="1"/>
  <c r="D101" i="66"/>
  <c r="D37" i="66"/>
  <c r="G37" i="66" s="1"/>
  <c r="F55" i="6"/>
  <c r="C104" i="6"/>
  <c r="C109" i="64"/>
  <c r="C43" i="62"/>
  <c r="F43" i="62" s="1"/>
  <c r="C107" i="62"/>
  <c r="D104" i="6"/>
  <c r="G55" i="6"/>
  <c r="F55" i="7"/>
  <c r="C104" i="7"/>
  <c r="G55" i="7"/>
  <c r="D104" i="7"/>
  <c r="C43" i="64"/>
  <c r="C107" i="64"/>
  <c r="C107" i="66"/>
  <c r="C116" i="66" s="1"/>
  <c r="C122" i="66" s="1"/>
  <c r="C124" i="66" s="1"/>
  <c r="C104" i="66"/>
  <c r="C100" i="66"/>
  <c r="C32" i="66"/>
  <c r="F31" i="66"/>
  <c r="C103" i="66"/>
  <c r="B103" i="66"/>
  <c r="D107" i="65"/>
  <c r="D43" i="65"/>
  <c r="G43" i="65" s="1"/>
  <c r="G55" i="13"/>
  <c r="D104" i="13"/>
  <c r="C104" i="14"/>
  <c r="F55" i="14"/>
  <c r="F54" i="9"/>
  <c r="F54" i="8"/>
  <c r="J32" i="19" l="1"/>
  <c r="K32" i="19" s="1"/>
  <c r="J33" i="19"/>
  <c r="J38" i="19" s="1"/>
  <c r="K38" i="19" s="1"/>
  <c r="J31" i="19"/>
  <c r="J30" i="19"/>
  <c r="K30" i="19" s="1"/>
  <c r="B28" i="18"/>
  <c r="D28" i="18" s="1"/>
  <c r="B29" i="18"/>
  <c r="B34" i="18" s="1"/>
  <c r="D34" i="18" s="1"/>
  <c r="B27" i="18"/>
  <c r="D27" i="18" s="1"/>
  <c r="B26" i="18"/>
  <c r="D26" i="18" s="1"/>
  <c r="F43" i="65"/>
  <c r="C44" i="59"/>
  <c r="C45" i="59" s="1"/>
  <c r="C51" i="59" s="1"/>
  <c r="C52" i="59" s="1"/>
  <c r="C54" i="59"/>
  <c r="C58" i="59" s="1"/>
  <c r="F43" i="64"/>
  <c r="D43" i="64"/>
  <c r="G43" i="64" s="1"/>
  <c r="D107" i="64"/>
  <c r="C37" i="66"/>
  <c r="F37" i="66" s="1"/>
  <c r="C101" i="66"/>
  <c r="K31" i="19" l="1"/>
  <c r="J39" i="19"/>
</calcChain>
</file>

<file path=xl/comments1.xml><?xml version="1.0" encoding="utf-8"?>
<comments xmlns="http://schemas.openxmlformats.org/spreadsheetml/2006/main">
  <authors>
    <author>Hegde</author>
    <author>Anoop Hegde</author>
  </authors>
  <commentList>
    <comment ref="S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2.xml><?xml version="1.0" encoding="utf-8"?>
<comments xmlns="http://schemas.openxmlformats.org/spreadsheetml/2006/main">
  <authors>
    <author>Hegde</author>
    <author>Anoop Hegde</author>
  </authors>
  <commentList>
    <comment ref="S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3.xml><?xml version="1.0" encoding="utf-8"?>
<comments xmlns="http://schemas.openxmlformats.org/spreadsheetml/2006/main">
  <authors>
    <author>Hegde</author>
    <author>Anoop Hegde</author>
  </authors>
  <commentList>
    <comment ref="S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4.xml><?xml version="1.0" encoding="utf-8"?>
<comments xmlns="http://schemas.openxmlformats.org/spreadsheetml/2006/main">
  <authors>
    <author>Hegde</author>
    <author>Anoop Hegde</author>
  </authors>
  <commentList>
    <comment ref="S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5.xml><?xml version="1.0" encoding="utf-8"?>
<comments xmlns="http://schemas.openxmlformats.org/spreadsheetml/2006/main">
  <authors>
    <author>Hegde</author>
    <author>Anoop Hegde</author>
  </authors>
  <commentList>
    <comment ref="S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6.xml><?xml version="1.0" encoding="utf-8"?>
<comments xmlns="http://schemas.openxmlformats.org/spreadsheetml/2006/main">
  <authors>
    <author>Hegde</author>
    <author>Anoop Hegde</author>
  </authors>
  <commentList>
    <comment ref="S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7.xml><?xml version="1.0" encoding="utf-8"?>
<comments xmlns="http://schemas.openxmlformats.org/spreadsheetml/2006/main">
  <authors>
    <author>Hegde</author>
    <author>Anoop Hegde</author>
  </authors>
  <commentList>
    <comment ref="S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8.xml><?xml version="1.0" encoding="utf-8"?>
<comments xmlns="http://schemas.openxmlformats.org/spreadsheetml/2006/main">
  <authors>
    <author>Hegde</author>
    <author>Anoop Hegde</author>
  </authors>
  <commentList>
    <comment ref="S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9.xml><?xml version="1.0" encoding="utf-8"?>
<comments xmlns="http://schemas.openxmlformats.org/spreadsheetml/2006/main">
  <authors>
    <author>Hegde</author>
    <author>Anoop Hegde</author>
  </authors>
  <commentList>
    <comment ref="S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10.xml><?xml version="1.0" encoding="utf-8"?>
<comments xmlns="http://schemas.openxmlformats.org/spreadsheetml/2006/main">
  <authors>
    <author>Hegde</author>
    <author>Anoop Hegde</author>
  </authors>
  <commentList>
    <comment ref="S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sharedStrings.xml><?xml version="1.0" encoding="utf-8"?>
<sst xmlns="http://schemas.openxmlformats.org/spreadsheetml/2006/main" count="13479" uniqueCount="2050">
  <si>
    <t>Segment (select from dropdown):</t>
  </si>
  <si>
    <t>Affordable</t>
  </si>
  <si>
    <t>Customer Type (select from dropdown):</t>
  </si>
  <si>
    <t>Self-employed Non-Professional (SENP)</t>
  </si>
  <si>
    <t>Parties to the Loan</t>
  </si>
  <si>
    <t>S. No.</t>
  </si>
  <si>
    <t>Name</t>
  </si>
  <si>
    <t>Constitution (select from dropdown)</t>
  </si>
  <si>
    <t>Capacity (Applicant / Co-applicant / Guarantor)</t>
  </si>
  <si>
    <t>Age at the time of</t>
  </si>
  <si>
    <t>Relationship with Applicant</t>
  </si>
  <si>
    <t>CIBIL Score</t>
  </si>
  <si>
    <t>Income Considered (Y / N)</t>
  </si>
  <si>
    <t>Property Ownership (Y / N)</t>
  </si>
  <si>
    <t>Application</t>
  </si>
  <si>
    <t>Maturity</t>
  </si>
  <si>
    <t>KANHAIYA BHARTI</t>
  </si>
  <si>
    <t>Individual</t>
  </si>
  <si>
    <t>APPLICANT</t>
  </si>
  <si>
    <t>SELF</t>
  </si>
  <si>
    <t>Y</t>
  </si>
  <si>
    <t>SANDHYA BHARTI</t>
  </si>
  <si>
    <t>CO-APPLICANT</t>
  </si>
  <si>
    <t>SPOUSE</t>
  </si>
  <si>
    <t>N</t>
  </si>
  <si>
    <t>Proposed Loan Break-up</t>
  </si>
  <si>
    <t>Type of Loan</t>
  </si>
  <si>
    <t>Nature of Transaction</t>
  </si>
  <si>
    <t>Loan Amount (Rs.)</t>
  </si>
  <si>
    <t>Tenure (Months)</t>
  </si>
  <si>
    <t>Proposed ROI</t>
  </si>
  <si>
    <t>EMI (Rs.)</t>
  </si>
  <si>
    <t>Home Loan</t>
  </si>
  <si>
    <t>Purchase from Builder</t>
  </si>
  <si>
    <t>Industrial Check</t>
  </si>
  <si>
    <t>LAP/Comm Check</t>
  </si>
  <si>
    <t>GPL Check</t>
  </si>
  <si>
    <t>Insurance Check</t>
  </si>
  <si>
    <t>HL Check</t>
  </si>
  <si>
    <t>Total</t>
  </si>
  <si>
    <t>Loan (excl GPL &amp; Insurance)</t>
  </si>
  <si>
    <t>Property Details [Provide estimated details if not finalized]</t>
  </si>
  <si>
    <t>Property Address</t>
  </si>
  <si>
    <t>Property Type</t>
  </si>
  <si>
    <t>Owner(s) / Proposed Owner(s)</t>
  </si>
  <si>
    <t>Area (Sq Ft)</t>
  </si>
  <si>
    <t>Usage / Proposed Usage</t>
  </si>
  <si>
    <t>Whether in APF Project?</t>
  </si>
  <si>
    <t>Our existing exposure against the Property (Rs.)</t>
  </si>
  <si>
    <t>Valuation 1 (Rs.)</t>
  </si>
  <si>
    <t>Valuation 2 (Rs.)</t>
  </si>
  <si>
    <t>Agreement Value / Property Cost (incl Amenities) as may be applicable (Rs.)</t>
  </si>
  <si>
    <t>Stage of Construction</t>
  </si>
  <si>
    <t>Difference % in Valuations</t>
  </si>
  <si>
    <t>Valuation to be considered (Rs.)</t>
  </si>
  <si>
    <r>
      <rPr>
        <b/>
        <sz val="10"/>
        <color theme="1"/>
        <rFont val="Calibri"/>
        <charset val="134"/>
        <scheme val="minor"/>
      </rPr>
      <t>Final Valuation as per Norms</t>
    </r>
    <r>
      <rPr>
        <sz val="10"/>
        <color theme="1"/>
        <rFont val="Calibri"/>
        <charset val="134"/>
        <scheme val="minor"/>
      </rPr>
      <t>:</t>
    </r>
  </si>
  <si>
    <t>Additional Inputs for Eligibility Computation</t>
  </si>
  <si>
    <t>(Figs in Rs.)</t>
  </si>
  <si>
    <t>Particulars</t>
  </si>
  <si>
    <t>Extraordinary Income like Profit on Sale of Asset (Capital Gain), One Time Interest, Donation, Insurance Claim, etc if not already excluded while arriving at PBT</t>
  </si>
  <si>
    <t>Extraordinary Expenses like Loss on Sale of Asset (Capital Loss), Loss on Theft, Donation made, etc deducted while arriving at PBT</t>
  </si>
  <si>
    <r>
      <rPr>
        <sz val="10"/>
        <color theme="1"/>
        <rFont val="Calibri"/>
        <charset val="134"/>
        <scheme val="minor"/>
      </rPr>
      <t>Salary Income (as per ITR if not considered while arriving at PBT)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</si>
  <si>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Rental Income {Existing Rentals as per ITR or Regd Lease Deed copy (&gt;=3 months old) with Bank Credits / occupancy verified by Risk Team or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</si>
  <si>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Agricultural Income - Avg of last 2 years as per ITRs</t>
  </si>
  <si>
    <t>Interest / Dividend Income - Avg of last 2 years as per ITRs {such Income should be reflecting in at least past 2 years' ITRs}</t>
  </si>
  <si>
    <t>Any other Income not included while arriving at PBT but reflecting in at least past 2 years' ITRs - Avg of last 2 years as per ITRs</t>
  </si>
  <si>
    <r>
      <rPr>
        <sz val="10"/>
        <color theme="1"/>
        <rFont val="Calibri"/>
        <charset val="134"/>
        <scheme val="minor"/>
      </rPr>
      <t>Rental Income from Property Mortgaged and Rentals escrowed with ABHFL (if not incl above) {Existing Rentals as per Regd Lease Deed copy (&gt;=3 mths old) with Bank Credits (&gt;=6 mths) / occupancy verified by Risk Team or in absence of Regd Lease Agreement, Avg of last 2 years Rentals from such Property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</si>
  <si>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Type of Professional, if any (select from dropdown) [</t>
    </r>
    <r>
      <rPr>
        <b/>
        <sz val="10"/>
        <color theme="1"/>
        <rFont val="Calibri"/>
        <charset val="134"/>
        <scheme val="minor"/>
      </rPr>
      <t>for Gross Receipts Program</t>
    </r>
    <r>
      <rPr>
        <sz val="10"/>
        <color theme="1"/>
        <rFont val="Calibri"/>
        <charset val="134"/>
        <scheme val="minor"/>
      </rPr>
      <t>]</t>
    </r>
  </si>
  <si>
    <t>Salaried Eligibility</t>
  </si>
  <si>
    <t>Loan Amount Requested (In INR)</t>
  </si>
  <si>
    <t>ROI</t>
  </si>
  <si>
    <t>Tenure - Months</t>
  </si>
  <si>
    <t>EMI on requested Loan Amount</t>
  </si>
  <si>
    <t>Product - Property Type</t>
  </si>
  <si>
    <t>Valuation Details</t>
  </si>
  <si>
    <t>Value</t>
  </si>
  <si>
    <t>Property Value - Valuation-1</t>
  </si>
  <si>
    <t>Property Value - Valuation-2</t>
  </si>
  <si>
    <t>Property Value - Final</t>
  </si>
  <si>
    <t>Obligation Details</t>
  </si>
  <si>
    <r>
      <rPr>
        <sz val="10"/>
        <color theme="1"/>
        <rFont val="Calibri"/>
        <charset val="134"/>
        <scheme val="minor"/>
      </rPr>
      <t>Monthly Obligations to be considered in eligibility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</si>
  <si>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Obligations not to be considered in eligibility</t>
  </si>
  <si>
    <t>Income Details</t>
  </si>
  <si>
    <t xml:space="preserve">Parameters </t>
  </si>
  <si>
    <t xml:space="preserve">% considered </t>
  </si>
  <si>
    <t>Previous Year</t>
  </si>
  <si>
    <t>Current Year</t>
  </si>
  <si>
    <t>Frequency</t>
  </si>
  <si>
    <t>Amount Considered</t>
  </si>
  <si>
    <t>Core Income (excluding Pension Income, if any)</t>
  </si>
  <si>
    <t>Basic</t>
  </si>
  <si>
    <t>Monthly</t>
  </si>
  <si>
    <t>DA</t>
  </si>
  <si>
    <t>HRA</t>
  </si>
  <si>
    <t>Other Allowances</t>
  </si>
  <si>
    <t>Gross Salary</t>
  </si>
  <si>
    <t>Less - Deductions</t>
  </si>
  <si>
    <t>Net Salary</t>
  </si>
  <si>
    <t>Bonus &amp; LTA</t>
  </si>
  <si>
    <t>Fixed Bonus</t>
  </si>
  <si>
    <t>Annual</t>
  </si>
  <si>
    <t>Performance Linked Bonus</t>
  </si>
  <si>
    <t>LTA</t>
  </si>
  <si>
    <t>Pension Income</t>
  </si>
  <si>
    <r>
      <rPr>
        <sz val="10"/>
        <color theme="1"/>
        <rFont val="Calibri"/>
        <charset val="134"/>
        <scheme val="minor"/>
      </rPr>
      <t>Net Monthly Pension Income (</t>
    </r>
    <r>
      <rPr>
        <i/>
        <sz val="10"/>
        <color theme="1"/>
        <rFont val="Calibri"/>
        <charset val="134"/>
        <scheme val="minor"/>
      </rPr>
      <t>not included in Core Income above and capped at 35% of Gross Monthly Income</t>
    </r>
    <r>
      <rPr>
        <sz val="10"/>
        <color theme="1"/>
        <rFont val="Calibri"/>
        <charset val="134"/>
        <scheme val="minor"/>
      </rPr>
      <t>)</t>
    </r>
  </si>
  <si>
    <r>
      <rPr>
        <sz val="10"/>
        <color theme="1"/>
        <rFont val="Calibri"/>
        <charset val="134"/>
        <scheme val="minor"/>
      </rPr>
      <t>- Loan Obligations against Pension Income (</t>
    </r>
    <r>
      <rPr>
        <i/>
        <sz val="10"/>
        <color theme="1"/>
        <rFont val="Calibri"/>
        <charset val="134"/>
        <scheme val="minor"/>
      </rPr>
      <t>not included in Obligations above</t>
    </r>
    <r>
      <rPr>
        <sz val="10"/>
        <color theme="1"/>
        <rFont val="Calibri"/>
        <charset val="134"/>
        <scheme val="minor"/>
      </rPr>
      <t>)</t>
    </r>
  </si>
  <si>
    <t>Loan Tenure (months) for Pension Income portion</t>
  </si>
  <si>
    <t>Other Income</t>
  </si>
  <si>
    <t>Rental Income</t>
  </si>
  <si>
    <t>Rental Income (Unregistered)</t>
  </si>
  <si>
    <t>Agricultural Income</t>
  </si>
  <si>
    <t>Interest From FD / Dividend Income</t>
  </si>
  <si>
    <t>Other Income to be capped at 100% of the Core Income</t>
  </si>
  <si>
    <t>Rental Income from Property Mortgaged and Rentals escrowed with ABHFL</t>
  </si>
  <si>
    <t>Escrowed Rental Income</t>
  </si>
  <si>
    <t>Escrowed Rental Income (Unregistered)</t>
  </si>
  <si>
    <t>Eligible Income (excluding Pension)</t>
  </si>
  <si>
    <t>Eligible Income (excluding Pension) = Core Income + Bonus &amp; LTA + Other Income + Rental Income from Property Mortgaged with ABHFL</t>
  </si>
  <si>
    <t>Eligibility Computation</t>
  </si>
  <si>
    <t>Monthly Income</t>
  </si>
  <si>
    <t>Applicable FOIR</t>
  </si>
  <si>
    <r>
      <rPr>
        <sz val="10"/>
        <color theme="1"/>
        <rFont val="Calibri"/>
        <charset val="134"/>
        <scheme val="minor"/>
      </rPr>
      <t>Appraised Obligations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</si>
  <si>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Amount Available for EMI Servicing</t>
  </si>
  <si>
    <r>
      <rPr>
        <b/>
        <sz val="10"/>
        <color theme="1"/>
        <rFont val="Calibri"/>
        <charset val="134"/>
        <scheme val="minor"/>
      </rPr>
      <t>Loan Eligibility - Based on Income (</t>
    </r>
    <r>
      <rPr>
        <b/>
        <i/>
        <sz val="10"/>
        <color theme="1"/>
        <rFont val="Calibri"/>
        <charset val="134"/>
        <scheme val="minor"/>
      </rPr>
      <t>including for Pension portion</t>
    </r>
    <r>
      <rPr>
        <b/>
        <sz val="10"/>
        <color theme="1"/>
        <rFont val="Calibri"/>
        <charset val="134"/>
        <scheme val="minor"/>
      </rPr>
      <t>)</t>
    </r>
  </si>
  <si>
    <t>Property Value</t>
  </si>
  <si>
    <t>Applicable LTV</t>
  </si>
  <si>
    <t>Loan Eligibility - Based on Property Value</t>
  </si>
  <si>
    <t>Eligibility</t>
  </si>
  <si>
    <t>EMI</t>
  </si>
  <si>
    <t>FOIR on the Amount Applied</t>
  </si>
  <si>
    <t>LTV on the Amount Applied</t>
  </si>
  <si>
    <t>FOIR Deviation / Delegation</t>
  </si>
  <si>
    <t>LTV Deviation / Delegation</t>
  </si>
  <si>
    <t>Name:</t>
  </si>
  <si>
    <t>Employer Name:</t>
  </si>
  <si>
    <t>Designation:</t>
  </si>
  <si>
    <t>Date of Joining:</t>
  </si>
  <si>
    <t>Total Experience (Years):</t>
  </si>
  <si>
    <t>Rs.</t>
  </si>
  <si>
    <t>Component</t>
  </si>
  <si>
    <t>Standard Amount for calculation</t>
  </si>
  <si>
    <t>% to be considered</t>
  </si>
  <si>
    <t>Eligible Amount (Rs.)</t>
  </si>
  <si>
    <t>Variable Pay</t>
  </si>
  <si>
    <t>Bonus</t>
  </si>
  <si>
    <t>Arrears / Others</t>
  </si>
  <si>
    <r>
      <rPr>
        <b/>
        <sz val="10"/>
        <color theme="1"/>
        <rFont val="Calibri"/>
        <charset val="134"/>
        <scheme val="minor"/>
      </rPr>
      <t>Deductions</t>
    </r>
    <r>
      <rPr>
        <sz val="10"/>
        <color theme="1"/>
        <rFont val="Calibri"/>
        <charset val="134"/>
        <scheme val="minor"/>
      </rPr>
      <t>:</t>
    </r>
  </si>
  <si>
    <t>- PF</t>
  </si>
  <si>
    <t>- Profession Tax</t>
  </si>
  <si>
    <t>- Income Tax (TDS)</t>
  </si>
  <si>
    <t>- Loan Deduction</t>
  </si>
  <si>
    <t>- ESI / Other Deductions</t>
  </si>
  <si>
    <t>Total Deductions</t>
  </si>
  <si>
    <t>Annual Components (if excluded from above)</t>
  </si>
  <si>
    <t>Latest Year</t>
  </si>
  <si>
    <t>Form 16 Part B Details, if any</t>
  </si>
  <si>
    <t>Gross Salary as per Form 16</t>
  </si>
  <si>
    <t>Tax Deducted as per Form 16</t>
  </si>
  <si>
    <t>Net Salary as per Form 16</t>
  </si>
  <si>
    <t>Net Salary p.m. (as per Form 16)</t>
  </si>
  <si>
    <t>Salary, Bonus / Incentive, Reimbursement, or other credits from Employer</t>
  </si>
  <si>
    <t>Month</t>
  </si>
  <si>
    <t>Date</t>
  </si>
  <si>
    <t>Amount (Rs.)</t>
  </si>
  <si>
    <t>Remarks, if any</t>
  </si>
  <si>
    <t xml:space="preserve">SALARY REFLECTED IN BANK </t>
  </si>
  <si>
    <t>Latest Month</t>
  </si>
  <si>
    <t>Previous Month</t>
  </si>
  <si>
    <t>Previous to previous month</t>
  </si>
  <si>
    <t>Parameter Code</t>
  </si>
  <si>
    <t>Parameter_Desc</t>
  </si>
  <si>
    <t>GRDOMSAL</t>
  </si>
  <si>
    <t xml:space="preserve">Gross Domestic Sales </t>
  </si>
  <si>
    <t>EXPSAL</t>
  </si>
  <si>
    <t>Export Sales</t>
  </si>
  <si>
    <t>LESEXCDUT</t>
  </si>
  <si>
    <t>LESS: Excise duty</t>
  </si>
  <si>
    <t>TRDOPRINC</t>
  </si>
  <si>
    <t>ADD: Trading / Other Operating Income</t>
  </si>
  <si>
    <t>EXPINC</t>
  </si>
  <si>
    <t>Export Incentives</t>
  </si>
  <si>
    <t>DUDRAW</t>
  </si>
  <si>
    <t>Duty Drawback</t>
  </si>
  <si>
    <t>OTHER</t>
  </si>
  <si>
    <t>Others</t>
  </si>
  <si>
    <t>IMPORTD</t>
  </si>
  <si>
    <t>Imported</t>
  </si>
  <si>
    <t>INDIGENOUS</t>
  </si>
  <si>
    <t>Indigenous</t>
  </si>
  <si>
    <t>IMPORTED_1</t>
  </si>
  <si>
    <t>INDIGENOS1</t>
  </si>
  <si>
    <t>POWFUEL</t>
  </si>
  <si>
    <t>POWER &amp; FUEL</t>
  </si>
  <si>
    <t>DIRLABOUR</t>
  </si>
  <si>
    <t>DIRECT LABOUR</t>
  </si>
  <si>
    <t>OTHMANEXP</t>
  </si>
  <si>
    <t>OTHER MANUFACTURING EXPENSES</t>
  </si>
  <si>
    <t>DEPRECIA</t>
  </si>
  <si>
    <t>DEPRECIATION</t>
  </si>
  <si>
    <t>REPMAINT</t>
  </si>
  <si>
    <t>REPAIRS &amp; MAINTENANCE</t>
  </si>
  <si>
    <t>COSTTRDGDS</t>
  </si>
  <si>
    <t>COST OF TRADING GOODS</t>
  </si>
  <si>
    <t>ADOPSTKPRC</t>
  </si>
  <si>
    <t>ADD: OPENING STOCK IN PROCESS</t>
  </si>
  <si>
    <t>DEDCLSTKPR</t>
  </si>
  <si>
    <t>DEDUCT: CLOSING STOCK IN PROCESS</t>
  </si>
  <si>
    <t>ADDOPFIGD</t>
  </si>
  <si>
    <t>ADD: OPENING STOCK OF FINISHED GOODS</t>
  </si>
  <si>
    <t>DEDCLSTFIG</t>
  </si>
  <si>
    <t>DEDUCT: CLOSING STOCK OF FINISHED GOODS</t>
  </si>
  <si>
    <t>SGADMEXP</t>
  </si>
  <si>
    <t>SELLING, GENERAL &amp; ADM EXPENSES</t>
  </si>
  <si>
    <t>INTWC</t>
  </si>
  <si>
    <t>Interest - WC</t>
  </si>
  <si>
    <t>INTTRMLN</t>
  </si>
  <si>
    <t>Interest - Term Loans</t>
  </si>
  <si>
    <t>INTEWC1</t>
  </si>
  <si>
    <t>INTETRMLN1</t>
  </si>
  <si>
    <t>BNKCHG</t>
  </si>
  <si>
    <t>Bank Charges</t>
  </si>
  <si>
    <t>INTDEPDIV</t>
  </si>
  <si>
    <t xml:space="preserve">     (I) Interest On Deposits &amp; Dividend Received</t>
  </si>
  <si>
    <t>FORXGAIN</t>
  </si>
  <si>
    <t xml:space="preserve">     (II) Forex Gains</t>
  </si>
  <si>
    <t>NOOPINCSB</t>
  </si>
  <si>
    <t xml:space="preserve">     (III) Non Operating Income from Subsidiaries</t>
  </si>
  <si>
    <t>TXRFND</t>
  </si>
  <si>
    <t xml:space="preserve">     (IV) Tax Refund</t>
  </si>
  <si>
    <t>MISCINC</t>
  </si>
  <si>
    <t xml:space="preserve">     (V) Misc Income</t>
  </si>
  <si>
    <t>PFSALASINV</t>
  </si>
  <si>
    <t xml:space="preserve">     (VI) Profit on sale of assets &amp; Investments</t>
  </si>
  <si>
    <t>OTHINC1</t>
  </si>
  <si>
    <t xml:space="preserve">Other Income </t>
  </si>
  <si>
    <t>PRVEXPWRT</t>
  </si>
  <si>
    <t>(I) Provisions / Expenses Written Back</t>
  </si>
  <si>
    <t>LOSSALINV</t>
  </si>
  <si>
    <t>(I) Loss on sale of Investments</t>
  </si>
  <si>
    <t>LOSSALFA</t>
  </si>
  <si>
    <t>(II) Loss on sale of FA</t>
  </si>
  <si>
    <t>DERLOSBKD</t>
  </si>
  <si>
    <t>(III)  Derivative Losses booked</t>
  </si>
  <si>
    <t>PREXPWRTOF</t>
  </si>
  <si>
    <t>(I) Preli.Exp / One Time Expenses Written Off</t>
  </si>
  <si>
    <t>MSCEXPWRTF</t>
  </si>
  <si>
    <t>(II) Misc Exp. Written Off</t>
  </si>
  <si>
    <t>PRVDBTINV</t>
  </si>
  <si>
    <t>(III) Prov. for doub.debts &amp; Dim.in the val. of Inv.</t>
  </si>
  <si>
    <t>WLTHTX</t>
  </si>
  <si>
    <t>(IV) Wealth Tax</t>
  </si>
  <si>
    <t>TAXPAID</t>
  </si>
  <si>
    <t>TAX PAID</t>
  </si>
  <si>
    <t>PRVTXCURR</t>
  </si>
  <si>
    <t>PROVISION FOR TAXES - Current Period</t>
  </si>
  <si>
    <t>DEFRDTX</t>
  </si>
  <si>
    <t xml:space="preserve">                                             -  Deffered Taxes</t>
  </si>
  <si>
    <t>EXTINCADJP</t>
  </si>
  <si>
    <t>Extraordinary Income adjustments (+)</t>
  </si>
  <si>
    <t>EXTINCADJM</t>
  </si>
  <si>
    <t>Extraordinary Expenses  adjustments (-)</t>
  </si>
  <si>
    <t>EQTDVPDAMT</t>
  </si>
  <si>
    <t>EQUITY DIVIDEND PAID   (I)   AMOUNT</t>
  </si>
  <si>
    <t>RATE</t>
  </si>
  <si>
    <t>II RATE</t>
  </si>
  <si>
    <t>DIVTAX</t>
  </si>
  <si>
    <t>Dividend tax</t>
  </si>
  <si>
    <t>PRNTWTDRW</t>
  </si>
  <si>
    <t>Partners withdrawal</t>
  </si>
  <si>
    <t>DIVPRF</t>
  </si>
  <si>
    <t>Dividend -Preference</t>
  </si>
  <si>
    <t>SHTRMBORAB</t>
  </si>
  <si>
    <t>(i)Short term Borrowings from applicant bank (CC / WCDL)</t>
  </si>
  <si>
    <t>SHTRMBOROB</t>
  </si>
  <si>
    <t>(ii)Short term Borrowingsfrom other banks</t>
  </si>
  <si>
    <t>SHTRMBOR12</t>
  </si>
  <si>
    <t>Short term Borrowings(of (i) and (ii) in which Bill purchased &amp; disc.)</t>
  </si>
  <si>
    <t>SUNDRYCRD</t>
  </si>
  <si>
    <t>Sundry Creditors (Trade)</t>
  </si>
  <si>
    <t>SHTRMBORAG</t>
  </si>
  <si>
    <t>Short term borrowings from Associates &amp; Group Concerns</t>
  </si>
  <si>
    <t>SHTRMBORCP</t>
  </si>
  <si>
    <t>Short Term borrowings / Commercial Paper</t>
  </si>
  <si>
    <t>SHTRMBORO</t>
  </si>
  <si>
    <t>Short term borrowings from Others</t>
  </si>
  <si>
    <t>ADVPCDPDL</t>
  </si>
  <si>
    <t>Advances/ payments from customers/deposits from dealers.</t>
  </si>
  <si>
    <t>PRVFORTAX</t>
  </si>
  <si>
    <t>Provision for taxation</t>
  </si>
  <si>
    <t>PROPDVD</t>
  </si>
  <si>
    <t>Proposed dividend</t>
  </si>
  <si>
    <t>OTHSTALIAB</t>
  </si>
  <si>
    <t>Other Statutory Liabilities( Due within One Year)</t>
  </si>
  <si>
    <t>INSTTRMLNS</t>
  </si>
  <si>
    <t>Installments of Term loans / Debentures / DPGs etc. (due within 1 year)</t>
  </si>
  <si>
    <t>DEPDUEREP</t>
  </si>
  <si>
    <t xml:space="preserve">Deposits due for repayment (due within 1 year) </t>
  </si>
  <si>
    <t>PREFSHAR</t>
  </si>
  <si>
    <t>Preference Shares redeemable (within 1 year)</t>
  </si>
  <si>
    <t>OTHCURLIA1</t>
  </si>
  <si>
    <t>Other Current liabilities &amp; provisions (due within 1 year)</t>
  </si>
  <si>
    <t>INTACCNTDU</t>
  </si>
  <si>
    <t>Interest acc but not due</t>
  </si>
  <si>
    <t>PRVNPA</t>
  </si>
  <si>
    <t>Provision for NPA</t>
  </si>
  <si>
    <t>PRVENCASHGT</t>
  </si>
  <si>
    <t>Provision for leave encashment &amp; gratuity</t>
  </si>
  <si>
    <t>UNCLMDVD</t>
  </si>
  <si>
    <t>Unclaimed dividend</t>
  </si>
  <si>
    <t>OTHLIAB</t>
  </si>
  <si>
    <t xml:space="preserve">Other Liabilities </t>
  </si>
  <si>
    <t>DUESUBAFF</t>
  </si>
  <si>
    <t>Due to  Subsidiary companies/ affiliates</t>
  </si>
  <si>
    <t>TAXINTDVDP</t>
  </si>
  <si>
    <t xml:space="preserve">Tax on Interim Dividend Payable </t>
  </si>
  <si>
    <t>WTCL</t>
  </si>
  <si>
    <t>WCTL</t>
  </si>
  <si>
    <t>PREFSHR1</t>
  </si>
  <si>
    <t>Pref. Shares (portion redeemable after 1 Yr)</t>
  </si>
  <si>
    <t>TRMLNEX1</t>
  </si>
  <si>
    <t>Term Loans (Excluding installments payable within one year)</t>
  </si>
  <si>
    <t>TRMLNFIS</t>
  </si>
  <si>
    <t>Term Loans - From Fis</t>
  </si>
  <si>
    <t>DEBENTRS</t>
  </si>
  <si>
    <t>Debentures</t>
  </si>
  <si>
    <t>TERMDEP</t>
  </si>
  <si>
    <t>Term deposits</t>
  </si>
  <si>
    <t>UNSECLNS</t>
  </si>
  <si>
    <t xml:space="preserve">Unsecured loans </t>
  </si>
  <si>
    <t>BORSSUBAFI</t>
  </si>
  <si>
    <t>Borrowings from subsidiaries / affiliates (Quasi Equity)</t>
  </si>
  <si>
    <t>DEPDEALERS</t>
  </si>
  <si>
    <t>Deposit from Dealers (only if considered as available for long term)</t>
  </si>
  <si>
    <t>OTHTRMLIA</t>
  </si>
  <si>
    <t>Other term liabilities</t>
  </si>
  <si>
    <t>DEFRTXLIA</t>
  </si>
  <si>
    <t>Deferred Tax Liability</t>
  </si>
  <si>
    <t>INTCORPLN</t>
  </si>
  <si>
    <t>Inter Corporate Loan</t>
  </si>
  <si>
    <t>OTHLNADV</t>
  </si>
  <si>
    <t xml:space="preserve">Other Loan &amp; Advances </t>
  </si>
  <si>
    <t>PRPROCAP</t>
  </si>
  <si>
    <t>Partners capital / Proprietors capital</t>
  </si>
  <si>
    <t>SHARECAP</t>
  </si>
  <si>
    <t>Share Capital (Paid-up)</t>
  </si>
  <si>
    <t>SHAREAPP</t>
  </si>
  <si>
    <t>Share Application (finalized for allotment)</t>
  </si>
  <si>
    <t>SACR</t>
  </si>
  <si>
    <t xml:space="preserve">     Statutory and Capital Reserves</t>
  </si>
  <si>
    <t>GENRESERV</t>
  </si>
  <si>
    <t xml:space="preserve">     General Reserve</t>
  </si>
  <si>
    <t>REVALRESRV</t>
  </si>
  <si>
    <t xml:space="preserve">     Revaluation Reserve</t>
  </si>
  <si>
    <t>OTHRESERV</t>
  </si>
  <si>
    <t>Other Reserves ( Excluding provisions)</t>
  </si>
  <si>
    <t>SDPNL</t>
  </si>
  <si>
    <t>Surplus (+) or deficit (-) in P &amp; L Account</t>
  </si>
  <si>
    <t>SHAREPRM</t>
  </si>
  <si>
    <t>Share Premium A/c</t>
  </si>
  <si>
    <t>CAPSUBSDY</t>
  </si>
  <si>
    <t>Capital Subsidy</t>
  </si>
  <si>
    <t>IAUR</t>
  </si>
  <si>
    <t>Investment Allowance Utilization Reserve</t>
  </si>
  <si>
    <t>ARRCUMDVD</t>
  </si>
  <si>
    <t>Arrears of cumulative dividends</t>
  </si>
  <si>
    <t>DCISL</t>
  </si>
  <si>
    <t>Disputed excise / customs / Income tax / Sales tax Liabilities</t>
  </si>
  <si>
    <t>GRTLIANTPV</t>
  </si>
  <si>
    <t>Gratuity Liability not provided for</t>
  </si>
  <si>
    <t>GURANTISSB</t>
  </si>
  <si>
    <t>Guarantees issued (relating to business)</t>
  </si>
  <si>
    <t>GURANTISSC</t>
  </si>
  <si>
    <t>Guarantees issued (for group companies)</t>
  </si>
  <si>
    <t>LCS</t>
  </si>
  <si>
    <t>LCs</t>
  </si>
  <si>
    <t>ALLCONTLIA</t>
  </si>
  <si>
    <t>All other contingent liabilities -(incldg. Bills purchased - Under LC)</t>
  </si>
  <si>
    <t>CSHBANKBAL</t>
  </si>
  <si>
    <t>Cash and Bank Balances</t>
  </si>
  <si>
    <t>INVSTGOV</t>
  </si>
  <si>
    <t>Invst Govt. &amp; other securities</t>
  </si>
  <si>
    <t>INVSTFIXD</t>
  </si>
  <si>
    <t>Invst Fixed deposits with banks</t>
  </si>
  <si>
    <t>INVSTOTHRS</t>
  </si>
  <si>
    <t>Invst Others</t>
  </si>
  <si>
    <t>RCVDEFEXP</t>
  </si>
  <si>
    <t>RECEIVABLES other than deferred &amp; exports (Incl. bills purchased &amp; discounted by banks)</t>
  </si>
  <si>
    <t>EXPREV</t>
  </si>
  <si>
    <t>Export Receivables (including bill purchased and discounted)</t>
  </si>
  <si>
    <t>RETMONDEP</t>
  </si>
  <si>
    <t>Retention Money / Security Deposit</t>
  </si>
  <si>
    <t>RAWINDIG</t>
  </si>
  <si>
    <t>Raw Material - Indigenous</t>
  </si>
  <si>
    <t>RAWIMP</t>
  </si>
  <si>
    <t xml:space="preserve">Raw Material - Imported </t>
  </si>
  <si>
    <t>STKINPROC</t>
  </si>
  <si>
    <t>STOCK IN PROCESS</t>
  </si>
  <si>
    <t>FINGOODS</t>
  </si>
  <si>
    <t>FINISHED GOODS</t>
  </si>
  <si>
    <t>OCSINDIG</t>
  </si>
  <si>
    <t>Other Consumable spares - Indigenous</t>
  </si>
  <si>
    <t>OCSIMPORTD</t>
  </si>
  <si>
    <t>Other Consumable spares - Imported</t>
  </si>
  <si>
    <t>OTHSTKS</t>
  </si>
  <si>
    <t>Other  stocks</t>
  </si>
  <si>
    <t>ADVSUPRAW</t>
  </si>
  <si>
    <t>Advances to suppliers of raw material</t>
  </si>
  <si>
    <t>ADVPAYTX</t>
  </si>
  <si>
    <t>Advance payment of tax</t>
  </si>
  <si>
    <t>INTACC</t>
  </si>
  <si>
    <t>Interest Accrued</t>
  </si>
  <si>
    <t>ADVRCVCASH</t>
  </si>
  <si>
    <t>Advance receivable in cash or kind</t>
  </si>
  <si>
    <t>SUNDRYDEP</t>
  </si>
  <si>
    <t>Sundry Deposit</t>
  </si>
  <si>
    <t>MODVAT</t>
  </si>
  <si>
    <t>Modvat Credit Receivable</t>
  </si>
  <si>
    <t>OTHCURASS1</t>
  </si>
  <si>
    <t>Other current assets</t>
  </si>
  <si>
    <t>LAND</t>
  </si>
  <si>
    <t>(I) Land</t>
  </si>
  <si>
    <t>BUILDING</t>
  </si>
  <si>
    <t>(ii) Building</t>
  </si>
  <si>
    <t>VEHICLES</t>
  </si>
  <si>
    <t>(iii) Vehicles</t>
  </si>
  <si>
    <t>PLANTMACH</t>
  </si>
  <si>
    <t>(IV) Plant &amp; Machinery</t>
  </si>
  <si>
    <t>FURNFIXT</t>
  </si>
  <si>
    <t>(v) Furniture &amp; Fixtures</t>
  </si>
  <si>
    <t>OTHFIXASS</t>
  </si>
  <si>
    <t>(vi) Other Fixed Assets</t>
  </si>
  <si>
    <t>CAPWIP</t>
  </si>
  <si>
    <t xml:space="preserve">(vii) Capital WIP </t>
  </si>
  <si>
    <t>LESSACCDEP</t>
  </si>
  <si>
    <t>Less: Accumulated Depreciation</t>
  </si>
  <si>
    <t>INVSUBCOM</t>
  </si>
  <si>
    <t>Investments in Subsidiary companies/ affiliates</t>
  </si>
  <si>
    <t>OTHINVACQ</t>
  </si>
  <si>
    <t xml:space="preserve">Other Investments &amp; Investment for acquisition </t>
  </si>
  <si>
    <t>DUEFRMSUB</t>
  </si>
  <si>
    <t>Due from subsidiaries</t>
  </si>
  <si>
    <t>DEFRCV1</t>
  </si>
  <si>
    <t>Deferred receivables (maturity exceeding 1 year)</t>
  </si>
  <si>
    <t>MARGMON</t>
  </si>
  <si>
    <t>Margin money kept with banks.</t>
  </si>
  <si>
    <t>DEBATORS6</t>
  </si>
  <si>
    <t>Debtors more than 6 months</t>
  </si>
  <si>
    <t>ADVMORT</t>
  </si>
  <si>
    <t>Advance against mortgage of house property</t>
  </si>
  <si>
    <t>DEFRVNEXP</t>
  </si>
  <si>
    <t>Deferred Revenue Expenditure</t>
  </si>
  <si>
    <t>ONCA1</t>
  </si>
  <si>
    <t>Other Non current assets- surplus for Future expansion, Loans &amp; Advances non current in nature, ICDs, Dues from Directors</t>
  </si>
  <si>
    <t>APMO</t>
  </si>
  <si>
    <t>Accumulated Losses, Preliminary expenses, Miscellaneous expenditure not w/off, Other deferred revenue expenses</t>
  </si>
  <si>
    <t>DEFTAXASS</t>
  </si>
  <si>
    <t>Deferred Tax Asset</t>
  </si>
  <si>
    <r>
      <rPr>
        <b/>
        <sz val="10"/>
        <color theme="1"/>
        <rFont val="Calibri"/>
        <charset val="134"/>
        <scheme val="minor"/>
      </rPr>
      <t>Assessee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</si>
  <si>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PAN</t>
    </r>
    <r>
      <rPr>
        <sz val="10"/>
        <color theme="1"/>
        <rFont val="Calibri"/>
        <charset val="134"/>
        <scheme val="minor"/>
      </rPr>
      <t>:</t>
    </r>
  </si>
  <si>
    <t>Assessment Year</t>
  </si>
  <si>
    <t>2023-24</t>
  </si>
  <si>
    <t>2022-23</t>
  </si>
  <si>
    <t>2021-22</t>
  </si>
  <si>
    <t>ITR Acknowledgment No.</t>
  </si>
  <si>
    <t>ITR Acknowledgment Date</t>
  </si>
  <si>
    <t>Gross Turnover / Receipts u/s 44AD (Rs.)</t>
  </si>
  <si>
    <t>Net Profit (Earnings) reported u/s 44AD (Rs.)</t>
  </si>
  <si>
    <t>Gross Receipts u/s 44ADA (Rs.)</t>
  </si>
  <si>
    <t>Net Profit (Earnings) reported u/s 44ADA (Rs.)</t>
  </si>
  <si>
    <t>Gross Receipts u/s 44AE (Rs.)</t>
  </si>
  <si>
    <t>Net Profit (Earnings) reported u/s 44AE (Rs.)</t>
  </si>
  <si>
    <t>Total Gross Turnover / Receipts (Rs.)</t>
  </si>
  <si>
    <t>Total Net Income (Rs.)</t>
  </si>
  <si>
    <t>Tax Paid (Rs.)</t>
  </si>
  <si>
    <t>PAT (Rs.)</t>
  </si>
  <si>
    <t>2020-21</t>
  </si>
  <si>
    <t>2019-20</t>
  </si>
  <si>
    <t>2018-19</t>
  </si>
  <si>
    <t>Consolidated</t>
  </si>
  <si>
    <t>Expenses other than Tax (Rs.)</t>
  </si>
  <si>
    <r>
      <rPr>
        <b/>
        <sz val="10"/>
        <color theme="1"/>
        <rFont val="Calibri"/>
        <charset val="134"/>
        <scheme val="minor"/>
      </rPr>
      <t>Customer / Entity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</si>
  <si>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Financial Year</t>
    </r>
    <r>
      <rPr>
        <sz val="10"/>
        <color theme="1"/>
        <rFont val="Calibri"/>
        <charset val="134"/>
        <scheme val="minor"/>
      </rPr>
      <t>:</t>
    </r>
  </si>
  <si>
    <t>Party Name</t>
  </si>
  <si>
    <t>Payment under Section</t>
  </si>
  <si>
    <t>Amount Credited (Rs.)</t>
  </si>
  <si>
    <t>Tax Deducted (Rs.)</t>
  </si>
  <si>
    <t>Name of Entity</t>
  </si>
  <si>
    <t>GSTIN</t>
  </si>
  <si>
    <t>Financial Year</t>
  </si>
  <si>
    <t>Business Location</t>
  </si>
  <si>
    <t>Outward Taxable Supply (Rs.)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</si>
  <si>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</si>
  <si>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</si>
  <si>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</si>
  <si>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</si>
  <si>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</si>
  <si>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</si>
  <si>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</si>
  <si>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</si>
  <si>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</si>
  <si>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</si>
  <si>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</si>
  <si>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</si>
  <si>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VALUE OF OUTWARD TAXABLE SUPPLY</t>
  </si>
  <si>
    <t>Name of Customer</t>
  </si>
  <si>
    <t>Balance / Utilization on date (Rs. Lacs)</t>
  </si>
  <si>
    <t>Min Balance of the month (Rs. Lacs)</t>
  </si>
  <si>
    <t>Max Balance of the month (Rs. Lacs)</t>
  </si>
  <si>
    <t>Average (Rs. Lacs)</t>
  </si>
  <si>
    <t>Total Inflows (Rs. Lacs)</t>
  </si>
  <si>
    <t>Total Outflows (Rs. Lacs)</t>
  </si>
  <si>
    <t>Loan Disbursal incl in Inflows (Rs. Lacs)</t>
  </si>
  <si>
    <t>Interest (debited) / credited (Rs. Lacs)</t>
  </si>
  <si>
    <t>Intra Group transaction value included (Rs. Lacs)</t>
  </si>
  <si>
    <t>Cash Entry Value (Rs. Lacs)</t>
  </si>
  <si>
    <t>Net Flow (Rs. Lacs)</t>
  </si>
  <si>
    <t>No. of I/W Return</t>
  </si>
  <si>
    <t>No. of O/W Return</t>
  </si>
  <si>
    <t>No. of Credit Entries</t>
  </si>
  <si>
    <t>No. of Debit Entries</t>
  </si>
  <si>
    <t>Net Inflows (Rs. Lacs)</t>
  </si>
  <si>
    <t>Net Outflows (Rs. Lacs)</t>
  </si>
  <si>
    <t>Debit</t>
  </si>
  <si>
    <t>Credit</t>
  </si>
  <si>
    <t xml:space="preserve">Total </t>
  </si>
  <si>
    <t>Average</t>
  </si>
  <si>
    <t>Unutilized Limit (CC/OD)</t>
  </si>
  <si>
    <t>O/w Return Ratio</t>
  </si>
  <si>
    <t>I/w Return Ratio</t>
  </si>
  <si>
    <t>MR. KANHAIYA BHARTI</t>
  </si>
  <si>
    <t>Name of Bank</t>
  </si>
  <si>
    <t xml:space="preserve">STATE BANK OF INDIA </t>
  </si>
  <si>
    <t>Branch Name</t>
  </si>
  <si>
    <t>A/c Type (Select from Dropdown)</t>
  </si>
  <si>
    <t>Savings</t>
  </si>
  <si>
    <t>A/c Number</t>
  </si>
  <si>
    <t>00000031272798836</t>
  </si>
  <si>
    <t>Period</t>
  </si>
  <si>
    <t>Limit (CC/OD)</t>
  </si>
  <si>
    <t>Balance / Utilization on date (Rs.)</t>
  </si>
  <si>
    <t>Min Balance of the month (Rs.)</t>
  </si>
  <si>
    <t>Max Balance of the month (Rs.)</t>
  </si>
  <si>
    <t>Average (Rs.)</t>
  </si>
  <si>
    <t>Total Inflows (Rs.)</t>
  </si>
  <si>
    <t>Total Outflows (Rs.)</t>
  </si>
  <si>
    <t>Loan Disbursal incl in Inflows (Rs.)</t>
  </si>
  <si>
    <t>Interest (debited) / credited (Rs.)</t>
  </si>
  <si>
    <t>Intra Group transaction value included (Rs.)</t>
  </si>
  <si>
    <t>Cash Entry Value (Rs.)</t>
  </si>
  <si>
    <t>Net Flow (Rs.)</t>
  </si>
  <si>
    <t>Net Inflows (Rs.)</t>
  </si>
  <si>
    <t>Net Outflows (Rs.)</t>
  </si>
  <si>
    <t>Bank / FI Name</t>
  </si>
  <si>
    <t>Loan / Facility Type (Select from Dropdown)</t>
  </si>
  <si>
    <t>Loan / Facility Amount (Rs.)</t>
  </si>
  <si>
    <t>Current Outstanding (Rs.)</t>
  </si>
  <si>
    <t>Start Date</t>
  </si>
  <si>
    <t>In case closed, Closure Date</t>
  </si>
  <si>
    <t>MOB</t>
  </si>
  <si>
    <t>Borrower name for loan / facility</t>
  </si>
  <si>
    <t>Loan / Facility A/c No.</t>
  </si>
  <si>
    <t>Repayment Bank details</t>
  </si>
  <si>
    <t>Status (Select from Dropdown)</t>
  </si>
  <si>
    <t>Running EMI (Rs.)</t>
  </si>
  <si>
    <t>% of EMI to be considered</t>
  </si>
  <si>
    <t>EMI Amount to be considered (Rs.)</t>
  </si>
  <si>
    <t>Remarks</t>
  </si>
  <si>
    <t>Month-on-month RTR (upto last 12 months) --&gt;</t>
  </si>
  <si>
    <t>Obligation to be considered</t>
  </si>
  <si>
    <t>Total Obligations</t>
  </si>
  <si>
    <t>Obligations not considered</t>
  </si>
  <si>
    <t>Property Value - Valuation-3</t>
  </si>
  <si>
    <t>Monthly Obligations to be considered in eligibility</t>
  </si>
  <si>
    <t>Core Income</t>
  </si>
  <si>
    <t>EBITDA</t>
  </si>
  <si>
    <t>Profit  Before Tax</t>
  </si>
  <si>
    <t>Depreciation</t>
  </si>
  <si>
    <t xml:space="preserve">Salary/Interest paid to partners/directors </t>
  </si>
  <si>
    <t>Interest Paid</t>
  </si>
  <si>
    <t>Other Income capped at 100% of the (Core Income + EBITDA)</t>
  </si>
  <si>
    <t>Eligible Income</t>
  </si>
  <si>
    <t>Eligible Income = Core Income + EBITDA+ Other Income</t>
  </si>
  <si>
    <t>Appraised Obligations</t>
  </si>
  <si>
    <t>Loan Eligibility - Based on Income</t>
  </si>
  <si>
    <t>-</t>
  </si>
  <si>
    <t>EBITDA Decline Deviation</t>
  </si>
  <si>
    <t>FOIR Deviaiton / Delegation</t>
  </si>
  <si>
    <t>LTV Deviaiton / Delegation</t>
  </si>
  <si>
    <t>Product Cap Deviation</t>
  </si>
  <si>
    <t>Name of Customer / Assessee:</t>
  </si>
  <si>
    <t>Highlight the Liquid Funds, Savings, Assets, Investments done by Borrower</t>
  </si>
  <si>
    <t>Date of Birth / Incorporation (mm/dd/yyyy):</t>
  </si>
  <si>
    <t>Nature</t>
  </si>
  <si>
    <t>Verification Tool</t>
  </si>
  <si>
    <t>Amount</t>
  </si>
  <si>
    <t>Type of Assessee (select from dropdown):</t>
  </si>
  <si>
    <t>Savings Account</t>
  </si>
  <si>
    <t>Qualification (for Individuals only):</t>
  </si>
  <si>
    <t>RD/FD</t>
  </si>
  <si>
    <t>Industry Category (select from dropdown):</t>
  </si>
  <si>
    <t>LIC Policy</t>
  </si>
  <si>
    <t>Industry Sub-classification (select from dropdown):</t>
  </si>
  <si>
    <t>Mutual Funds</t>
  </si>
  <si>
    <t>Latest Audited / Reported Financials available for Financial Year ended on 31st March of (Year):</t>
  </si>
  <si>
    <t>Local Schemes</t>
  </si>
  <si>
    <t>`</t>
  </si>
  <si>
    <t>Business Setup Details</t>
  </si>
  <si>
    <t>Jewellery</t>
  </si>
  <si>
    <t>Business Premises Ownership</t>
  </si>
  <si>
    <t>Assets Purchased in Last One year</t>
  </si>
  <si>
    <t>Business Activity observed</t>
  </si>
  <si>
    <t>Others ( Specify)</t>
  </si>
  <si>
    <t>Business Type</t>
  </si>
  <si>
    <t>Fixed Asset Created/Owned</t>
  </si>
  <si>
    <t>Asset Name</t>
  </si>
  <si>
    <t>Personal Assets</t>
  </si>
  <si>
    <t>Assessed Sale / Operational income</t>
  </si>
  <si>
    <t>Peak Business hours</t>
  </si>
  <si>
    <t>Normal Hours</t>
  </si>
  <si>
    <t>Daily</t>
  </si>
  <si>
    <t>Books (With Receipts) / Non Books (Without Receipts)</t>
  </si>
  <si>
    <t>Family owned Assets</t>
  </si>
  <si>
    <t>Two References of Suppliers /Customers/ Landlord / Shops in Vicinity with Tel No.</t>
  </si>
  <si>
    <t>A. Total Assessed Income</t>
  </si>
  <si>
    <t>Purpose of Loan</t>
  </si>
  <si>
    <t>Less- Business Expenses</t>
  </si>
  <si>
    <t>OCR amount if any and Source</t>
  </si>
  <si>
    <t>Cost of Goods               [Books (With Receipts) / Non Books (Without Receipts)]</t>
  </si>
  <si>
    <t>How much EMI which can customer afford to pay comfortably as acknowledged by the customer</t>
  </si>
  <si>
    <t>INR</t>
  </si>
  <si>
    <t>Rent of Business premises if applicable</t>
  </si>
  <si>
    <t>Details of Family Members</t>
  </si>
  <si>
    <t>Adults</t>
  </si>
  <si>
    <t>Children</t>
  </si>
  <si>
    <t>Salaries and Wages</t>
  </si>
  <si>
    <t>Number of Dependents</t>
  </si>
  <si>
    <t>Interest Paid on loans to Local Money lenders</t>
  </si>
  <si>
    <t>Total Earning Members</t>
  </si>
  <si>
    <t>Interest Paid to Banks and FIs</t>
  </si>
  <si>
    <t>Freight Cost</t>
  </si>
  <si>
    <t>Power Bill</t>
  </si>
  <si>
    <t>Statutory Taxes if any</t>
  </si>
  <si>
    <t>Phone Bills</t>
  </si>
  <si>
    <t>Admin Expenses</t>
  </si>
  <si>
    <t>Business Promotion Expenses</t>
  </si>
  <si>
    <t>Others (Specify)</t>
  </si>
  <si>
    <t>B. Total Business Expenses</t>
  </si>
  <si>
    <t>C. Net Income from Business (A-B)</t>
  </si>
  <si>
    <t>Other Income (Monthly)</t>
  </si>
  <si>
    <t>Nature of Income</t>
  </si>
  <si>
    <t>Verification Tool (Specify)</t>
  </si>
  <si>
    <t>Rental</t>
  </si>
  <si>
    <t>Agri. Income</t>
  </si>
  <si>
    <t>Part Time income</t>
  </si>
  <si>
    <t>Interest Income</t>
  </si>
  <si>
    <t>Monthly Income of Applicant’s Family (Mention Relation with Applicant)</t>
  </si>
  <si>
    <t>Income Source (Salary/Business/others)</t>
  </si>
  <si>
    <t>D. Total Other Income (Monthly)</t>
  </si>
  <si>
    <t>E. Total Family Income (C+D) p.m.</t>
  </si>
  <si>
    <t>Household Expenses</t>
  </si>
  <si>
    <t>Food, Clothing and other Household Expenses</t>
  </si>
  <si>
    <t>Power and Water Bills</t>
  </si>
  <si>
    <t>Mobile Recharge Expenses</t>
  </si>
  <si>
    <t>DTH/Cable Recharge Expenses</t>
  </si>
  <si>
    <t>Medical Expenses</t>
  </si>
  <si>
    <t>Education/Fees Expenses</t>
  </si>
  <si>
    <t>Commuting expenses for all family members</t>
  </si>
  <si>
    <t>Residential Rent Expenses</t>
  </si>
  <si>
    <t>Loan EMI</t>
  </si>
  <si>
    <t>Other (Specify)</t>
  </si>
  <si>
    <t>F. Total Household Expenses</t>
  </si>
  <si>
    <t xml:space="preserve">Net Disposable Income(E-F) </t>
  </si>
  <si>
    <t>Eligible Loan Amount as per CM Assessed Income FOIR norms</t>
  </si>
  <si>
    <t>Applied Loan Amount</t>
  </si>
  <si>
    <t>EMI for applied Loan Amount</t>
  </si>
  <si>
    <t>FOIR for Applied Loan Amount</t>
  </si>
  <si>
    <t>Eligibility under CA Assessment Program</t>
  </si>
  <si>
    <t>Name of Customer / Entity</t>
  </si>
  <si>
    <t>Industry Category</t>
  </si>
  <si>
    <t>Industry Sub-classification</t>
  </si>
  <si>
    <t>Revenue from Operations (Rs.)</t>
  </si>
  <si>
    <t>Profit Before Tax (PBT) excl Rent Receipts, Interest and Dividend Income, Speculation Profit and Other Income (Rs.)</t>
  </si>
  <si>
    <t>Salary to Directors / Partners (Rs.)</t>
  </si>
  <si>
    <t>Interest to Directors / Partners (Rs.)</t>
  </si>
  <si>
    <t>Depreciation (Rs.)</t>
  </si>
  <si>
    <t>Total Audited / Declared Income (Rs.)</t>
  </si>
  <si>
    <t>Considered for CA Assessed Income Eligibility?</t>
  </si>
  <si>
    <t>% Stake to be considered</t>
  </si>
  <si>
    <t>Turnover as per CA Report (Rs.)</t>
  </si>
  <si>
    <t>Net Profit as per CA Report (Rs.)</t>
  </si>
  <si>
    <t>Eligible Income (Rs.)</t>
  </si>
  <si>
    <t>FINAL INCOME FOR ELIGIBILITY</t>
  </si>
  <si>
    <t>APPLIED LOAN AMOUNT</t>
  </si>
  <si>
    <t>Existing Obligations</t>
  </si>
  <si>
    <t>Proposed Loan Obligation (excl GPL and Insurance)</t>
  </si>
  <si>
    <t>Proposed Insurance Obligation, if any</t>
  </si>
  <si>
    <t>FOIR for Applied Loan Amount (excl GPL and Insurance)</t>
  </si>
  <si>
    <t>Overall FOIR for Applied Loan Amount (incl GPL / Insurance)</t>
  </si>
  <si>
    <t>FOIR for proposed Insurance Loan portion, if any</t>
  </si>
  <si>
    <t>TOTAL EXPOSURE ELIGIBLE AS PER FOIR NORMS</t>
  </si>
  <si>
    <t>LTV on MV for Applied Loan Amount (excl GPL and Insurance)</t>
  </si>
  <si>
    <t>Overall LTV on MV for Applied Loan Amount (incl GPL / Insurance)</t>
  </si>
  <si>
    <t>LTV for proposed Insurance Loan portion, if any</t>
  </si>
  <si>
    <t>TOTAL EXPOSURE ELIGIBLE AS PER LTV NORMS</t>
  </si>
  <si>
    <t>FINAL ELIGIBILITY</t>
  </si>
  <si>
    <t>LTV Applicable on MV</t>
  </si>
  <si>
    <t>Eligible Loan basis LTV (Rs.)</t>
  </si>
  <si>
    <t>Eligibility under Average Banking Program</t>
  </si>
  <si>
    <t>A/c Type</t>
  </si>
  <si>
    <t>Average Bank Balance, i.e., ABB (Rs.)</t>
  </si>
  <si>
    <t>Considered for ABP Eligibility?</t>
  </si>
  <si>
    <t>Total No. of Transactions</t>
  </si>
  <si>
    <t>FINAL MONTHLY INCOME FOR ELIGIBILITY</t>
  </si>
  <si>
    <t>ADITYA BIRLA HOUSING FINANCE LIMITED</t>
  </si>
  <si>
    <t>Name of Group:</t>
  </si>
  <si>
    <t>Consolidated Financial Details (as considered)</t>
  </si>
  <si>
    <t>(Figures in Rs. Lacs)</t>
  </si>
  <si>
    <t>Profit &amp; Loss Account</t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</si>
  <si>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(Latest Year)</t>
    </r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</si>
  <si>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(Previous Year)</t>
    </r>
  </si>
  <si>
    <t>Operating Income:</t>
  </si>
  <si>
    <t>Gross Sales / Receipts</t>
  </si>
  <si>
    <t>Less: Excise Duty / Sales Tax, Other Indirect tax</t>
  </si>
  <si>
    <t>Net Sales</t>
  </si>
  <si>
    <t>Other Income (incidental to Business / Business income)</t>
  </si>
  <si>
    <t>Total Operating Income</t>
  </si>
  <si>
    <t>Cost of Goods Sold:</t>
  </si>
  <si>
    <t>Purchases (Opening Stock + Purchases - Closing Stock)</t>
  </si>
  <si>
    <t xml:space="preserve">Direct Expenses </t>
  </si>
  <si>
    <t>Total Cost of Goods Sold</t>
  </si>
  <si>
    <t>Indirect Expenses:</t>
  </si>
  <si>
    <t>Selling, General &amp; Admin Expenses</t>
  </si>
  <si>
    <t>Miscellaneous / Deferred Revenue Expenses written off</t>
  </si>
  <si>
    <t>Total Indirect Expenses</t>
  </si>
  <si>
    <t>OPBDIT</t>
  </si>
  <si>
    <t>Depreciation and amortisation</t>
  </si>
  <si>
    <t>OPBIT</t>
  </si>
  <si>
    <t>Interest and finance charges</t>
  </si>
  <si>
    <t>OPBT</t>
  </si>
  <si>
    <t>Non Operating Income</t>
  </si>
  <si>
    <t>Less: Non Operating Expenses</t>
  </si>
  <si>
    <t>PBT</t>
  </si>
  <si>
    <t>Tax</t>
  </si>
  <si>
    <t>PAT</t>
  </si>
  <si>
    <t>Cash Profit</t>
  </si>
  <si>
    <t>Dividend (Inclusive of dividend Tax)</t>
  </si>
  <si>
    <t>Salary to Partner/Director</t>
  </si>
  <si>
    <t>Interest Expenses paid to partners/director</t>
  </si>
  <si>
    <t>Transfer to Reserves</t>
  </si>
  <si>
    <t>Retained Profits</t>
  </si>
  <si>
    <t>Balance sheet</t>
  </si>
  <si>
    <t>Equity Share Capital:</t>
  </si>
  <si>
    <t xml:space="preserve">Equity and Preference Share Capital </t>
  </si>
  <si>
    <t>Quasi Equity (Promoter Loans not entailing repayment)</t>
  </si>
  <si>
    <t>General Reserve, Share Premium Reserve and Other reserves</t>
  </si>
  <si>
    <t>Net worth</t>
  </si>
  <si>
    <t>Revaluation Reserve</t>
  </si>
  <si>
    <t>Net Intangibles (Goodwill / Patents / Trademark)</t>
  </si>
  <si>
    <t>Miscellaneous / Deferred Revenue Expenses not written off</t>
  </si>
  <si>
    <t>Tangible Networth</t>
  </si>
  <si>
    <t>Long Term Debt:</t>
  </si>
  <si>
    <t>Borrowings from affiliates &amp; Associates</t>
  </si>
  <si>
    <t>Long Term Borrowings from Banks &amp; NBFCs - Payable within 1 yr</t>
  </si>
  <si>
    <t>Long Term Borrowings from Banks &amp; NBFCs - Payable beyond 1 yr</t>
  </si>
  <si>
    <t>Other Long term borrowings</t>
  </si>
  <si>
    <t>Total Long Term Debt</t>
  </si>
  <si>
    <t>Current Liabilities and Provisions:</t>
  </si>
  <si>
    <t>Short Term Borrowings from Affiliates &amp; Associates</t>
  </si>
  <si>
    <t>Creditors and Bills Payable</t>
  </si>
  <si>
    <t>Working Capital Limit from Banks</t>
  </si>
  <si>
    <t>Provision for exp</t>
  </si>
  <si>
    <t>Other Short Term Borrowings</t>
  </si>
  <si>
    <t>Total Current Liabilities</t>
  </si>
  <si>
    <t>Total Liabilities to Outsiders</t>
  </si>
  <si>
    <t>Balance Sheet Total</t>
  </si>
  <si>
    <t>Gross Block of Fixed Assets</t>
  </si>
  <si>
    <t>Less: Depreciation</t>
  </si>
  <si>
    <t>Net Block of Fixed Assets</t>
  </si>
  <si>
    <t>Capital Work In Progress</t>
  </si>
  <si>
    <t>Miscellaneous/Deferred Revenue Expenditure not Written off</t>
  </si>
  <si>
    <t>Investments</t>
  </si>
  <si>
    <t>Current Assets:</t>
  </si>
  <si>
    <t>Deferred Tax Assets</t>
  </si>
  <si>
    <t>Inventories</t>
  </si>
  <si>
    <t>Receivables / Debtors</t>
  </si>
  <si>
    <t xml:space="preserve"> Debtors &gt; 6 months</t>
  </si>
  <si>
    <t xml:space="preserve"> Debtors &lt; 6 months</t>
  </si>
  <si>
    <t>Cash and Bank</t>
  </si>
  <si>
    <t>Loans &amp; Advances</t>
  </si>
  <si>
    <t xml:space="preserve"> Loans &amp; Advances given to directors/partners etc</t>
  </si>
  <si>
    <t xml:space="preserve"> Loans and Advances given to others</t>
  </si>
  <si>
    <t>Financial Analysis</t>
  </si>
  <si>
    <t>TOL/TNW</t>
  </si>
  <si>
    <t>ROCE(%)</t>
  </si>
  <si>
    <t>EBIDTA / Net Sales(%)</t>
  </si>
  <si>
    <t>EBIDTA/ Interest</t>
  </si>
  <si>
    <t>Asset Turnover Ratio</t>
  </si>
  <si>
    <t>Creditors Turnover (Days)</t>
  </si>
  <si>
    <t>Net Working Capital</t>
  </si>
  <si>
    <t>Avg  Collection Period / Avg Debtor days</t>
  </si>
  <si>
    <t>Average Days in Inventory</t>
  </si>
  <si>
    <t>Inventory to Cost of Goods Sold</t>
  </si>
  <si>
    <t>Current Ratio</t>
  </si>
  <si>
    <t>Liquidity Ratio</t>
  </si>
  <si>
    <t>Long term Debt Equity Ratio</t>
  </si>
  <si>
    <t>Interest Coverage Ratio</t>
  </si>
  <si>
    <t>DSCR</t>
  </si>
  <si>
    <t>Gross Profit Margin Ratio (%)</t>
  </si>
  <si>
    <t>Net Profit Margin Ratio (%)</t>
  </si>
  <si>
    <t>Cash Profit Ratio (%)</t>
  </si>
  <si>
    <t>Growth in Sales (%)</t>
  </si>
  <si>
    <t>Growth in PAT (%)</t>
  </si>
  <si>
    <t>Cash Accruals</t>
  </si>
  <si>
    <t>Cash Flow Statement:</t>
  </si>
  <si>
    <t>Net Profit After Tax</t>
  </si>
  <si>
    <t>Add :</t>
  </si>
  <si>
    <t>Misc expenses written off/non cash expenses</t>
  </si>
  <si>
    <t>Salary paid to promoter/partners</t>
  </si>
  <si>
    <t>Interest paid to promoters</t>
  </si>
  <si>
    <t>Provision for tax</t>
  </si>
  <si>
    <t>Interest</t>
  </si>
  <si>
    <t>Less : Other income (non business income)</t>
  </si>
  <si>
    <t>Operating cash profit/(Loss ) before working capital changes</t>
  </si>
  <si>
    <t>Trade and other receivables</t>
  </si>
  <si>
    <t>Other current liabilities</t>
  </si>
  <si>
    <t>Cash Generated from operations</t>
  </si>
  <si>
    <t>Less: Taxes paid</t>
  </si>
  <si>
    <t>Net Cash from Operations</t>
  </si>
  <si>
    <t xml:space="preserve">OTHER </t>
  </si>
  <si>
    <t>Services</t>
  </si>
  <si>
    <t>Others - Industries not classified elsewhere (Services)</t>
  </si>
  <si>
    <t>Income Considered (select from dropdown):</t>
  </si>
  <si>
    <t>% Stake to be considered:</t>
  </si>
  <si>
    <t>(Figures in Rs.)</t>
  </si>
  <si>
    <t>Provisionals</t>
  </si>
  <si>
    <t>Eligibility under Cash Profit Method (CPM)</t>
  </si>
  <si>
    <t>Profit Before Tax (PBT) excl Rent Receipts, Interest and Dividend Income, Speculation Profit and Other Income</t>
  </si>
  <si>
    <t>Salary/Interest to Partners/Directors</t>
  </si>
  <si>
    <t>Interest paid {to close family / relatives u/s 40A(2)(b)} and Interest on Loans on EMI basis</t>
  </si>
  <si>
    <r>
      <rPr>
        <b/>
        <u/>
        <sz val="10"/>
        <color theme="1"/>
        <rFont val="Calibri"/>
        <charset val="134"/>
        <scheme val="minor"/>
      </rPr>
      <t>Less</t>
    </r>
    <r>
      <rPr>
        <sz val="10"/>
        <color theme="1"/>
        <rFont val="Calibri"/>
        <charset val="134"/>
        <scheme val="minor"/>
      </rPr>
      <t>: Extraordinary Income like Profit on Sale of Asset (Capital Gain), One Time Interest, Donation, Insurance Claim, etc if not already excluded while arriving at PBT above</t>
    </r>
  </si>
  <si>
    <r>
      <rPr>
        <b/>
        <u/>
        <sz val="10"/>
        <color theme="1"/>
        <rFont val="Calibri"/>
        <charset val="134"/>
        <scheme val="minor"/>
      </rPr>
      <t>Add</t>
    </r>
    <r>
      <rPr>
        <sz val="10"/>
        <color theme="1"/>
        <rFont val="Calibri"/>
        <charset val="134"/>
        <scheme val="minor"/>
      </rPr>
      <t>: Extraordinary Expenses like Loss on Sale of Asset (Capital Loss), Loss on Theft, Donation made, etc if deducted while arriving at PBT</t>
    </r>
  </si>
  <si>
    <r>
      <rPr>
        <sz val="10"/>
        <color theme="1"/>
        <rFont val="Calibri"/>
        <charset val="134"/>
        <scheme val="minor"/>
      </rPr>
      <t>Salary Income (as per ITR if not considered above)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</si>
  <si>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Basic Income for Eligibility</t>
  </si>
  <si>
    <r>
      <rPr>
        <sz val="10"/>
        <color theme="1"/>
        <rFont val="Calibri"/>
        <charset val="134"/>
        <scheme val="minor"/>
      </rPr>
      <t xml:space="preserve">Rental Income {Existing Rentals as per ITR or Regd Lease Deed copy (&gt;=3 months old) with Bank Credits / occupancy verified by Risk Team </t>
    </r>
    <r>
      <rPr>
        <b/>
        <sz val="10"/>
        <color theme="1"/>
        <rFont val="Calibri"/>
        <charset val="134"/>
        <scheme val="minor"/>
      </rPr>
      <t>or</t>
    </r>
    <r>
      <rPr>
        <sz val="10"/>
        <color theme="1"/>
        <rFont val="Calibri"/>
        <charset val="134"/>
        <scheme val="minor"/>
      </rPr>
      <t xml:space="preserve">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</si>
  <si>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Any other Income not included above - Avg of last 2 years as per ITRs {such Income should be reflecting in at least past 2 years' ITRs}</t>
  </si>
  <si>
    <t>Proposed GPL Obligation, if any</t>
  </si>
  <si>
    <t>Sales-Local</t>
  </si>
  <si>
    <t>Sales-Exports</t>
  </si>
  <si>
    <t>Commission &amp; Brokerage</t>
  </si>
  <si>
    <t>Rent Receipts</t>
  </si>
  <si>
    <t>Service Charges</t>
  </si>
  <si>
    <t>Job work charges</t>
  </si>
  <si>
    <t>Professional Fees</t>
  </si>
  <si>
    <t>Freight charges</t>
  </si>
  <si>
    <t>Income as Partner from Partnership Firm or as Director in Closely-held Company (Salary, Interest, Commission, Share of Profit, etc)</t>
  </si>
  <si>
    <t>Interest and Dividend from others</t>
  </si>
  <si>
    <t>Speculation Profit</t>
  </si>
  <si>
    <t>Other Operating Income</t>
  </si>
  <si>
    <t>DSCR before proposed loan</t>
  </si>
  <si>
    <t xml:space="preserve">Total Income </t>
  </si>
  <si>
    <t>Rs in Lacs</t>
  </si>
  <si>
    <t>PBDIT</t>
  </si>
  <si>
    <t xml:space="preserve">   Opening Stock</t>
  </si>
  <si>
    <t>Less Tax</t>
  </si>
  <si>
    <t xml:space="preserve">   Purchases</t>
  </si>
  <si>
    <t>Interest on CC and non EMI loans</t>
  </si>
  <si>
    <t xml:space="preserve">   Closing Stock</t>
  </si>
  <si>
    <t>EMI considered as obligation*12</t>
  </si>
  <si>
    <t>Direct Mfg Cost</t>
  </si>
  <si>
    <t>DSCR on basis of above</t>
  </si>
  <si>
    <t>Gross Profit</t>
  </si>
  <si>
    <t>DSCR after proposed loan</t>
  </si>
  <si>
    <t>Personnel Cost</t>
  </si>
  <si>
    <t xml:space="preserve">Administrative expenses </t>
  </si>
  <si>
    <t xml:space="preserve">Selling and distribution expenses </t>
  </si>
  <si>
    <t>EMI considered as obligation*12 and EMI of proposed loan*12</t>
  </si>
  <si>
    <t xml:space="preserve">Depreciation </t>
  </si>
  <si>
    <t xml:space="preserve">Bad debts written off </t>
  </si>
  <si>
    <t>Preliminary Expenses w/off</t>
  </si>
  <si>
    <t xml:space="preserve">PBIT </t>
  </si>
  <si>
    <t>Interest to Banks and FI (WC Limits)</t>
  </si>
  <si>
    <t>Interest on Loans (Term Loans)</t>
  </si>
  <si>
    <t xml:space="preserve">Interest to Directors/ Partners </t>
  </si>
  <si>
    <t xml:space="preserve">Interest paid to Relatives  </t>
  </si>
  <si>
    <t>Salary to Directors / Partners</t>
  </si>
  <si>
    <t>Dividends paid</t>
  </si>
  <si>
    <t xml:space="preserve">Transfers to General Reserve </t>
  </si>
  <si>
    <t>Cash Surplus</t>
  </si>
  <si>
    <t>Profit (for DSCR calculation)</t>
  </si>
  <si>
    <t xml:space="preserve">Share Capital </t>
  </si>
  <si>
    <t>Partners capital / Proprietor's Capital</t>
  </si>
  <si>
    <t>Reserves and Surplus</t>
  </si>
  <si>
    <t xml:space="preserve">Miscellaneous Expenditure </t>
  </si>
  <si>
    <t>Networth</t>
  </si>
  <si>
    <t xml:space="preserve">Loans from Promoters/ Directors  </t>
  </si>
  <si>
    <t>Loan to promoter (incl invt in group cos)</t>
  </si>
  <si>
    <t xml:space="preserve">Total promoter Funds </t>
  </si>
  <si>
    <t xml:space="preserve">Long term Debts-Secured </t>
  </si>
  <si>
    <t xml:space="preserve">Long term Debts-Unsecured </t>
  </si>
  <si>
    <t>Total Funds Employed</t>
  </si>
  <si>
    <t>Gross Block of Fixed Assets (including CWIP)</t>
  </si>
  <si>
    <t>Net Block of Fixed Assets (including CWIP)</t>
  </si>
  <si>
    <t xml:space="preserve">Investment &amp; Deposits </t>
  </si>
  <si>
    <t xml:space="preserve">Closing Stock </t>
  </si>
  <si>
    <t xml:space="preserve"> - Raw Materials</t>
  </si>
  <si>
    <t xml:space="preserve"> - Consumable Stores</t>
  </si>
  <si>
    <t xml:space="preserve"> - Semi-finished Goods</t>
  </si>
  <si>
    <t xml:space="preserve"> - Finished Goods</t>
  </si>
  <si>
    <t>Debtors</t>
  </si>
  <si>
    <t xml:space="preserve"> - Upto 6 months old</t>
  </si>
  <si>
    <t xml:space="preserve"> - More than 6 months old</t>
  </si>
  <si>
    <t>Loans and Advances</t>
  </si>
  <si>
    <t>Advance Tax &amp; TDS</t>
  </si>
  <si>
    <t>Less: Current Liabilities</t>
  </si>
  <si>
    <t xml:space="preserve">Sundry creditors </t>
  </si>
  <si>
    <t xml:space="preserve">Customer Advances </t>
  </si>
  <si>
    <t>Other liabilities (incl Deposits)</t>
  </si>
  <si>
    <t xml:space="preserve">Provisions </t>
  </si>
  <si>
    <t xml:space="preserve">Working capital </t>
  </si>
  <si>
    <t xml:space="preserve">Sources of Working capital </t>
  </si>
  <si>
    <t xml:space="preserve">Bank overdraft/ Cash Credit facilities    </t>
  </si>
  <si>
    <t xml:space="preserve">Bills discounting </t>
  </si>
  <si>
    <t>Short term facilities</t>
  </si>
  <si>
    <t xml:space="preserve">Net working capital </t>
  </si>
  <si>
    <t xml:space="preserve">Deferred Tax Assets / (Liabilities) </t>
  </si>
  <si>
    <t>Application of Funds</t>
  </si>
  <si>
    <t>Gross Profit Margin</t>
  </si>
  <si>
    <t>Net Profit ratio (PBT)</t>
  </si>
  <si>
    <t>PAT Margin</t>
  </si>
  <si>
    <t>Cash Profit ratio</t>
  </si>
  <si>
    <t>Depreciation / Average Net Fixed Assets</t>
  </si>
  <si>
    <t>Interest / Net Sales</t>
  </si>
  <si>
    <t>Raw Material / Net Sales</t>
  </si>
  <si>
    <t>Labour (Personnel Cost) / Net Sales</t>
  </si>
  <si>
    <t>Manufacturing Expenses / Net Sales</t>
  </si>
  <si>
    <t>Debtor Turnover (in days)</t>
  </si>
  <si>
    <t>Creditors Turnover (in days)</t>
  </si>
  <si>
    <t>Stock in days</t>
  </si>
  <si>
    <t>Adjusted Tangible Networth</t>
  </si>
  <si>
    <t>Total Borrowing</t>
  </si>
  <si>
    <t>Total Tangible Assets</t>
  </si>
  <si>
    <t>TOL</t>
  </si>
  <si>
    <t>Total Borrowing / ATNW</t>
  </si>
  <si>
    <t>TOL / Total Tangible Assets</t>
  </si>
  <si>
    <t>TOL/ATNW</t>
  </si>
  <si>
    <t>DSCR (after proposed loan)</t>
  </si>
  <si>
    <t>RATIOS</t>
  </si>
  <si>
    <t>INDICATORS</t>
  </si>
  <si>
    <t>Profitability Indicators</t>
  </si>
  <si>
    <t>Leverage Indicators</t>
  </si>
  <si>
    <t>Amount in Rs. Crores</t>
  </si>
  <si>
    <t>Total Sales (Rs. Crores)</t>
  </si>
  <si>
    <t>Adjusted Tangible Net Worth (TNW-Inv &amp; Adv to Group entities)</t>
  </si>
  <si>
    <t xml:space="preserve">No. of Months </t>
  </si>
  <si>
    <t>Operating (Gross Profit) Margin %</t>
  </si>
  <si>
    <t>Net Sales/Income</t>
  </si>
  <si>
    <t>PAT Margin %</t>
  </si>
  <si>
    <t>TOL / Total Tangible Assets (FA + Inv + Cash &amp; Bank Balance incl FDs with Banks)</t>
  </si>
  <si>
    <t>Cash Accruals to Sales %</t>
  </si>
  <si>
    <t xml:space="preserve">TOL/ATNW </t>
  </si>
  <si>
    <t>PBDIT Margin (%)</t>
  </si>
  <si>
    <t>PBDIT / Interest</t>
  </si>
  <si>
    <t xml:space="preserve">Interest </t>
  </si>
  <si>
    <t>Operating profit after interest &amp; depreciation</t>
  </si>
  <si>
    <t>Non operating income</t>
  </si>
  <si>
    <t>PAT Margin (%)</t>
  </si>
  <si>
    <t>Cash Profits post Dividend</t>
  </si>
  <si>
    <t>Cash Profits pre Dividend</t>
  </si>
  <si>
    <t>Net Fixed Assets</t>
  </si>
  <si>
    <t>Tangible Networth (TNW)</t>
  </si>
  <si>
    <t>Adjusted TNW (ATNW)</t>
  </si>
  <si>
    <t>Long term debt (A)</t>
  </si>
  <si>
    <t>Short term debt (STD) (other than regular WC) (B)</t>
  </si>
  <si>
    <t>Working Capital Bank Finance (C)</t>
  </si>
  <si>
    <t>Total Debt (A+B+C)</t>
  </si>
  <si>
    <t>Total Outside Liabilities (TOL)</t>
  </si>
  <si>
    <t>TOL / TNW</t>
  </si>
  <si>
    <t>Total Debt / TNW</t>
  </si>
  <si>
    <t>Total Debt / ATNW</t>
  </si>
  <si>
    <t>TOL (incl. contingencies) / ATNW</t>
  </si>
  <si>
    <t xml:space="preserve">Current Asset </t>
  </si>
  <si>
    <t xml:space="preserve">Current Liabilities </t>
  </si>
  <si>
    <t>Interest Cover</t>
  </si>
  <si>
    <t>Total debt / PBDIT</t>
  </si>
  <si>
    <t>Total debt / Cash profits</t>
  </si>
  <si>
    <t>Average Payment Period</t>
  </si>
  <si>
    <t>Average Collection Period</t>
  </si>
  <si>
    <t>Average Holding Period</t>
  </si>
  <si>
    <t>CASH FLOW STATEMENT</t>
  </si>
  <si>
    <t>A</t>
  </si>
  <si>
    <t>Cash Flow from Operating Activities</t>
  </si>
  <si>
    <t>PBT as per P&amp;L</t>
  </si>
  <si>
    <t>Add : Depreciation</t>
  </si>
  <si>
    <t>Add: Interest Paid</t>
  </si>
  <si>
    <t>Less: Interest / Dividend Received</t>
  </si>
  <si>
    <t>Operating Profit / (Loss) Before WC Changes</t>
  </si>
  <si>
    <t>Increase / (Decrease) in Current Liabilities</t>
  </si>
  <si>
    <t>(Increase) / Decrease in Inventory</t>
  </si>
  <si>
    <t>(Increase) / Decrease in Sundry Debtors</t>
  </si>
  <si>
    <t>(Increase) / Decrease in Other CA</t>
  </si>
  <si>
    <t>(Increase) / Decrease in Deferred Rev Expr</t>
  </si>
  <si>
    <t>Income Tax Paid</t>
  </si>
  <si>
    <t>B</t>
  </si>
  <si>
    <t>Cash Flow from Investing Activities</t>
  </si>
  <si>
    <t>Interest / Dividend Received</t>
  </si>
  <si>
    <t>Investment in Shares of Companies</t>
  </si>
  <si>
    <t>Purchase of Fixed Assets / Capital WIP Expended</t>
  </si>
  <si>
    <t>C</t>
  </si>
  <si>
    <t>Cash Flow from Financing Activities</t>
  </si>
  <si>
    <t>Proceeds from Share Issue (Other than Bonus Shares)</t>
  </si>
  <si>
    <t>Increase / (Decrease) in WC Borrowings</t>
  </si>
  <si>
    <t>Increase / (Decrease) in LT Borrowings</t>
  </si>
  <si>
    <t>Interest Expenditure</t>
  </si>
  <si>
    <t>Increase / (Decrease) in Unsecured Loans</t>
  </si>
  <si>
    <t>D</t>
  </si>
  <si>
    <t>Net Cash Flows</t>
  </si>
  <si>
    <t>E</t>
  </si>
  <si>
    <t>Opening Cash Flow</t>
  </si>
  <si>
    <t>F</t>
  </si>
  <si>
    <t>Closing Cash Flow</t>
  </si>
  <si>
    <t>G</t>
  </si>
  <si>
    <t>Sum of Opening and Net Cash Flow which should always be equal to Closing Cash Flow</t>
  </si>
  <si>
    <t>H</t>
  </si>
  <si>
    <t>Difference between G and F</t>
  </si>
  <si>
    <t>NARENDRA KUMAR VYAS</t>
  </si>
  <si>
    <t>% Margin for Gross Turnover Program (auto populated):</t>
  </si>
  <si>
    <t>ASHA</t>
  </si>
  <si>
    <t>Income from Partnership Firm / Closely-held Company (Salary, Interest, Commission, Share of Profit, etc)</t>
  </si>
  <si>
    <t>Interest and Dividend</t>
  </si>
  <si>
    <t>P&amp;L</t>
  </si>
  <si>
    <t>Common</t>
  </si>
  <si>
    <t>Check</t>
  </si>
  <si>
    <t>plitrc_OrgName</t>
  </si>
  <si>
    <t>plitrc_pan</t>
  </si>
  <si>
    <t>plitrc_itr_form</t>
  </si>
  <si>
    <t>plitrc_ay</t>
  </si>
  <si>
    <t>plitrc_form_type</t>
  </si>
  <si>
    <t>plitrc_sale_of_goods</t>
  </si>
  <si>
    <t>plitrc_sale_of_service</t>
  </si>
  <si>
    <t>plitrc_other_ops_revenue</t>
  </si>
  <si>
    <t>plitr6_interest_income</t>
  </si>
  <si>
    <t>plitr6_oth_finservice_income</t>
  </si>
  <si>
    <t>plitrc_total_sales_bus_recpt</t>
  </si>
  <si>
    <t>plitr35_gross_recpt_prof</t>
  </si>
  <si>
    <t>plitrc_excise_duty_revenue</t>
  </si>
  <si>
    <t>plitrc_service_tax_revenue</t>
  </si>
  <si>
    <t>plitrc_VAT_ST_revenue</t>
  </si>
  <si>
    <t>plitrc_other_cess_revenue</t>
  </si>
  <si>
    <t>plitrc_total_taxes_revenue</t>
  </si>
  <si>
    <t>plitrc_total_revenue_ops</t>
  </si>
  <si>
    <t>plitrc_othinc_rent</t>
  </si>
  <si>
    <t>plitrc_othinc_comm</t>
  </si>
  <si>
    <t>plitrc_othinc_dividend</t>
  </si>
  <si>
    <t>plitrc_othinc_interest</t>
  </si>
  <si>
    <t>plitrc_othinc_sale_fixedassets</t>
  </si>
  <si>
    <t>plitrc_othinc_sale_securities</t>
  </si>
  <si>
    <t>plitrc_othinc_sale_othinvest</t>
  </si>
  <si>
    <t>plitrc_othinc_currfluct</t>
  </si>
  <si>
    <t>plitrc_othinc_agriculture</t>
  </si>
  <si>
    <t>plitrc_othinc_others</t>
  </si>
  <si>
    <t>plitrc_othinc_total</t>
  </si>
  <si>
    <t>plitrc_clstock_rawmat</t>
  </si>
  <si>
    <t>plitrc_clstock_wip</t>
  </si>
  <si>
    <t>plitrc_clstock_fingoods</t>
  </si>
  <si>
    <t>plitrc_clstock_total</t>
  </si>
  <si>
    <t>plitrc_totalcredits</t>
  </si>
  <si>
    <t>plitrc_opstock_rawmat</t>
  </si>
  <si>
    <t>plitrc_opstock_wip</t>
  </si>
  <si>
    <t>plitrc_opstock_fingoods</t>
  </si>
  <si>
    <t>plitrc_opstock_total</t>
  </si>
  <si>
    <t>plitrc_purchases</t>
  </si>
  <si>
    <t>plitrc_customs_duty_purchase</t>
  </si>
  <si>
    <t>plitrc_ctveil_duty_purchase</t>
  </si>
  <si>
    <t>plitrc_spladdnl_duty_purchase</t>
  </si>
  <si>
    <t>plitrc_excise_duty_purchase</t>
  </si>
  <si>
    <t>plitrc_service_tax_purchase</t>
  </si>
  <si>
    <t>plitrc_VAT_ST_purchase</t>
  </si>
  <si>
    <t>plitrc_other_tax_purchase</t>
  </si>
  <si>
    <t>plitrc_total_taxes_purchase</t>
  </si>
  <si>
    <t>plitrc_freight</t>
  </si>
  <si>
    <t>plitrc_stores_spares</t>
  </si>
  <si>
    <t>plitrc_powerfuel</t>
  </si>
  <si>
    <t>plitrc_rents</t>
  </si>
  <si>
    <t>plitrc_repair_bldg</t>
  </si>
  <si>
    <t>plitrc_repair_mach</t>
  </si>
  <si>
    <t>plitrc_comp_salaries</t>
  </si>
  <si>
    <t>plitrc_comp_bonus</t>
  </si>
  <si>
    <t>plitrc_comp_medexp</t>
  </si>
  <si>
    <t>plitrc_comp_leave_encash</t>
  </si>
  <si>
    <t>plitrc_comp_leave_travel</t>
  </si>
  <si>
    <t>plitrc_comp_superann</t>
  </si>
  <si>
    <t>plitrc_comp_pf</t>
  </si>
  <si>
    <t>plitrc_comp_gratuity</t>
  </si>
  <si>
    <t>plitrc_comp_otherfund</t>
  </si>
  <si>
    <t>plitrc_comp_other_empexp</t>
  </si>
  <si>
    <t>plitrc_comp_total</t>
  </si>
  <si>
    <t>plitrc_comp_nonres_yesno</t>
  </si>
  <si>
    <t>plitrc_comp_other_nonres</t>
  </si>
  <si>
    <t>plitrc_ins_medical</t>
  </si>
  <si>
    <t>plitrc_ins_life</t>
  </si>
  <si>
    <t>plitrc_ins_keyman</t>
  </si>
  <si>
    <t>plitrc_ins_others</t>
  </si>
  <si>
    <t>plitrc_ins_total</t>
  </si>
  <si>
    <t>plitrc_staff_welfare_exp</t>
  </si>
  <si>
    <t>plitrc_entertainment</t>
  </si>
  <si>
    <t>plitrc_hospitality</t>
  </si>
  <si>
    <t>plitrc_conference</t>
  </si>
  <si>
    <t>plitrc_sales_promo</t>
  </si>
  <si>
    <t>plitrc_advertisement</t>
  </si>
  <si>
    <t>plitrc_comm_nonres</t>
  </si>
  <si>
    <t>plitrc_comm_others</t>
  </si>
  <si>
    <t>plitrc_comm_total</t>
  </si>
  <si>
    <t>plitrc_royalty_nonres</t>
  </si>
  <si>
    <t>plitrc_royalty_others</t>
  </si>
  <si>
    <t>plitrc_royalty_total</t>
  </si>
  <si>
    <t>plitrc_consult_nonres</t>
  </si>
  <si>
    <t>plitrc_consult_others</t>
  </si>
  <si>
    <t>plitrc_consult_total</t>
  </si>
  <si>
    <t>plitrc_hotel_expenses</t>
  </si>
  <si>
    <t>plitrc_travel_nonforeign</t>
  </si>
  <si>
    <t>plitrc_travel_foreign</t>
  </si>
  <si>
    <t>plitrc_conveyance_expenses</t>
  </si>
  <si>
    <t>plitrc_telephone_expenses</t>
  </si>
  <si>
    <t>plitrc_guesthouse_expenses</t>
  </si>
  <si>
    <t>plitrc_club_expenses</t>
  </si>
  <si>
    <t>plitrc_festival_expenses</t>
  </si>
  <si>
    <t>plitrc_scholarship</t>
  </si>
  <si>
    <t>plitrc_gifts</t>
  </si>
  <si>
    <t>plitrc_donations</t>
  </si>
  <si>
    <t>plitrc_ratestax_excise</t>
  </si>
  <si>
    <t>plitrc_ratestax_sertax</t>
  </si>
  <si>
    <t>plitrc_ratestax_vat_st</t>
  </si>
  <si>
    <t>plitrc_ratestax_cess</t>
  </si>
  <si>
    <t>plitrc_ratestax_others</t>
  </si>
  <si>
    <t>plitrc_ratestax_total</t>
  </si>
  <si>
    <t>plitrc_audit_fee</t>
  </si>
  <si>
    <t>plitr35_partner_salary</t>
  </si>
  <si>
    <t>plitrc_oth_expenses</t>
  </si>
  <si>
    <t>plitrc_baddebt_1lk_pan</t>
  </si>
  <si>
    <t>plitrc_baddebt_1lk_nopan</t>
  </si>
  <si>
    <t>plitrc_baddebt_amt_lt1lakh</t>
  </si>
  <si>
    <t>plitrc_baddebt_total</t>
  </si>
  <si>
    <t>plitrc_baddebt_provision</t>
  </si>
  <si>
    <t>plitrc_oth_provisions</t>
  </si>
  <si>
    <t>plitrc_pbdit</t>
  </si>
  <si>
    <t>plitrc_int_nonres_partner</t>
  </si>
  <si>
    <t>plitrc_int_nonres_others</t>
  </si>
  <si>
    <t>plitr35_int_res_partner</t>
  </si>
  <si>
    <t>plitr35_int_res_others</t>
  </si>
  <si>
    <t>plitrc_int_total</t>
  </si>
  <si>
    <t>plitrc_dep_amt</t>
  </si>
  <si>
    <t>plitrc_profit_beforetax</t>
  </si>
  <si>
    <t>plitrc_curtax_provisions</t>
  </si>
  <si>
    <t>plitrc_deftax_provisions</t>
  </si>
  <si>
    <t>plitrc_profit_aftertax</t>
  </si>
  <si>
    <t>plitrc_bal_bf</t>
  </si>
  <si>
    <t>plitrc_amt_appropriation</t>
  </si>
  <si>
    <t>plitrc_appr_reserves</t>
  </si>
  <si>
    <t>plitr6_appr_dividend</t>
  </si>
  <si>
    <t>plitr6_appr_dividendtax</t>
  </si>
  <si>
    <t>plitr6_appr_others</t>
  </si>
  <si>
    <t>plitr6_appr_total</t>
  </si>
  <si>
    <t>plitrc_balanceto_bs</t>
  </si>
  <si>
    <t>plitrc_bus_grossreciepts</t>
  </si>
  <si>
    <t>plitrc_bus_grossprofit</t>
  </si>
  <si>
    <t>plitrc_bus_expenses</t>
  </si>
  <si>
    <t>plitrc_bus_netprofit</t>
  </si>
  <si>
    <t>plitr35_prf_grossreciepts</t>
  </si>
  <si>
    <t>plitr35_prf_grossprofit</t>
  </si>
  <si>
    <t>plitr35_prf_expenses</t>
  </si>
  <si>
    <t>plitr35_prf_netprofit</t>
  </si>
  <si>
    <t>plitr35_noaccts_totalProfit</t>
  </si>
  <si>
    <t>Gross_turnover_receipts_bus_1
Presumptive</t>
  </si>
  <si>
    <t>Gross_turnover_receipts_bus_2
Presumptive</t>
  </si>
  <si>
    <t xml:space="preserve">Gross_turnover_receipts_prof
Presumptive
</t>
  </si>
  <si>
    <t>Income_from_business_and_ profession
Presumptive</t>
  </si>
  <si>
    <t>Salaries</t>
  </si>
  <si>
    <t>House_Property</t>
  </si>
  <si>
    <t>Income_from_business_and_ profession</t>
  </si>
  <si>
    <t>Capital_Gains</t>
  </si>
  <si>
    <t>Other_Income</t>
  </si>
  <si>
    <t>Total_Taxes_Paid</t>
  </si>
  <si>
    <t>Interest Income - Exempt</t>
  </si>
  <si>
    <t>Dividend Income - Exempt</t>
  </si>
  <si>
    <t>LTCG - Exempt</t>
  </si>
  <si>
    <t>Net Agri Income - Exempt</t>
  </si>
  <si>
    <t>Other Income - Exempt</t>
  </si>
  <si>
    <t>Total_Exempt</t>
  </si>
  <si>
    <t>Amount payable</t>
  </si>
  <si>
    <t>Refund</t>
  </si>
  <si>
    <t>Salaries
ITR 1&amp;2</t>
  </si>
  <si>
    <t>House_Property
ITR 1&amp;2</t>
  </si>
  <si>
    <t>Income_from_business_and_ profession
ITR 1&amp;2</t>
  </si>
  <si>
    <t>Capital_Gains
ITR 1&amp;2</t>
  </si>
  <si>
    <t>Other_Income
ITR 1&amp;2</t>
  </si>
  <si>
    <t>Total_Taxes_Paid
ITR 1&amp;2</t>
  </si>
  <si>
    <t>Amount payable
ITR 1&amp;2</t>
  </si>
  <si>
    <t>Refund
ITR 1&amp;2</t>
  </si>
  <si>
    <t>Date of Filing</t>
  </si>
  <si>
    <t>Man - Direct Wages</t>
  </si>
  <si>
    <t>Man - Direct Expenses Total</t>
  </si>
  <si>
    <t>Man - Dir Exp - Carriage Inward</t>
  </si>
  <si>
    <t>Man - Dir Exp - Power and Fuel</t>
  </si>
  <si>
    <t>Man - Dir Exp - Other Dir Expenses</t>
  </si>
  <si>
    <t>Man - Fact OH - Indirect Wages</t>
  </si>
  <si>
    <t>Man - Fact OH - Factory rent and rates</t>
  </si>
  <si>
    <t>Man - Fact OH - Factory Insurance</t>
  </si>
  <si>
    <t>Man - Fact OH - Factory Fuel and Power</t>
  </si>
  <si>
    <t>Man - Fact OH - Factory General Expenses</t>
  </si>
  <si>
    <t>Man - Fact OH - Dep. of factory machinery</t>
  </si>
  <si>
    <t>Man - Total Factory Overheads</t>
  </si>
  <si>
    <t>Total of debits to Man account</t>
  </si>
  <si>
    <t>Trading_Direct Expenses Total</t>
  </si>
  <si>
    <t>Trading_Carriage Inward</t>
  </si>
  <si>
    <t>Trading_Power and Fuel</t>
  </si>
  <si>
    <t>Trading_Other Direct Expenses</t>
  </si>
  <si>
    <t>Gross turnover or Gross receipts_44AD</t>
  </si>
  <si>
    <t>Gross Receipts_44ADA</t>
  </si>
  <si>
    <t>ITR-3_Presumptive_income</t>
  </si>
  <si>
    <t>Total Presumptive Income _Goods Carriage_44AE</t>
  </si>
  <si>
    <t>BS</t>
  </si>
  <si>
    <t>ITR4/3</t>
  </si>
  <si>
    <t>bsitr3_OrgName</t>
  </si>
  <si>
    <t>bsitr3_pan</t>
  </si>
  <si>
    <t>bsitr3_itr_form</t>
  </si>
  <si>
    <t>bsitr3_ay</t>
  </si>
  <si>
    <t>bsitr3_form_type</t>
  </si>
  <si>
    <t>bsitr3_share_capital</t>
  </si>
  <si>
    <t>bsitr3_ressurplus_reval</t>
  </si>
  <si>
    <t>bsitr3_ressurplus_capital</t>
  </si>
  <si>
    <t>bsitr3_ressurplus_stat</t>
  </si>
  <si>
    <t>bsitr3_ressurplus_othres</t>
  </si>
  <si>
    <t>bsitr3_ressurplus_total</t>
  </si>
  <si>
    <t>bsitr3_shareholder_fund_total</t>
  </si>
  <si>
    <t>bsitr3_sec_loan_forcur</t>
  </si>
  <si>
    <t>bsitr3_sec_loan_rup_banks</t>
  </si>
  <si>
    <t>bsitr3_sec_loan_rup_others</t>
  </si>
  <si>
    <t>bsitr3_sec_loan_rup_total</t>
  </si>
  <si>
    <t>bsitr3_sec_loan_total</t>
  </si>
  <si>
    <t>bsitr3_unsec_loan_banks</t>
  </si>
  <si>
    <t>bsitr3_unsec_loan_others</t>
  </si>
  <si>
    <t>bsitr3_unsec_loan_total</t>
  </si>
  <si>
    <t>bsitr3_loans_total</t>
  </si>
  <si>
    <t>bsitr3_deferred_tax_liab</t>
  </si>
  <si>
    <t>bsitr3_source_of_funds</t>
  </si>
  <si>
    <t>bsitr3_fixasset_gross_block</t>
  </si>
  <si>
    <t>bsitr3_fixasset_depreciation</t>
  </si>
  <si>
    <t>bsitr3_fixasset_net_block</t>
  </si>
  <si>
    <t>bsitr3_fixasset_cap_wip</t>
  </si>
  <si>
    <t>bsitr3_fixasset_total</t>
  </si>
  <si>
    <t>bsitr3_Invest_lt_quoted</t>
  </si>
  <si>
    <t>bsitr3_Invest_lt_unquoted</t>
  </si>
  <si>
    <t>bsitr3_Invest_lt_total</t>
  </si>
  <si>
    <t>bsitr3_Invest_st_eq_shares</t>
  </si>
  <si>
    <t>bsitr3_Invest_st_pref_shares</t>
  </si>
  <si>
    <t>bsitr3_Invest_st_deben</t>
  </si>
  <si>
    <t>bsitr3_Invest_st_total</t>
  </si>
  <si>
    <t>bsitr3_Invest_total</t>
  </si>
  <si>
    <t>bsitr3_cur_asset_inv_stores</t>
  </si>
  <si>
    <t>bsitr3_cur_asset_inv_rawmat</t>
  </si>
  <si>
    <t>bsitr3_cur_asset_inv_stockinproc</t>
  </si>
  <si>
    <t>bsitr3_cur_asset_inv_fingoods</t>
  </si>
  <si>
    <t>bsitr3_cur_asset_inv_total</t>
  </si>
  <si>
    <t>bsitr3_cur_asset_debtors</t>
  </si>
  <si>
    <t>bsitr3_cur_asset_cash</t>
  </si>
  <si>
    <t>bsitr3_cur_asset_bank</t>
  </si>
  <si>
    <t>bsitr3_cur_asset_cashbank_total</t>
  </si>
  <si>
    <t>bsitr3_cur_asset_othercurasset</t>
  </si>
  <si>
    <t>bsitr3_cur_asset_total</t>
  </si>
  <si>
    <t>bsitr3_loan_adv_recover_incash</t>
  </si>
  <si>
    <t>bsitr3_loan_adv_other_deploanadv</t>
  </si>
  <si>
    <t>bsitr3_loan_adv_revauth</t>
  </si>
  <si>
    <t>bsitr3_loan_adv_total</t>
  </si>
  <si>
    <t>bsitr3_cur_asset_loan_adv_total</t>
  </si>
  <si>
    <t>bsitr3_cur_liab_suncreditors</t>
  </si>
  <si>
    <t>bsitr3_cur_liab_leasedasset</t>
  </si>
  <si>
    <t>bsitr3_cur_liab_intaccrued</t>
  </si>
  <si>
    <t>bsitr3_cur_liab_intaccruednotdue</t>
  </si>
  <si>
    <t>bsitr3_cur_liab_total</t>
  </si>
  <si>
    <t>bsitr3_prov_inctax</t>
  </si>
  <si>
    <t>bsitr3_prov_wealthtax</t>
  </si>
  <si>
    <t>bsitr3_prov_leave_grat</t>
  </si>
  <si>
    <t>bsitr3_prov_others</t>
  </si>
  <si>
    <t>bsitr3_prov_total</t>
  </si>
  <si>
    <t>bsitr3_cur_liab_prov_total</t>
  </si>
  <si>
    <t>bsitr3_net_cur_asset_total</t>
  </si>
  <si>
    <t>bsitr3_misc_exp_notwoff</t>
  </si>
  <si>
    <t>bsitr3_deferred_tax_asset</t>
  </si>
  <si>
    <t>bsitr3_pl_accum_bal</t>
  </si>
  <si>
    <t>bsitr3_expenditure_total</t>
  </si>
  <si>
    <t>bsitr3_application_of_funds</t>
  </si>
  <si>
    <t>bsitr3_nobooks_sundrydebtor</t>
  </si>
  <si>
    <t>bsitr3_nobooks_sundrycreditor</t>
  </si>
  <si>
    <t>bsitr3_nobooks_stock</t>
  </si>
  <si>
    <t>bsitr3_nobooks_cash</t>
  </si>
  <si>
    <t>ITR5</t>
  </si>
  <si>
    <t>bsitr5_OrgName</t>
  </si>
  <si>
    <t>bsitr5_pan</t>
  </si>
  <si>
    <t>bsitr5_itr_form</t>
  </si>
  <si>
    <t>bsitr5_ay</t>
  </si>
  <si>
    <t>bsitr5_form_type</t>
  </si>
  <si>
    <t>bsitr5_share_capital</t>
  </si>
  <si>
    <t>bsitr5_ressurplus_reval</t>
  </si>
  <si>
    <t>bsitr5_ressurplus_capital</t>
  </si>
  <si>
    <t>bsitr5_ressurplus_stat</t>
  </si>
  <si>
    <t>bsitr5_ressurplus_othres</t>
  </si>
  <si>
    <t>bsitr5_ressurplus_placct</t>
  </si>
  <si>
    <t>bsitr5_ressurplus_total</t>
  </si>
  <si>
    <t>bsitr5_shareholder_fund_total</t>
  </si>
  <si>
    <t>bsitr5_sec_loan_forcur</t>
  </si>
  <si>
    <t>bsitr5_sec_loan_rup_banks</t>
  </si>
  <si>
    <t>bsitr5_sec_loan_rup_others</t>
  </si>
  <si>
    <t>bsitr5_sec_loan_rup_total</t>
  </si>
  <si>
    <t>bsitr5_sec_loan_total</t>
  </si>
  <si>
    <t>bsitr5_unsec_loan_forcur</t>
  </si>
  <si>
    <t>bsitr5_unsec_loan_rup_banks</t>
  </si>
  <si>
    <t>bsitr5_unsec_loan_rup_othersp</t>
  </si>
  <si>
    <t>bsitr5_unsec_loan_rup_others</t>
  </si>
  <si>
    <t>bsitr5_unsec_loan_rup_total</t>
  </si>
  <si>
    <t>bsitr5_unsec_loan_total</t>
  </si>
  <si>
    <t>bsitr5_loans_total</t>
  </si>
  <si>
    <t>bsitr5_deferred_tax_liab</t>
  </si>
  <si>
    <t>bsitr5_advances_specpersons</t>
  </si>
  <si>
    <t>bsitr5_advances_others</t>
  </si>
  <si>
    <t>bsitr5_advances_total</t>
  </si>
  <si>
    <t>bsitr5_source_of_funds</t>
  </si>
  <si>
    <t>bsitr5_fixasset_gross_block</t>
  </si>
  <si>
    <t>bsitr5_fixasset_depreciation</t>
  </si>
  <si>
    <t>bsitr5_fixasset_net_block</t>
  </si>
  <si>
    <t>bsitr5_fixasset_cap_wip</t>
  </si>
  <si>
    <t>bsitr5_fixasset_total</t>
  </si>
  <si>
    <t>bsitr5_Invest_lt_property</t>
  </si>
  <si>
    <t>bsitr5_invest_lt_equity_listed</t>
  </si>
  <si>
    <t>bsitr5_invest_lt_equity_unlisted</t>
  </si>
  <si>
    <t>bsitr5_invest_lt_equity_total</t>
  </si>
  <si>
    <t>bsitr5_invest_lt_pref_shares</t>
  </si>
  <si>
    <t>bsitr5_invest_lt_govt_sec</t>
  </si>
  <si>
    <t>bsitr5_invest_lt_deb_bonds</t>
  </si>
  <si>
    <t>bsitr5_invest_lt_mfunds</t>
  </si>
  <si>
    <t>bsitr5_invest_lt_others</t>
  </si>
  <si>
    <t>bsitr5_invest_lt_total</t>
  </si>
  <si>
    <t>bsitr5_invest_st_equity_listed</t>
  </si>
  <si>
    <t>bsitr5_invest_st_equity_unlisted</t>
  </si>
  <si>
    <t>bsitr5_invest_st_equity_total</t>
  </si>
  <si>
    <t>bsitr5_invest_st_pref_shares</t>
  </si>
  <si>
    <t>bsitr5_invest_st_govt_sec</t>
  </si>
  <si>
    <t>bsitr5_invest_st_deb_bonds</t>
  </si>
  <si>
    <t>bsitr5_invest_st_mfunds</t>
  </si>
  <si>
    <t>bsitr5_invest_st_others</t>
  </si>
  <si>
    <t>bsitr5_invest_st_total</t>
  </si>
  <si>
    <t>bsitr5_invest_total</t>
  </si>
  <si>
    <t>bsitr5_cur_asset_inv_rawmat</t>
  </si>
  <si>
    <t>bsitr5_cur_asset_inv_stockinproc</t>
  </si>
  <si>
    <t>bsitr5_cur_asset_inv_fingoods</t>
  </si>
  <si>
    <t>bsitr5_cur_asset_inv_stockintrade</t>
  </si>
  <si>
    <t>bsitr5_cur_asset_inv_stores</t>
  </si>
  <si>
    <t>bsitr5_cur_asset_inv_tools</t>
  </si>
  <si>
    <t>bsitr5_cur_asset_inv_others</t>
  </si>
  <si>
    <t>bsitr5_cur_asset_inv_total</t>
  </si>
  <si>
    <t>bsitr5_cur_asset_debtors1yr</t>
  </si>
  <si>
    <t>bsitr5_cur_asset_debtors_others</t>
  </si>
  <si>
    <t>bsitr5_cur_asset_debtors_total</t>
  </si>
  <si>
    <t>bsitr5_cur_asset_cash</t>
  </si>
  <si>
    <t>bsitr5_cur_asset_bank</t>
  </si>
  <si>
    <t>bsitr5_cur_asset_cashbank_others</t>
  </si>
  <si>
    <t>bsitr5_cur_asset_cashbank_total</t>
  </si>
  <si>
    <t>bsitr5_cur_asset_othercurasset</t>
  </si>
  <si>
    <t>bsitr5_cur_asset_total</t>
  </si>
  <si>
    <t>bsitr5_loan_adv_recover_incash</t>
  </si>
  <si>
    <t>bsitr5_loan_adv_other_deploanadv</t>
  </si>
  <si>
    <t>bsitr5_loan_adv_revauth</t>
  </si>
  <si>
    <t>bsitr5_loan_adv_total</t>
  </si>
  <si>
    <t>bsitr5_loan_adv_buisinessprof</t>
  </si>
  <si>
    <t>bsitr5_loan_adv_non_buisinessprof</t>
  </si>
  <si>
    <t>bsitr5_cur_asset_loan_adv_total</t>
  </si>
  <si>
    <t>bsitr5_cur_liab_suncreditors_1yr</t>
  </si>
  <si>
    <t>bsitr5_cur_liab_suncreditors_others</t>
  </si>
  <si>
    <t>bsitr5_cur_liab_suncreditors_total</t>
  </si>
  <si>
    <t>bsitr5_cur_liab_leasedasset</t>
  </si>
  <si>
    <t>bsitr5_cur_liab_intaccrued</t>
  </si>
  <si>
    <t>bsitr5_cur_liab_intaccruednotdue</t>
  </si>
  <si>
    <t>bsitr5_cur_liab_Increcdinadv</t>
  </si>
  <si>
    <t>bsitr5_cur_liab_others</t>
  </si>
  <si>
    <t>bsitr5_cur_liab_total</t>
  </si>
  <si>
    <t>bsitr5_prov_inctax</t>
  </si>
  <si>
    <t>bsitr5_prov_leave_grat</t>
  </si>
  <si>
    <t>bsitr5_prov_others</t>
  </si>
  <si>
    <t>bsitr5_prov_total</t>
  </si>
  <si>
    <t>bsitr5_cur_liab_prov_total</t>
  </si>
  <si>
    <t>bsitr5_net_cur_asset_total</t>
  </si>
  <si>
    <t>bsitr5_misc_exp_notwoff</t>
  </si>
  <si>
    <t>bsitr5_deferred_tax_asset</t>
  </si>
  <si>
    <t>bsitr5_pl_accum_bal</t>
  </si>
  <si>
    <t>bsitr5_expenditure_total</t>
  </si>
  <si>
    <t>bsitr5_application_of_funds</t>
  </si>
  <si>
    <t>bsitr5_nobooks_sundrydebtor</t>
  </si>
  <si>
    <t>bsitr5_nobooks_sundrycreditor</t>
  </si>
  <si>
    <t>bsitr5_nobooks_stock</t>
  </si>
  <si>
    <t>bsitr5_nobooks_cash</t>
  </si>
  <si>
    <t>l</t>
  </si>
  <si>
    <t>ITR6</t>
  </si>
  <si>
    <t>bsitr6_OrgName</t>
  </si>
  <si>
    <t>bsitr6_pan</t>
  </si>
  <si>
    <t>bsitr6_itr_form</t>
  </si>
  <si>
    <t>bsitr6_ay</t>
  </si>
  <si>
    <t>bsitr6_form_type</t>
  </si>
  <si>
    <t>bsitr6_share_capital_authorised</t>
  </si>
  <si>
    <t>bsitr6_share_capital_paidup</t>
  </si>
  <si>
    <t>bsitr6_share_capital_notfullypaidup</t>
  </si>
  <si>
    <t>bsitr6_share_capital_total</t>
  </si>
  <si>
    <t>bsitr6_ressurplus_capital</t>
  </si>
  <si>
    <t>bsitr6_ressurplus_capitalredemption</t>
  </si>
  <si>
    <t>bsitr6_ressurplus_securitiesprem</t>
  </si>
  <si>
    <t>bsitr6_ressurplus_debredemption</t>
  </si>
  <si>
    <t>bsitr6_ressurplus_reval</t>
  </si>
  <si>
    <t>bsitr6_ressurplus_reval_shareoptos</t>
  </si>
  <si>
    <t>bsitr6_ressurplus_others</t>
  </si>
  <si>
    <t>bsitr6_ressurplus_placct</t>
  </si>
  <si>
    <t>bsitr6_shareholder_fund_total</t>
  </si>
  <si>
    <t>bsitr6_share_warrant_recpts</t>
  </si>
  <si>
    <t>bsitr6_shareholder__fund_total</t>
  </si>
  <si>
    <t>bsitr6_share_applnLT1yr</t>
  </si>
  <si>
    <t>bsitr6_share_applnMT1yr</t>
  </si>
  <si>
    <t>bsitr6_share_appln_total</t>
  </si>
  <si>
    <t>bsitr6_noncur_liab_ltborr_bonddeb_fc</t>
  </si>
  <si>
    <t>bsitr6_noncur_liab_ltborr_bonddeb_rup</t>
  </si>
  <si>
    <t>bsitr6_noncur_liab_ltborr_bonddeb_total</t>
  </si>
  <si>
    <t>bsitr6_noncur_liab_ltborr_term_FC</t>
  </si>
  <si>
    <t>bsitr6_noncur_liab_ltborr_term_rupbank</t>
  </si>
  <si>
    <t>bsitr6_noncur_liab_ltborr_term_rupother</t>
  </si>
  <si>
    <t>bsitr6_noncur_liab_ltborr_term_rup_total</t>
  </si>
  <si>
    <t>bsitr6_noncur_liab_ltborr_term_total</t>
  </si>
  <si>
    <t>bsitr6_noncur_liab_ltborr_defpymtliab</t>
  </si>
  <si>
    <t>bsitr6_noncur_liab_ltborr_dept_relatedpart</t>
  </si>
  <si>
    <t>bsitr6_noncur_liab_ltborr_deposit_others</t>
  </si>
  <si>
    <t>bsitr6_noncur_liab_ltborr_loans_relatedpart</t>
  </si>
  <si>
    <t>bsitr6_noncur_liab_ltborr_loans_others</t>
  </si>
  <si>
    <t>bsitr6_noncur_liab_ltborr_finlease</t>
  </si>
  <si>
    <t>bsitr6_noncur_liab_ltborr_total</t>
  </si>
  <si>
    <t>bsitr6_deferred_tax_liab</t>
  </si>
  <si>
    <t>bsitr6_noncur_liab_othltliab_tradepay</t>
  </si>
  <si>
    <t>bsitr6_noncur_liab_othltliab_others</t>
  </si>
  <si>
    <t>bsitr6_noncur_liab_othltliab_total</t>
  </si>
  <si>
    <t>bsitr6_noncur_liab_ltprov_empbenefit</t>
  </si>
  <si>
    <t>bsitr6_noncur_liab_ltprov_others</t>
  </si>
  <si>
    <t>bsitr6_noncur_liab_ltprov_total</t>
  </si>
  <si>
    <t>bsitr6_noncur_liab_total</t>
  </si>
  <si>
    <t>bsitr6_cur_liab_stborr_loans_banks</t>
  </si>
  <si>
    <t>bsitr6_cur_liab_stborr_loans_nbfc</t>
  </si>
  <si>
    <t>bsitr6_cur_liab_stborr_loans_othfi</t>
  </si>
  <si>
    <t>bsitr6_cur_liab_stborr_loans_others</t>
  </si>
  <si>
    <t>bsitr6_cur_liab_stborr_loans_total</t>
  </si>
  <si>
    <t>bsitr6_cur_liab_stborr_deposit_relatedpart</t>
  </si>
  <si>
    <t>bsitr6_cur_liab_stborr_loans_relatedpart</t>
  </si>
  <si>
    <t>bsitr6_cur_liab_stborr_otherloansadv</t>
  </si>
  <si>
    <t>bsitr6_cur_liab_stborr_otherdeposit</t>
  </si>
  <si>
    <t>bsitr6_cur_liab_stborr_total</t>
  </si>
  <si>
    <t>bsitr6_cur_liab_tradepayMt1yr</t>
  </si>
  <si>
    <t>bsitr6_cur_liab_tradepay_others</t>
  </si>
  <si>
    <t>bsitr6_cur_liab_tradepay_total</t>
  </si>
  <si>
    <t>bsitr6_cur_liab_others_cmltdebt</t>
  </si>
  <si>
    <t>bsitr6_cur_liab_others_cmfinlease</t>
  </si>
  <si>
    <t>bsitr6_cur_liab_others_intaccruednotdue</t>
  </si>
  <si>
    <t>bsitr6_cur_liab_others_intaccrueddue</t>
  </si>
  <si>
    <t>bsitr6_cur_liab_others_Increcdinadv</t>
  </si>
  <si>
    <t>bsitr6_cur_liab_others_unpddiv</t>
  </si>
  <si>
    <t>bsitr6_cur_liab_others_shareapplnrefund</t>
  </si>
  <si>
    <t>bsitr6_cur_liab_others_unpaiddep</t>
  </si>
  <si>
    <t>bsitr6_cur_liab_others_unpaiddeb</t>
  </si>
  <si>
    <t>bsitr6_cur_liab_others_payables</t>
  </si>
  <si>
    <t>bsitr6_cur_liab_others_total</t>
  </si>
  <si>
    <t>bsitr6_cur_liab_stprov_empben</t>
  </si>
  <si>
    <t>bsitr6_cur_liab_stprov_inctax</t>
  </si>
  <si>
    <t>bsitr6_cur_liab_stprov_dividend</t>
  </si>
  <si>
    <t>bsitr6_cur_liab_stprov_taxondividend</t>
  </si>
  <si>
    <t>bsitr6_cur_liab_stprov_others</t>
  </si>
  <si>
    <t>bsitr6_cur_liab_stprov_total</t>
  </si>
  <si>
    <t>bsitr6_cur_liab_total</t>
  </si>
  <si>
    <t>bsitr6_equity_liabilities_total</t>
  </si>
  <si>
    <t>bsitr6_noncur_asset_fixasset_tang_gross_block</t>
  </si>
  <si>
    <t>bsitr6_noncur_asset_fixasset_tang_depreciation</t>
  </si>
  <si>
    <t>bsitr6_noncur_asset_fixasset_tang_imploss</t>
  </si>
  <si>
    <t>bsitr6_noncur_asset_fixasset_tang_net_block</t>
  </si>
  <si>
    <t>bsitr6_noncur_asset_fixasset_intang_gross_block</t>
  </si>
  <si>
    <t>bsitr6_noncur_asset_fixasset_intang_depreciation</t>
  </si>
  <si>
    <t>bsitr6_noncur_asset_fixasset_intang_imploss</t>
  </si>
  <si>
    <t>bsitr6_noncur_asset_fixasset_intang_net_block</t>
  </si>
  <si>
    <t>bsitr6_noncur_asset_fixasset_cap_wip</t>
  </si>
  <si>
    <t>bsitr6_noncur_asset_fixasset_intang_wip</t>
  </si>
  <si>
    <t>bsitr6_noncur_asset_fixasset_total</t>
  </si>
  <si>
    <t>bsitr6_noncur_invest_property</t>
  </si>
  <si>
    <t>bsitr6_noncur_asset_invest_equity_listed</t>
  </si>
  <si>
    <t>bsitr6_noncur_asset_invest_equity_unlisted</t>
  </si>
  <si>
    <t>bsitr6_noncur_asset_invest_equity_total</t>
  </si>
  <si>
    <t>bsitr6_noncur_asset_invest_pref_shares</t>
  </si>
  <si>
    <t>bsitr6_noncur_asset_invest_govt_sec</t>
  </si>
  <si>
    <t>bsitr6_noncur_asset_invest_deb_bonds</t>
  </si>
  <si>
    <t>bsitr6_noncur_asset_invest_mfunds</t>
  </si>
  <si>
    <t>bsitr6_noncur_asset_invest_partnerships</t>
  </si>
  <si>
    <t>bsitr6_noncur_asset_invest_others</t>
  </si>
  <si>
    <t>bsitr6_noncur_asset_invest_total</t>
  </si>
  <si>
    <t>bsitr6_noncur_asset_deferred_tax_asset</t>
  </si>
  <si>
    <t>bsitr6_noncur_asset_loan_adv_lt_capadv</t>
  </si>
  <si>
    <t>bsitr6_noncur_asset_loan_adv_lt_secdeposit</t>
  </si>
  <si>
    <t>bsitr6_noncur_asset_loan_adv_lt_relatedpart</t>
  </si>
  <si>
    <t>bsitr6_noncur_asset_loan_adv_lt_others</t>
  </si>
  <si>
    <t>bsitr6_noncur_asset_loan_adv_lt_total</t>
  </si>
  <si>
    <t>bsitr6_noncur_asset_loan_adv_lt_businessprof</t>
  </si>
  <si>
    <t>bsitr6_noncur_asset_loan_adv_lt_non_businessprof</t>
  </si>
  <si>
    <t>bsitr6_noncur_asset_loan_adv_lt_non_benowner</t>
  </si>
  <si>
    <t>bsitr6_noncur_asset_otherasset_lttraderec_goodsec</t>
  </si>
  <si>
    <t>bsitr6_noncur_asset_otherasset_lttraderec_goodunsec</t>
  </si>
  <si>
    <t>bsitr6_noncur_asset_otherasset_lttraderec_doubtful</t>
  </si>
  <si>
    <t>bsitr6_noncur_asset_otherasset_lttraderec_total</t>
  </si>
  <si>
    <t>bsitr6_noncur_asset_otherasset_others</t>
  </si>
  <si>
    <t>bsitr6_noncur_asset_otherasset_total</t>
  </si>
  <si>
    <t>bsitr6_noncur_asset_otherasset_benowner</t>
  </si>
  <si>
    <t>bsitr6_noncur_asset_total</t>
  </si>
  <si>
    <t>bsitr6_cur_asset_invest_equity_listed</t>
  </si>
  <si>
    <t>bsitr6_cur_asset_invest_equity_unlisted</t>
  </si>
  <si>
    <t>bsitr6_cur_asset_invest_equity_total</t>
  </si>
  <si>
    <t>bsitr6_cur_asset_invest_pref_shares</t>
  </si>
  <si>
    <t>bsitr6_cur_asset_invest_govt_sec</t>
  </si>
  <si>
    <t>bsitr6_cur_asset_invest_deb_bonds</t>
  </si>
  <si>
    <t>bsitr6_cur_asset_invest_mfunds</t>
  </si>
  <si>
    <t>bsitr6_cur_asset_invest_partnerships</t>
  </si>
  <si>
    <t>bsitr6_cur_asset_invest_others</t>
  </si>
  <si>
    <t>bsitr6_cur_asset_invest_total</t>
  </si>
  <si>
    <t>bsitr6_cur_asset_inv_rawmat</t>
  </si>
  <si>
    <t>bsitr6_cur_asset_inv_stockinproc</t>
  </si>
  <si>
    <t>bsitr6_cur_asset_inv_fingoods</t>
  </si>
  <si>
    <t>bsitr6_cur_asset_inv_stockintrade</t>
  </si>
  <si>
    <t>bsitr6_cur_asset_inv_stores</t>
  </si>
  <si>
    <t>bsitr6_cur_asset_inv_tools</t>
  </si>
  <si>
    <t>bsitr6_cur_asset_inv_others</t>
  </si>
  <si>
    <t>bsitr6_cur_asset_inv_total</t>
  </si>
  <si>
    <t>bsitr6_cur_asset_debtorsMt6mon</t>
  </si>
  <si>
    <t>bsitr6_cur_asset_debtorsMtothers</t>
  </si>
  <si>
    <t>bsitr6_cur_asset_debtors_total</t>
  </si>
  <si>
    <t>bsitr6_cur_asset_bank</t>
  </si>
  <si>
    <t>bsitr6_cur_asset_chwdraft</t>
  </si>
  <si>
    <t>bsitr6_cur_asset_cash</t>
  </si>
  <si>
    <t>bsitr6_cur_asset_cashbank_others</t>
  </si>
  <si>
    <t>bsitr6_cur_asset_cashbank_total</t>
  </si>
  <si>
    <t>bsitr6_cur_asset_stloans_relatedpart</t>
  </si>
  <si>
    <t>bsitr6_cur_asset_stloans_others</t>
  </si>
  <si>
    <t>bsitr6_cur_asset_stloans_total</t>
  </si>
  <si>
    <t>bsitr6_cur_asset_stloans_busprof</t>
  </si>
  <si>
    <t>bsitr6_cur_asset_stloans_nonbusprof</t>
  </si>
  <si>
    <t>bsitr6_cur_asset_stloans_benowner</t>
  </si>
  <si>
    <t>bsitr6_cur_asset_others</t>
  </si>
  <si>
    <t>bsitr6_cur_asset_total</t>
  </si>
  <si>
    <t>bsitr6_asset_total</t>
  </si>
  <si>
    <t>ITR6AS</t>
  </si>
  <si>
    <t>bsitr6AS_OrgName</t>
  </si>
  <si>
    <t>bsitr6AS_pan</t>
  </si>
  <si>
    <t>bsitr6AS_itr_form</t>
  </si>
  <si>
    <t>bsitr6AS_ay</t>
  </si>
  <si>
    <t>bsitr6AS_form_type</t>
  </si>
  <si>
    <t>bsitr6AS_Equity_share_capital_authorised</t>
  </si>
  <si>
    <t>bsitr6AS_Equity_share_capital_paidup</t>
  </si>
  <si>
    <t>bsitr6AS_Equity_share_capital_not fullypaidup</t>
  </si>
  <si>
    <t>bsitr6AS_Equity_share_capital_total</t>
  </si>
  <si>
    <t>bsitr6AS_otherequity_otherreserves_capitalredemption</t>
  </si>
  <si>
    <t>bsitr6AS_otherequity_otherreserves_debentureredemption</t>
  </si>
  <si>
    <t>bsitr6AS_otherequity_otherreserves_shareoptionoutstanding</t>
  </si>
  <si>
    <t>bsitr6AS_otherequity_otherreserves_others</t>
  </si>
  <si>
    <t>bsitr6AS_otherequity_otherreserves_totalotherreserves</t>
  </si>
  <si>
    <t>bsitr6AS_otherequity_retainedearnings</t>
  </si>
  <si>
    <t>bsitr6AS_otherequity_total</t>
  </si>
  <si>
    <t>bsitr6AS_Equity_total</t>
  </si>
  <si>
    <t>bsitr6AS_noncur_liab_financialliab_borrowings_bonddeb_fc</t>
  </si>
  <si>
    <t>bsitr6AS_noncur_liab_financialliab_borrowings_bonddeb_rup</t>
  </si>
  <si>
    <t>bsitr6AS_noncur_liab_financialliab_borrowings_bonddeb_total</t>
  </si>
  <si>
    <t>bsitr6AS_noncur_liab_financialliab_borrowings_termloan_fc</t>
  </si>
  <si>
    <t>bsitr6AS_noncur_liab_financialliab_borrowings_termloan_rupbank</t>
  </si>
  <si>
    <t>bsitr6AS_noncur_liab_financialliab_borrowings_termloan_rupothers</t>
  </si>
  <si>
    <t>bsitr6AS_noncur_liab_financialliab_borrowings_termloan_ruptotal</t>
  </si>
  <si>
    <t>bsitr6AS_noncur_liab_financialliab_borrowings_termloan_total</t>
  </si>
  <si>
    <t>bsitr6AS_noncur_liab_financialliab_borrowings_defpymtliab</t>
  </si>
  <si>
    <t>bsitr6AS_noncur_liab_financialliab_borrowings_deposits</t>
  </si>
  <si>
    <t>bsitr6AS_noncur_liab_financialliab_borrowings_loans_relatedpart</t>
  </si>
  <si>
    <t>bsitr6AS_noncur_liab_financialliab_borrowings_ltborr_finlease</t>
  </si>
  <si>
    <t>bsitr6AS_noncur_liab_financialliab_borrowings_compfininstruments</t>
  </si>
  <si>
    <t>bsitr6AS_noncur_liab_financialliab_borrowings_otherloans</t>
  </si>
  <si>
    <t>bsitr6AS_noncur_liab_financialliab_borrowings_total</t>
  </si>
  <si>
    <t>bsitr6AS_noncur_liab_financialliab_borrowings_tradepay</t>
  </si>
  <si>
    <t>bsitr6AS_noncur_liab_financialliab_borrowings_otherfinliab</t>
  </si>
  <si>
    <t>bsitr6AS_noncur_liab_provisions_empbenefit</t>
  </si>
  <si>
    <t>bsitr6AS_noncur_liab_provisions_others</t>
  </si>
  <si>
    <t>bsitr6AS_noncur_liab_provisions_total</t>
  </si>
  <si>
    <t>bsitr6AS_noncur_liab_deferred_tax_liab</t>
  </si>
  <si>
    <t>bsitr6AS_noncur_liab_others_advances</t>
  </si>
  <si>
    <t>bsitr6AS_noncur_liab_others_others</t>
  </si>
  <si>
    <t>bsitr6AS_noncur_liab_others_total</t>
  </si>
  <si>
    <t>bsitr6AS_noncur_liab_total</t>
  </si>
  <si>
    <t>bsitr6AS_cur_liab_financialliab_borrowings_repayondemand_bank</t>
  </si>
  <si>
    <t>bsitr6AS_cur_liab_financialliab_borrowings_repayondemand_others</t>
  </si>
  <si>
    <t>bsitr6AS_cur_liab_financialliab_borrowings_repayondemand_total</t>
  </si>
  <si>
    <t>bsitr6AS_cur_liab_financialliab_borrowings_loanrelatred party</t>
  </si>
  <si>
    <t>bsitr6AS_cur_liab_financialliab_borrowings_deposits</t>
  </si>
  <si>
    <t>bsitr6AS_cur_liab_financialliab_borrowings_otherloans</t>
  </si>
  <si>
    <t>bsitr6AS_cur_liab_financialliab_borrowings_total</t>
  </si>
  <si>
    <t>bsitr6AS_cur_liab_financialliab_tradepay</t>
  </si>
  <si>
    <t>bsitr6AS_cur_liab_financialliab_otherfinliab_curmatltdebt</t>
  </si>
  <si>
    <t>bsitr6AS_cur_liab_financialliab_otherfinliab_curmatfinlease</t>
  </si>
  <si>
    <t>bsitr6AS_cur_liab_financialliab_otherfinliab_intaccrued</t>
  </si>
  <si>
    <t>bsitr6AS_cur_liab_financialliab_otherfinliab_unpddiv</t>
  </si>
  <si>
    <t>bsitr6AS_cur_liab_financialliab_otherfinliab_shareapplnrefund</t>
  </si>
  <si>
    <t>bsitr6AS_cur_liab_financialliab_otherfinliab_unpaiddep</t>
  </si>
  <si>
    <t>bsitr6AS_cur_liab_financialliab_otherfinliab_unpaiddeb</t>
  </si>
  <si>
    <t>bsitr6AS_cur_liab_financialliab_otherfinliab_others</t>
  </si>
  <si>
    <t>bsitr6AS_cur_liab_financialliab_otherfinliab_total</t>
  </si>
  <si>
    <t>bsitr6AS_cur_liab_financialliab_total</t>
  </si>
  <si>
    <t>bsitr6AS_cur_liab_othercurrliab_revinadv</t>
  </si>
  <si>
    <t>bsitr6AS_cur_liab_othercurrliab_otheradv</t>
  </si>
  <si>
    <t>bsitr6AS_cur_liab_othercurrliab_others</t>
  </si>
  <si>
    <t>bsitr6AS_cur_liab_othercurrliab_total</t>
  </si>
  <si>
    <t>bsitr6AS_cur_liab_provisions_empben</t>
  </si>
  <si>
    <t>bsitr6AS_cur_liab_provisions_others</t>
  </si>
  <si>
    <t>bsitr6AS_cur_liab_provisions_total</t>
  </si>
  <si>
    <t>bsitr6AS_cur_liab_curtaxliab</t>
  </si>
  <si>
    <t>bsitr6AS_cur_liab_total</t>
  </si>
  <si>
    <t>bsitr6AS_equityandliab_total</t>
  </si>
  <si>
    <t>bsitr6AS_noncur_assetprpopplanteqpt_gross_block</t>
  </si>
  <si>
    <t>bsitr6AS_noncur_assetprpopplanteqpt_depreciation</t>
  </si>
  <si>
    <t>bsitr6AS_noncur_assetprpopplanteqpt_imploss</t>
  </si>
  <si>
    <t>bsitr6AS_noncur_assetprpopplanteqpt_netblock</t>
  </si>
  <si>
    <t>bsitr6AS_noncur_cap_wip</t>
  </si>
  <si>
    <t>bsitr6AS_noncur_investprop_gross_block</t>
  </si>
  <si>
    <t>bsitr6AS_noncur_investprop_depreciation</t>
  </si>
  <si>
    <t>bsitr6AS_noncur_investprop_imploss</t>
  </si>
  <si>
    <t>bsitr6AS_noncur_investprop_netblock</t>
  </si>
  <si>
    <t>bsitr6AS_noncur_goodwill_gross_block</t>
  </si>
  <si>
    <t>bsitr6AS_noncur_goodwill_imploss</t>
  </si>
  <si>
    <t>bsitr6AS_noncur_goodwill_netblock</t>
  </si>
  <si>
    <t>bsitr6AS_noncur_othintangasset</t>
  </si>
  <si>
    <t>bsitr6AS_noncur_othintangasset_gross_block</t>
  </si>
  <si>
    <t>bsitr6AS_noncur_othintangasset_amortisation</t>
  </si>
  <si>
    <t>bsitr6AS_noncur_othintangasset_imploss</t>
  </si>
  <si>
    <t>bsitr6AS_noncur_othintangasset_netblock</t>
  </si>
  <si>
    <t>bsitr6AS_noncur_othintangasset_ubderdev</t>
  </si>
  <si>
    <t>bsitr6AS_noncur_bioasset_gross_block</t>
  </si>
  <si>
    <t>bsitr6AS_noncur_bioasset_imploss</t>
  </si>
  <si>
    <t>bsitr6AS_noncur_bioasset_netblock</t>
  </si>
  <si>
    <t>bsitr6ASnoncur__finassets_invest</t>
  </si>
  <si>
    <t>bsitr6ASnoncur__finassets_invest_equity_listed</t>
  </si>
  <si>
    <t>bsitr6_noncur_asseAS_finassetst_invest_equity_unlisted</t>
  </si>
  <si>
    <t>bsitrAS_noncur_finassets_invest_equity_total</t>
  </si>
  <si>
    <t>bsitr6AS_noncur_finassets_invest_pref_shares</t>
  </si>
  <si>
    <t>bsitr6AS_noncur_finassets_invest_govt_sec</t>
  </si>
  <si>
    <t>bsitr6AS_noncur_finassets_invest_deb_bonds</t>
  </si>
  <si>
    <t>bsitr6AS_noncur_finassets_invest_mfunds</t>
  </si>
  <si>
    <t>bsitr6AS_noncur_finassets_invest_partnerships</t>
  </si>
  <si>
    <t>bsitr6AS_noncur_finassets_invest_others</t>
  </si>
  <si>
    <t>bsitr6AS_noncur_finassets_invest_total</t>
  </si>
  <si>
    <t>bsitr6AS_noncur_finassets_traderec_goodsec</t>
  </si>
  <si>
    <t>bsitr6AS_noncur_finassets_traderec_goodunsec</t>
  </si>
  <si>
    <t>bsitr6AS_noncur_finassets_traderec_doubtful</t>
  </si>
  <si>
    <t>bsitr6AS_noncur_finassets_traderec_total</t>
  </si>
  <si>
    <t>bsitr6AS_noncurassets_finassets_loans_secdeposit</t>
  </si>
  <si>
    <t>bsitr6AS_noncurassets_finassets_loans_relatedpart</t>
  </si>
  <si>
    <t>bsitr6AS_noncurassets_finassets_loans_others</t>
  </si>
  <si>
    <t>bsitr6AS_noncurassets_finassets_loans_total</t>
  </si>
  <si>
    <t>bsitr6AS_noncurassets_finassets_loans_businessprof</t>
  </si>
  <si>
    <t>bsitr6AS_noncurassets_finassets_loans_non_businessprof</t>
  </si>
  <si>
    <t>bsitr6AS_noncurassets_finassets_loans_non_share_benowner</t>
  </si>
  <si>
    <t>bsitr6AS_noncurassets_finassets_othfinassets_bankdep&gt;12m</t>
  </si>
  <si>
    <t>bsitr6AS_noncurassets_finassets_othfinassets_others</t>
  </si>
  <si>
    <t>bsitr6AS_noncurassets_finassets_othfinassets_total</t>
  </si>
  <si>
    <t>bsitr6AS_noncurassets_finassets_deferred_taxassets</t>
  </si>
  <si>
    <t>bsitr6AS_noncurassets_finassets_othnoncurrassets_capadvances</t>
  </si>
  <si>
    <t>bsitr6AS_noncurassets_finassets_othnoncurrassets_non_capadvances</t>
  </si>
  <si>
    <t>bsitr6AS_noncurassets_finassets_othnoncurrassets_others</t>
  </si>
  <si>
    <t>bsitr6AS_noncurassets_finassets_othnoncurrassets_total</t>
  </si>
  <si>
    <t>bsitr6AS_noncurassets_finassets_othnoncurrassets_non_share_benowner</t>
  </si>
  <si>
    <t>bsitr6AS_noncurassets_total</t>
  </si>
  <si>
    <t>bsitr6AS_curassets_inven_rawmat</t>
  </si>
  <si>
    <t>bsitr6AS_curassets_inven_wip</t>
  </si>
  <si>
    <t>bsitr6AS_curassets_inven_fingoods</t>
  </si>
  <si>
    <t>bsitr6AS_curassets_inven_stockintrade</t>
  </si>
  <si>
    <t>bsitr6AS_curassets_inven_stores</t>
  </si>
  <si>
    <t>bsitr6AS_curassets_inven_tools</t>
  </si>
  <si>
    <t>bsitr6AS_curassets_inven_others</t>
  </si>
  <si>
    <t>bsitr6AS_curassets_inven_total</t>
  </si>
  <si>
    <t>bsitr6AS_curassets_finassets_invest_equity_listed</t>
  </si>
  <si>
    <t>bsitr6AS_curassets_finassets_invest_equity_unlisted</t>
  </si>
  <si>
    <t>bsitr6AS_curassets_finassets_invest_equity_total</t>
  </si>
  <si>
    <t>bsitr6AS_curassets_finassets_invest_pref_shares</t>
  </si>
  <si>
    <t>bsitr6AS_curassets_finassets_invest_govt_sec</t>
  </si>
  <si>
    <t>bsitr6AS_curassets_finassets_invest_deb_bonds</t>
  </si>
  <si>
    <t>bsitr6AS_curassets_finassets_invest_mfunds</t>
  </si>
  <si>
    <t>bsitr6AS_curassets_finassets_invest_partnerships</t>
  </si>
  <si>
    <t>bsitr6AS_curassets_finassets_invest_others</t>
  </si>
  <si>
    <t>bsitr6AS_curassets_finassets_invest_total</t>
  </si>
  <si>
    <t>bsitr6AS_curassets_finassets_traderec_goodsec</t>
  </si>
  <si>
    <t>bsitr6AS_curassets_finassets_traderec_goodunsec</t>
  </si>
  <si>
    <t>bsitr6AS_curassets_finassets_traderec_doubtful</t>
  </si>
  <si>
    <t>bsitr6AS_curassets_finassets_traderec_total</t>
  </si>
  <si>
    <t>bsitr6AS_curassets_finassets_cashbank_bank</t>
  </si>
  <si>
    <t>bsitr6AS_curassets_finassets_cashbank_chqdraft</t>
  </si>
  <si>
    <t>bsitr6AS_curassets_finassets_cashbank_cash</t>
  </si>
  <si>
    <t>bsitr6AS_curassets_finassets_cashbank_others</t>
  </si>
  <si>
    <t>bsitr6AS_curassets_finassets_cashbank_total</t>
  </si>
  <si>
    <t>bsitr6AS_curassets_finassets_bankbalothers</t>
  </si>
  <si>
    <t>bsitr6AS_curassets_finassets_loans_secdeposits</t>
  </si>
  <si>
    <t>bsitr6AS_curassets_finassets_loans_relatedpart</t>
  </si>
  <si>
    <t>bsitr6AS_curassets_finassets_loans_others</t>
  </si>
  <si>
    <t>bsitr6AS_curassets_finassets_loans_total</t>
  </si>
  <si>
    <t>bsitr6AS_curassets_finassets_loans_businessprof</t>
  </si>
  <si>
    <t>bsitr6AS_curassets_finassets_loans_non_businessprof</t>
  </si>
  <si>
    <t>bsitr6AS_curassets_finassets_loans_non_share_benowner</t>
  </si>
  <si>
    <t>bsitr6AS_curassets_finassets_otherfinassets</t>
  </si>
  <si>
    <t>bsitr6AS_curassets_finassets_total</t>
  </si>
  <si>
    <t>bsitr6AS_curassets_currtaxassets</t>
  </si>
  <si>
    <t>bsitr6AS_curassets_othercurassets_noncapitaladv</t>
  </si>
  <si>
    <t>bsitr6AS_curassets_othercurassets_others</t>
  </si>
  <si>
    <t>bsitr6AS_curassets_othercurassets_total</t>
  </si>
  <si>
    <t>bsitr6AS_curassets_total</t>
  </si>
  <si>
    <t>bsitr6AS_totalassets_total</t>
  </si>
  <si>
    <t>ITR4&amp;4S</t>
  </si>
  <si>
    <t>bsitr4_OrgName</t>
  </si>
  <si>
    <t>bsitr4_pan</t>
  </si>
  <si>
    <t>bsitr4_itr_form</t>
  </si>
  <si>
    <t>bsitr4_ay</t>
  </si>
  <si>
    <t>bsitr4_form_type</t>
  </si>
  <si>
    <t>Partners</t>
  </si>
  <si>
    <t xml:space="preserve">Secured_loans </t>
  </si>
  <si>
    <t xml:space="preserve">Unsecured_loans </t>
  </si>
  <si>
    <t>Advances</t>
  </si>
  <si>
    <t xml:space="preserve">Sundry_creditors </t>
  </si>
  <si>
    <t xml:space="preserve">Other_liabilities </t>
  </si>
  <si>
    <t>Total_capital_and_liabilities</t>
  </si>
  <si>
    <t xml:space="preserve">Fixed_assets </t>
  </si>
  <si>
    <t xml:space="preserve">Sundry_debtors </t>
  </si>
  <si>
    <t xml:space="preserve">Balance_with_banks </t>
  </si>
  <si>
    <t>Cash-in-hand</t>
  </si>
  <si>
    <t>Loans_and_advances</t>
  </si>
  <si>
    <t>Other_assets</t>
  </si>
  <si>
    <t xml:space="preserve">Total_assets </t>
  </si>
  <si>
    <t>.</t>
  </si>
  <si>
    <t>Eligibility under Gross Turnover Program</t>
  </si>
  <si>
    <t>Income Considered?</t>
  </si>
  <si>
    <t>% Margin applicable</t>
  </si>
  <si>
    <t>Income to be considered (Rs.)</t>
  </si>
  <si>
    <t>EBITDA Multiplier Deviation, if any (select from dropdown)</t>
  </si>
  <si>
    <t>Basic Income to be considered</t>
  </si>
  <si>
    <t>Eligibility under Gross Receipts Program</t>
  </si>
  <si>
    <t>Total Basic Income</t>
  </si>
  <si>
    <t>Eligibility under Gross Profit Program</t>
  </si>
  <si>
    <t>Nature of Business</t>
  </si>
  <si>
    <t>Manufacturing</t>
  </si>
  <si>
    <t>GTP Margin</t>
  </si>
  <si>
    <t>Trading</t>
  </si>
  <si>
    <t>Program</t>
  </si>
  <si>
    <t>Combo</t>
  </si>
  <si>
    <t>Property Usage</t>
  </si>
  <si>
    <t>Concatenate</t>
  </si>
  <si>
    <t>Min Loan excl Insurance except Pure Insurance Loan (Rs.)</t>
  </si>
  <si>
    <t>Max Loan excl Insurance except Pure Insurance Loan (Rs.)</t>
  </si>
  <si>
    <t>Max Tenor (Mths) - ACC / RCC</t>
  </si>
  <si>
    <t>Max Tenor (Mths) - ZCC</t>
  </si>
  <si>
    <t>Max FOIR norm excl Insurance except Pure Insurance Loan</t>
  </si>
  <si>
    <t>Max FOIR ACC excl Insurance except Pure Insurance Loan</t>
  </si>
  <si>
    <t>Max FOIR RCC excl Insurance except Pure Insurance Loan</t>
  </si>
  <si>
    <t>Max FOIR ZCC excl Insurance except Pure Insurance Loan</t>
  </si>
  <si>
    <t>Max LTV norm excl Insurance except Pure Insurance Loan</t>
  </si>
  <si>
    <t>Max LTV ACC excl Insurance except Pure Insurance Loan</t>
  </si>
  <si>
    <t>Max LTV RCC excl Insurance except Pure Insurance Loan</t>
  </si>
  <si>
    <t>Max LTV ZCC excl Insurance except Pure Insurance Loan</t>
  </si>
  <si>
    <t>Agriculture Products - Agriculture Products</t>
  </si>
  <si>
    <t>Computers - Computer Education</t>
  </si>
  <si>
    <t>Cash Profit Method</t>
  </si>
  <si>
    <t>HL</t>
  </si>
  <si>
    <t>Self-occupation</t>
  </si>
  <si>
    <t>Agriculture Products - Animal Products (including Animal and Bird Feed)</t>
  </si>
  <si>
    <t>Computers - Computer Software</t>
  </si>
  <si>
    <t>HLGPLIns</t>
  </si>
  <si>
    <t>Agriculture Products - Edible Oils</t>
  </si>
  <si>
    <t>Construction - Commercial Complex</t>
  </si>
  <si>
    <t>HLGPL</t>
  </si>
  <si>
    <t>Agriculture Products - Floricultural</t>
  </si>
  <si>
    <t>Construction - Construction &amp; allied activities</t>
  </si>
  <si>
    <t>HLIns</t>
  </si>
  <si>
    <t>Type of Assessee</t>
  </si>
  <si>
    <t>Agriculture Products - Fruits and Nuts</t>
  </si>
  <si>
    <t>Construction - Construction (Industrial)</t>
  </si>
  <si>
    <t>Rent out</t>
  </si>
  <si>
    <t>Agriculture Products - Poultry &amp; Meal Products</t>
  </si>
  <si>
    <t>Construction - Construction (Roads)</t>
  </si>
  <si>
    <t>H.U.F.</t>
  </si>
  <si>
    <t>Agriculture Products - Agri-seed</t>
  </si>
  <si>
    <t>Containers &amp; Packaging - Packaging</t>
  </si>
  <si>
    <t>Proprietorship</t>
  </si>
  <si>
    <t>Agriculture Products - Spices</t>
  </si>
  <si>
    <t>Durables - Hardware, Plumbing &amp; Heating Equipment</t>
  </si>
  <si>
    <t>Partnership</t>
  </si>
  <si>
    <t>Agriculture Products - Starches</t>
  </si>
  <si>
    <t>Entertainments &amp; Leisure - Hotels &amp; Restaurants</t>
  </si>
  <si>
    <t>Vacant / Investment</t>
  </si>
  <si>
    <t>LLP</t>
  </si>
  <si>
    <t>Agriculture Products - Sugar</t>
  </si>
  <si>
    <t>Entertainments &amp; Leisure - Recreation &amp; Amusement Parks</t>
  </si>
  <si>
    <t>Private Limited Company</t>
  </si>
  <si>
    <t>Agriculture Products - Tea &amp; Coffee</t>
  </si>
  <si>
    <t>Entertainments &amp; Leisure - Travel Services</t>
  </si>
  <si>
    <t>Public Limited Company (Listed)</t>
  </si>
  <si>
    <t>Agriculture Products - Tobacco Products</t>
  </si>
  <si>
    <t>Healthcare - Medical &amp; Health Services/Diagnostic Center</t>
  </si>
  <si>
    <t>Public Limited Company (Unlisted)</t>
  </si>
  <si>
    <t>Agriculture Products - Vegetables, roots and tubers</t>
  </si>
  <si>
    <t>Healthcare Providers - Diagnostic Centers</t>
  </si>
  <si>
    <t>LAP</t>
  </si>
  <si>
    <t>Trust</t>
  </si>
  <si>
    <t>Air Conditioners &amp; Refrigerators - Air Conditioners &amp; Refrigerators</t>
  </si>
  <si>
    <t>Healthcare Providers - Hospitals</t>
  </si>
  <si>
    <t>LAPGPLIns</t>
  </si>
  <si>
    <t>Society</t>
  </si>
  <si>
    <t>Automobiles - Automobiles Ancillaries</t>
  </si>
  <si>
    <t>Automobiles - 2 &amp; 3 Wheelers</t>
  </si>
  <si>
    <t>Industrial Equipment - Power Transmission Line Services</t>
  </si>
  <si>
    <t>LAPGPL</t>
  </si>
  <si>
    <t>Automobiles - Cycle &amp; accessories</t>
  </si>
  <si>
    <t>Media - Advertising</t>
  </si>
  <si>
    <t>LAPIns</t>
  </si>
  <si>
    <t>Loan Type</t>
  </si>
  <si>
    <t>Automobiles - Passenger &amp; Commercial Vehicles</t>
  </si>
  <si>
    <t>Media - Animation Content Provider</t>
  </si>
  <si>
    <t>Automobiles - Tyres &amp; Tubes</t>
  </si>
  <si>
    <t>Media - Cable and other Pay Television Services</t>
  </si>
  <si>
    <t>Home Extension Loan</t>
  </si>
  <si>
    <t>Cement - Cement Products &amp; Asbestos Products</t>
  </si>
  <si>
    <t>Media - Printing</t>
  </si>
  <si>
    <t>Home Improvement Loan</t>
  </si>
  <si>
    <t>Chemicals - Acids &amp; Salts</t>
  </si>
  <si>
    <t>Board Line/ Multiline - General Merchandise Stores</t>
  </si>
  <si>
    <t>Media - Publishing</t>
  </si>
  <si>
    <t>Home Construction Loan</t>
  </si>
  <si>
    <t>Chemicals - Chemicals including inorganic</t>
  </si>
  <si>
    <t>Other Construction &amp; Allied Activities - Maintenance of Buildings (Facility Management)</t>
  </si>
  <si>
    <t>Plot Purchase Loan</t>
  </si>
  <si>
    <t>Chemicals - Dyes &amp; Pigments</t>
  </si>
  <si>
    <t>Other Fund based Financial Services - Commission Agents Services (Only those booking Commission Income)</t>
  </si>
  <si>
    <t>Composite Loan (Plot Purchase plus Home Construction)</t>
  </si>
  <si>
    <t>Chemicals - Fertilizers</t>
  </si>
  <si>
    <t>Chemicals - Caustic Soda</t>
  </si>
  <si>
    <t>Others - R &amp; D</t>
  </si>
  <si>
    <t>HL BT</t>
  </si>
  <si>
    <t>Chemicals - Industrial Gases</t>
  </si>
  <si>
    <t>HL Top-up</t>
  </si>
  <si>
    <t>Chemicals - Pesticides</t>
  </si>
  <si>
    <t>Professional Services - Architectural Services &amp; Interior Designing Service</t>
  </si>
  <si>
    <t>Indl</t>
  </si>
  <si>
    <t>LAP-Residential</t>
  </si>
  <si>
    <t>Chemicals - Petrochemicals including organic</t>
  </si>
  <si>
    <t>Professional Services - Consultants/Business Consultancy</t>
  </si>
  <si>
    <t>IndlGPLIns</t>
  </si>
  <si>
    <t>LAP-Commercial</t>
  </si>
  <si>
    <t>Chemicals - Polymers</t>
  </si>
  <si>
    <t>Professional Services - Education Consultancy</t>
  </si>
  <si>
    <t>IndlGPL</t>
  </si>
  <si>
    <t>LAP-Industrial</t>
  </si>
  <si>
    <t>Chemicals - Refractories</t>
  </si>
  <si>
    <t>Professional Services - Entertainment and Media Content Provider</t>
  </si>
  <si>
    <t>IndlIns</t>
  </si>
  <si>
    <t>LAP-Plot</t>
  </si>
  <si>
    <t>Computer - Electronics</t>
  </si>
  <si>
    <t>Professional Services - Event Management Services</t>
  </si>
  <si>
    <t>LAP BT</t>
  </si>
  <si>
    <t>Construction - Ceramic Tiles &amp; Sanitary ware</t>
  </si>
  <si>
    <t>Professional Services - Motion Picture Production, Distribution and Exhibition</t>
  </si>
  <si>
    <t>LAP Top-up</t>
  </si>
  <si>
    <t>Construction - Construction Equipment's</t>
  </si>
  <si>
    <t>Professional Services - Public Relations</t>
  </si>
  <si>
    <t>Commercial Purchase</t>
  </si>
  <si>
    <t>Consumer Electronics - Consumer Electronics</t>
  </si>
  <si>
    <t>Professional Services - Real Estate Infrastructure Services</t>
  </si>
  <si>
    <t>LRD-Residential</t>
  </si>
  <si>
    <t>Professional Services - Technical Consultancy and Engineering Services</t>
  </si>
  <si>
    <t>LRD-Commercial</t>
  </si>
  <si>
    <t>Professional Services - Placement &amp; HR Consultancy Services</t>
  </si>
  <si>
    <t>LRD-Industrial</t>
  </si>
  <si>
    <t>Electronics - Domestic Appliances &amp; Machinery</t>
  </si>
  <si>
    <t>Radiobroadcasting Media - Radiobroadcasting Media</t>
  </si>
  <si>
    <t>General Purpose Loan</t>
  </si>
  <si>
    <t>FMCG - FMCG</t>
  </si>
  <si>
    <t>Road Transport Infrastructure Services - Other Motor Transport Services</t>
  </si>
  <si>
    <t>Insurance</t>
  </si>
  <si>
    <t>Foods and Beverages - Beer, Wine &amp;Distilled Alcoholic Beverages</t>
  </si>
  <si>
    <t>Services - Renting Services</t>
  </si>
  <si>
    <t>GPL</t>
  </si>
  <si>
    <t>Foods and Beverages - Processed/Packaged, foods/foods &amp; beverages products (other than poultry meat)</t>
  </si>
  <si>
    <t>Services Communication - Communication Equipment (other than mobile phone wholesaler, retailer)</t>
  </si>
  <si>
    <t>GPLIns</t>
  </si>
  <si>
    <t>Eligibility Method</t>
  </si>
  <si>
    <t>Foods and Beverages - Soft Drinks</t>
  </si>
  <si>
    <t>Services Communication - Internet Services</t>
  </si>
  <si>
    <t>Ins</t>
  </si>
  <si>
    <t>Food Processing - Bakery Products</t>
  </si>
  <si>
    <t>Services Communication - Other Communication Services (Wireless Services, FAX Services, Paper Services, Other Telephone Services, Other Communication Services)</t>
  </si>
  <si>
    <t>Gross Turnover</t>
  </si>
  <si>
    <t>Food Products - Dairy Products</t>
  </si>
  <si>
    <t>Software - ITES/ Call Centers</t>
  </si>
  <si>
    <t>Gross Receipts</t>
  </si>
  <si>
    <t>Food Products - Marine Foods</t>
  </si>
  <si>
    <t>Telecommunication Services - Cellular Phone Infrastructure</t>
  </si>
  <si>
    <t>Food Products - Milling Products</t>
  </si>
  <si>
    <t>Television Broadcasting Media - Television Broadcasting Media</t>
  </si>
  <si>
    <t>Projected EBITDA</t>
  </si>
  <si>
    <t>Food Products - Rice</t>
  </si>
  <si>
    <t>Transportation Logistics - Cargo (Cargo Handling Air &amp; Water)</t>
  </si>
  <si>
    <t>Average Banking Program</t>
  </si>
  <si>
    <t>Food Products - Soya Bean Products</t>
  </si>
  <si>
    <t>Transportation Logistics - Courier</t>
  </si>
  <si>
    <t>Mortgage Takeover</t>
  </si>
  <si>
    <t>Granite / Marbles - Granite</t>
  </si>
  <si>
    <t>Transportation Logistics - Goods Transport Services (Road)</t>
  </si>
  <si>
    <t>Low LTV</t>
  </si>
  <si>
    <t>Hardware Equipment - Office Equipment</t>
  </si>
  <si>
    <t>Transportation Logistics - Passenger Transport Services (Road)</t>
  </si>
  <si>
    <t>Pre-approved Top-up</t>
  </si>
  <si>
    <t>Healthcare - Medical Equipment &amp; Medical Supplies</t>
  </si>
  <si>
    <t>Transportation Logistics - Storage &amp; Warehousing</t>
  </si>
  <si>
    <t>CA Assessment</t>
  </si>
  <si>
    <t>Healthcare Providers - Drugs&amp;Pharmaceuticals</t>
  </si>
  <si>
    <t>Transportation Logistics - Portal</t>
  </si>
  <si>
    <t>Pure Rental Program</t>
  </si>
  <si>
    <t>Household Products - Detergents &amp; Intermediates</t>
  </si>
  <si>
    <t>LRD</t>
  </si>
  <si>
    <t>Household Products - Electronic Equipment</t>
  </si>
  <si>
    <t>Household Products - Personal Care</t>
  </si>
  <si>
    <t>Industrial Equipment - Abrasives &amp; Grinding</t>
  </si>
  <si>
    <t>Industrial Equipment - Bearings</t>
  </si>
  <si>
    <t>Industrial Equipment - Compressors</t>
  </si>
  <si>
    <t>Industrial Equipment - Electrical Equipment's/Railway Equipment</t>
  </si>
  <si>
    <t>Purchase (Direct Allotment)</t>
  </si>
  <si>
    <t>Industrial Equipment - Welding Electrodes / Sticks / Wires / Fluxes welding related only</t>
  </si>
  <si>
    <t>Resale (Seller BT)</t>
  </si>
  <si>
    <t>Industrial Equipment - Engines</t>
  </si>
  <si>
    <t>Resale (Normal)</t>
  </si>
  <si>
    <t>Industrial Equipment - Fasteners</t>
  </si>
  <si>
    <t>Balance Transfer</t>
  </si>
  <si>
    <t>Industrial Equipment - Industrial Furnaces</t>
  </si>
  <si>
    <t>Construction</t>
  </si>
  <si>
    <t>Industrial Equipment - Industrial Machinery (All Types)</t>
  </si>
  <si>
    <t>Improvement</t>
  </si>
  <si>
    <t>Industrial Equipment - Machine Tools</t>
  </si>
  <si>
    <t>Extension</t>
  </si>
  <si>
    <t>Industrial Equipment - Motors &amp; Generators</t>
  </si>
  <si>
    <t>Fresh LAP</t>
  </si>
  <si>
    <t>Industrial Equipment - Pumps</t>
  </si>
  <si>
    <t>Top-up</t>
  </si>
  <si>
    <t>Industrial Equipment - Storage Batteries</t>
  </si>
  <si>
    <t>Industrial Equipment - Structure's</t>
  </si>
  <si>
    <t>Industrial Equipment - Switching Apparatus</t>
  </si>
  <si>
    <t>Industrial Equipment - Transformers</t>
  </si>
  <si>
    <t>Jewelry - Gems &amp; Jewelry</t>
  </si>
  <si>
    <t>Metals - Aluminum&amp;Aluminum Products (Manufacturer)</t>
  </si>
  <si>
    <t>Metals - Castings &amp; Forgings</t>
  </si>
  <si>
    <t>Residential House</t>
  </si>
  <si>
    <t>Metals - Copper &amp; Copper Products (other than Wire)</t>
  </si>
  <si>
    <t>Residential Flat / Apartment</t>
  </si>
  <si>
    <t>Metals - Ferro Alloys, Ferrous Metals &amp; Pig Iron</t>
  </si>
  <si>
    <t>Residential Plot</t>
  </si>
  <si>
    <t>Metals - Other Non-metallic Mineral Products</t>
  </si>
  <si>
    <t>Commercial - Shop / Office</t>
  </si>
  <si>
    <t>Metals - Metal Products (other than Steel, Aluminum and Copper) finished metal product only</t>
  </si>
  <si>
    <t>Industrial Gala / Unit</t>
  </si>
  <si>
    <t>Metals - Metallic Ores</t>
  </si>
  <si>
    <t>Metals - Rolled Coils and Rolled Products</t>
  </si>
  <si>
    <t>Metals - Tubes and Pipes</t>
  </si>
  <si>
    <t>Usage / Proposed Usage of Property</t>
  </si>
  <si>
    <t>Metals - Wires and Cables</t>
  </si>
  <si>
    <t>Mining - Coal and Lignite</t>
  </si>
  <si>
    <t>Metals - Other Non-ferrous metals/Other non-metallic</t>
  </si>
  <si>
    <t>Mining - Minerals</t>
  </si>
  <si>
    <t>Mining - Minerals &amp; Energy Sources</t>
  </si>
  <si>
    <t>Others - Glass &amp; Glass Products</t>
  </si>
  <si>
    <t>Others - Industries not classified elsewhere (Manufacturing)</t>
  </si>
  <si>
    <t>Paints - Paints &amp; Varnishes</t>
  </si>
  <si>
    <t>Paper - Paper &amp; Paper Products</t>
  </si>
  <si>
    <t>Type of Facility</t>
  </si>
  <si>
    <t>Petroleum Products - LRD Cylinders</t>
  </si>
  <si>
    <t>Auto Loan / Car Loan - New</t>
  </si>
  <si>
    <t>Petroleum Products - Lubricants</t>
  </si>
  <si>
    <t>Others - Industries not classified elsewhere (Trading)</t>
  </si>
  <si>
    <t>Auto Loan / Car Loan - Used</t>
  </si>
  <si>
    <t>Petroleum Products - Petroleum Products</t>
  </si>
  <si>
    <t>Bank Guarantee (BG)</t>
  </si>
  <si>
    <t>Photographic &amp; Allied Products - Photographic &amp; Allied Products</t>
  </si>
  <si>
    <t>Bill Discounting (BD)</t>
  </si>
  <si>
    <t>Plastics - Plastics Films</t>
  </si>
  <si>
    <t>Business Loan</t>
  </si>
  <si>
    <t>Plastics - Plastics Packaging Goods</t>
  </si>
  <si>
    <t>Cash Credit</t>
  </si>
  <si>
    <t>Plastics - Plastics Tubes, Pipes, Fittings &amp; Sheets</t>
  </si>
  <si>
    <t>Commercial Purchase Loan</t>
  </si>
  <si>
    <t>Rubber - Rubber &amp; Rubber Products</t>
  </si>
  <si>
    <t>Commercial Vehicle Loan</t>
  </si>
  <si>
    <t>Constant OD - Secured</t>
  </si>
  <si>
    <t>Specially - Footwear</t>
  </si>
  <si>
    <t>Construction Finance (CF)</t>
  </si>
  <si>
    <t>Specially - Books, Office Suppliers &amp; Stationery</t>
  </si>
  <si>
    <t>Retail Trading - Departmental Stores</t>
  </si>
  <si>
    <t>Consumer Loan</t>
  </si>
  <si>
    <t>Specially - Clocks &amp; Watches</t>
  </si>
  <si>
    <t>Dealer Finance / Inventory Finance</t>
  </si>
  <si>
    <t>Specially - Hobby, Toys &amp; Games</t>
  </si>
  <si>
    <t>Dropline OD - Secured</t>
  </si>
  <si>
    <t>Specially - Home Furniture &amp; Finishing</t>
  </si>
  <si>
    <t>Education Loan</t>
  </si>
  <si>
    <t>Specially - Luggage &amp; Leather Goods</t>
  </si>
  <si>
    <t>Funding against Credit Card Receivables (FCCR)</t>
  </si>
  <si>
    <t>Specially - Opticians &amp; Optical Instruments</t>
  </si>
  <si>
    <t>Gold Loan</t>
  </si>
  <si>
    <t>Specially - Pens and Pencils</t>
  </si>
  <si>
    <t>Specially - Sports Goods</t>
  </si>
  <si>
    <t>Specially - Wood and Wood Products / Sports Goods</t>
  </si>
  <si>
    <t>Housing Loan</t>
  </si>
  <si>
    <t>Textiles - Blankets &amp; Carpets</t>
  </si>
  <si>
    <t>Industrial Loan</t>
  </si>
  <si>
    <t>Textiles - Blended Yarn</t>
  </si>
  <si>
    <t>Textiles - Jute</t>
  </si>
  <si>
    <t>Lease Rental Discounting (LRD)</t>
  </si>
  <si>
    <t>Textiles - Readymade Garments</t>
  </si>
  <si>
    <t>Letter of Credit (LC)</t>
  </si>
  <si>
    <t>Textiles - Textiles - Cotton</t>
  </si>
  <si>
    <t>Loan for Insurance</t>
  </si>
  <si>
    <t>Textiles - Textiles - Silk</t>
  </si>
  <si>
    <t>Loans against Shares / Securities</t>
  </si>
  <si>
    <t>Textiles - Textiles - Synthetic</t>
  </si>
  <si>
    <t>Machinery Loan</t>
  </si>
  <si>
    <t>Textiles - Textiles - Specialized (other than Cotton, Jute &amp; Yarn, Silk and Synthetic)</t>
  </si>
  <si>
    <t>Other Loan</t>
  </si>
  <si>
    <t>Textiles - Woolen Textiles</t>
  </si>
  <si>
    <t>Packing Credit</t>
  </si>
  <si>
    <t>Personal Loan</t>
  </si>
  <si>
    <t>Two-wheeler Loan</t>
  </si>
  <si>
    <t>Unsecured OD</t>
  </si>
  <si>
    <t>Working Capital Term Loan (WCTL)</t>
  </si>
  <si>
    <t>Bank A/c Type</t>
  </si>
  <si>
    <t>Current</t>
  </si>
  <si>
    <t>Overdraft (OD)</t>
  </si>
  <si>
    <t>Cash Credit (CC)</t>
  </si>
  <si>
    <t>Kanhaiya Bhartiya</t>
  </si>
  <si>
    <t>Graduate</t>
  </si>
  <si>
    <t xml:space="preserve">Resi-cum-Office Setup  </t>
  </si>
  <si>
    <t>Self-Owned</t>
  </si>
  <si>
    <t>Intensive</t>
  </si>
  <si>
    <t>Non - 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</si>
</sst>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dd/mmm/yyyy"/>
    <numFmt numFmtId="165" formatCode="_ * #,##0_ ;_ * \-#,##0_ ;_ * &quot;-&quot;_ ;_ @_ "/>
    <numFmt numFmtId="166" formatCode="0.00_);[Red]\(0.00\)"/>
    <numFmt numFmtId="167" formatCode="#,##0.00\ ;&quot; (&quot;#,##0.00\);&quot; -&quot;#\ ;@\ "/>
    <numFmt numFmtId="168" formatCode="[$-409]d/mmm/yy;@"/>
    <numFmt numFmtId="169" formatCode="0.00_);\(0.00\)"/>
    <numFmt numFmtId="170" formatCode="_(* #,##0.00_);_(* \(#,##0.00\);_(* \-??_);_(@_)"/>
    <numFmt numFmtId="171" formatCode="[$-409]mmm/yy;@"/>
    <numFmt numFmtId="172" formatCode="0.000000"/>
    <numFmt numFmtId="173" formatCode="_ * #,##0.00_ ;_ * \-#,##0.00_ ;_ * &quot;-&quot;??_ ;_ @_ "/>
    <numFmt numFmtId="174" formatCode="mmm/yyyy"/>
    <numFmt numFmtId="175" formatCode="_(* #,##0_);_(* \(#,##0\);_(* &quot;-&quot;??_);_(@_)"/>
    <numFmt numFmtId="176" formatCode="_(* #,##0_);_(* \(#,##0\);_(* \-??_);_(@_)"/>
    <numFmt numFmtId="177" formatCode="[$-409]#,##0_);[Red]\(#,##0\)"/>
    <numFmt numFmtId="178" formatCode="[$-409]mmm/yy"/>
  </numFmts>
  <fonts count="4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i/>
      <sz val="10"/>
      <name val="Arial"/>
      <charset val="134"/>
    </font>
    <font>
      <b/>
      <i/>
      <sz val="10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scheme val="minor"/>
    </font>
    <font>
      <sz val="10"/>
      <name val="Trebuchet MS"/>
      <charset val="134"/>
    </font>
    <font>
      <sz val="10"/>
      <name val="Calibri"/>
      <charset val="1"/>
    </font>
    <font>
      <b/>
      <i/>
      <sz val="8"/>
      <name val="Calibri"/>
      <charset val="134"/>
      <scheme val="minor"/>
    </font>
    <font>
      <b/>
      <u/>
      <sz val="1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u/>
      <sz val="14"/>
      <color theme="0"/>
      <name val="Calibri"/>
      <charset val="134"/>
      <scheme val="minor"/>
    </font>
    <font>
      <sz val="10"/>
      <color rgb="FF000000"/>
      <name val="Calibri"/>
      <charset val="1"/>
    </font>
    <font>
      <sz val="9"/>
      <color theme="1"/>
      <name val="Arial"/>
      <charset val="134"/>
    </font>
    <font>
      <sz val="9"/>
      <color rgb="FFFF0000"/>
      <name val="Arial"/>
      <charset val="134"/>
    </font>
    <font>
      <b/>
      <sz val="9"/>
      <color theme="0"/>
      <name val="Arial"/>
      <charset val="134"/>
    </font>
    <font>
      <b/>
      <sz val="9"/>
      <color theme="1"/>
      <name val="Arial"/>
      <charset val="134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scheme val="minor"/>
    </font>
    <font>
      <b/>
      <sz val="9"/>
      <color theme="1"/>
      <name val="Calibri"/>
      <charset val="134"/>
      <scheme val="minor"/>
    </font>
    <font>
      <b/>
      <sz val="10"/>
      <name val="Times New Roman"/>
      <charset val="134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FF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theme="0" tint="-4.9989318521683403E-2"/>
      <name val="Calibri"/>
      <charset val="134"/>
      <scheme val="minor"/>
    </font>
    <font>
      <b/>
      <sz val="10"/>
      <color theme="0" tint="-4.9989318521683403E-2"/>
      <name val="Calibri"/>
      <charset val="134"/>
      <scheme val="minor"/>
    </font>
    <font>
      <sz val="10"/>
      <name val="Arial"/>
      <charset val="134"/>
    </font>
    <font>
      <b/>
      <sz val="10"/>
      <color indexed="1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9" tint="0.79995117038483843"/>
        <bgColor indexed="2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/>
        <bgColor indexed="2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2F0D9"/>
        <bgColor rgb="FFE7E6E6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theme="2"/>
        <bgColor indexed="22"/>
      </patternFill>
    </fill>
    <fill>
      <patternFill patternType="solid">
        <fgColor theme="2"/>
        <bgColor indexed="41"/>
      </patternFill>
    </fill>
    <fill>
      <patternFill patternType="solid">
        <fgColor theme="5" tint="0.59999389629810485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theme="9" tint="0.79995117038483843"/>
        <bgColor indexed="22"/>
      </patternFill>
    </fill>
    <fill>
      <patternFill patternType="solid">
        <fgColor theme="9" tint="0.79995117038483843"/>
        <bgColor indexed="41"/>
      </patternFill>
    </fill>
    <fill>
      <patternFill patternType="solid">
        <fgColor theme="9" tint="0.79995117038483843"/>
        <bgColor indexed="27"/>
      </patternFill>
    </fill>
    <fill>
      <patternFill patternType="solid">
        <fgColor theme="4" tint="0.79995117038483843"/>
        <bgColor indexed="41"/>
      </patternFill>
    </fill>
    <fill>
      <patternFill patternType="solid">
        <fgColor theme="2"/>
        <bgColor indexed="2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167" fontId="36" fillId="0" borderId="0" applyFill="0" applyBorder="0" applyAlignment="0" applyProtection="0"/>
    <xf numFmtId="0" fontId="13" fillId="0" borderId="0"/>
  </cellStyleXfs>
  <cellXfs count="56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41" fontId="1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0" fontId="1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41" fontId="1" fillId="0" borderId="1" xfId="0" applyNumberFormat="1" applyFont="1" applyBorder="1" applyAlignment="1">
      <alignment vertical="top" wrapText="1"/>
    </xf>
    <xf numFmtId="41" fontId="2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0" fontId="2" fillId="3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41" fontId="2" fillId="4" borderId="1" xfId="0" applyNumberFormat="1" applyFont="1" applyFill="1" applyBorder="1" applyAlignment="1">
      <alignment vertical="top" wrapText="1"/>
    </xf>
    <xf numFmtId="10" fontId="4" fillId="0" borderId="0" xfId="0" applyNumberFormat="1" applyFont="1" applyAlignment="1">
      <alignment vertical="top" wrapText="1"/>
    </xf>
    <xf numFmtId="43" fontId="1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8" borderId="0" xfId="0" applyFill="1"/>
    <xf numFmtId="0" fontId="0" fillId="9" borderId="0" xfId="0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top" wrapText="1"/>
    </xf>
    <xf numFmtId="0" fontId="6" fillId="1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6" borderId="1" xfId="0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13" borderId="0" xfId="0" applyFill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 applyProtection="1">
      <alignment vertical="top" wrapText="1"/>
      <protection locked="0"/>
    </xf>
    <xf numFmtId="0" fontId="8" fillId="4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0" fillId="16" borderId="6" xfId="1" applyNumberFormat="1" applyFont="1" applyFill="1" applyBorder="1" applyAlignment="1" applyProtection="1">
      <alignment horizontal="left" vertical="top" wrapText="1"/>
    </xf>
    <xf numFmtId="0" fontId="10" fillId="16" borderId="6" xfId="1" applyNumberFormat="1" applyFont="1" applyFill="1" applyBorder="1" applyAlignment="1" applyProtection="1">
      <alignment horizontal="center" vertical="top" wrapText="1"/>
    </xf>
    <xf numFmtId="0" fontId="10" fillId="16" borderId="6" xfId="0" applyFont="1" applyFill="1" applyBorder="1" applyAlignment="1">
      <alignment horizontal="center" vertical="top" wrapText="1"/>
    </xf>
    <xf numFmtId="0" fontId="10" fillId="16" borderId="7" xfId="0" applyFont="1" applyFill="1" applyBorder="1" applyAlignment="1">
      <alignment horizontal="center" vertical="top" wrapText="1"/>
    </xf>
    <xf numFmtId="0" fontId="10" fillId="17" borderId="1" xfId="0" applyFont="1" applyFill="1" applyBorder="1" applyAlignment="1">
      <alignment horizontal="center" vertical="top" wrapText="1"/>
    </xf>
    <xf numFmtId="0" fontId="11" fillId="17" borderId="8" xfId="1" applyNumberFormat="1" applyFont="1" applyFill="1" applyBorder="1" applyAlignment="1" applyProtection="1">
      <alignment vertical="top" wrapText="1"/>
    </xf>
    <xf numFmtId="43" fontId="11" fillId="18" borderId="7" xfId="6" applyFont="1" applyFill="1" applyBorder="1" applyAlignment="1" applyProtection="1">
      <alignment horizontal="right" vertical="top" wrapText="1"/>
      <protection locked="0"/>
    </xf>
    <xf numFmtId="43" fontId="11" fillId="18" borderId="6" xfId="6" applyFont="1" applyFill="1" applyBorder="1" applyAlignment="1" applyProtection="1">
      <alignment horizontal="right" vertical="top" wrapText="1"/>
      <protection locked="0"/>
    </xf>
    <xf numFmtId="9" fontId="11" fillId="17" borderId="1" xfId="2" applyFont="1" applyFill="1" applyBorder="1" applyAlignment="1" applyProtection="1">
      <alignment horizontal="center" vertical="top" wrapText="1"/>
    </xf>
    <xf numFmtId="43" fontId="11" fillId="18" borderId="6" xfId="6" applyFont="1" applyFill="1" applyBorder="1" applyAlignment="1" applyProtection="1">
      <alignment horizontal="center" vertical="center" wrapText="1"/>
      <protection locked="0"/>
    </xf>
    <xf numFmtId="43" fontId="11" fillId="16" borderId="6" xfId="1" applyFont="1" applyFill="1" applyBorder="1" applyAlignment="1" applyProtection="1">
      <alignment horizontal="right" vertical="top" wrapText="1"/>
    </xf>
    <xf numFmtId="9" fontId="11" fillId="19" borderId="1" xfId="2" applyFont="1" applyFill="1" applyBorder="1" applyAlignment="1" applyProtection="1">
      <alignment horizontal="center" vertical="top" wrapText="1"/>
    </xf>
    <xf numFmtId="0" fontId="11" fillId="0" borderId="6" xfId="1" applyNumberFormat="1" applyFont="1" applyBorder="1" applyAlignment="1" applyProtection="1">
      <alignment horizontal="left" vertical="top" wrapText="1"/>
    </xf>
    <xf numFmtId="43" fontId="11" fillId="20" borderId="6" xfId="6" applyFont="1" applyFill="1" applyBorder="1" applyAlignment="1" applyProtection="1">
      <alignment horizontal="right" vertical="top" wrapText="1"/>
    </xf>
    <xf numFmtId="0" fontId="11" fillId="0" borderId="6" xfId="1" applyNumberFormat="1" applyFont="1" applyFill="1" applyBorder="1" applyAlignment="1" applyProtection="1">
      <alignment horizontal="left" vertical="top" wrapText="1"/>
    </xf>
    <xf numFmtId="0" fontId="11" fillId="0" borderId="7" xfId="0" applyFont="1" applyBorder="1" applyAlignment="1">
      <alignment vertical="top" wrapText="1"/>
    </xf>
    <xf numFmtId="0" fontId="11" fillId="17" borderId="1" xfId="2" applyNumberFormat="1" applyFont="1" applyFill="1" applyBorder="1" applyAlignment="1" applyProtection="1">
      <alignment vertical="top" wrapText="1"/>
    </xf>
    <xf numFmtId="39" fontId="10" fillId="16" borderId="6" xfId="0" applyNumberFormat="1" applyFont="1" applyFill="1" applyBorder="1" applyAlignment="1">
      <alignment horizontal="center" vertical="top" wrapText="1"/>
    </xf>
    <xf numFmtId="39" fontId="10" fillId="16" borderId="7" xfId="0" applyNumberFormat="1" applyFont="1" applyFill="1" applyBorder="1" applyAlignment="1">
      <alignment horizontal="center" vertical="top" wrapText="1"/>
    </xf>
    <xf numFmtId="43" fontId="11" fillId="0" borderId="7" xfId="1" applyFont="1" applyBorder="1" applyAlignment="1" applyProtection="1">
      <alignment horizontal="left" vertical="top" wrapText="1"/>
      <protection locked="0"/>
    </xf>
    <xf numFmtId="43" fontId="11" fillId="0" borderId="6" xfId="1" applyFont="1" applyFill="1" applyBorder="1" applyAlignment="1" applyProtection="1">
      <alignment horizontal="left" vertical="top" wrapText="1"/>
      <protection locked="0"/>
    </xf>
    <xf numFmtId="43" fontId="11" fillId="0" borderId="6" xfId="1" applyFont="1" applyBorder="1" applyAlignment="1" applyProtection="1">
      <alignment horizontal="left" vertical="top" wrapText="1"/>
      <protection locked="0"/>
    </xf>
    <xf numFmtId="43" fontId="11" fillId="0" borderId="6" xfId="6" applyFont="1" applyFill="1" applyBorder="1" applyAlignment="1" applyProtection="1">
      <alignment horizontal="right" vertical="top" wrapText="1"/>
    </xf>
    <xf numFmtId="43" fontId="11" fillId="0" borderId="7" xfId="1" applyFont="1" applyBorder="1" applyAlignment="1" applyProtection="1">
      <alignment horizontal="right" vertical="top" wrapText="1"/>
      <protection locked="0"/>
    </xf>
    <xf numFmtId="43" fontId="11" fillId="0" borderId="6" xfId="1" applyFont="1" applyBorder="1" applyAlignment="1" applyProtection="1">
      <alignment horizontal="right" vertical="top" wrapText="1"/>
      <protection locked="0"/>
    </xf>
    <xf numFmtId="0" fontId="11" fillId="0" borderId="6" xfId="1" applyNumberFormat="1" applyFont="1" applyFill="1" applyBorder="1" applyAlignment="1" applyProtection="1">
      <alignment vertical="top" wrapText="1"/>
    </xf>
    <xf numFmtId="43" fontId="11" fillId="0" borderId="6" xfId="1" applyFont="1" applyFill="1" applyBorder="1" applyAlignment="1" applyProtection="1">
      <alignment vertical="top" wrapText="1"/>
      <protection locked="0"/>
    </xf>
    <xf numFmtId="39" fontId="10" fillId="0" borderId="0" xfId="0" applyNumberFormat="1" applyFont="1" applyAlignment="1" applyProtection="1">
      <alignment vertical="top" wrapText="1"/>
      <protection locked="0"/>
    </xf>
    <xf numFmtId="0" fontId="10" fillId="16" borderId="6" xfId="1" applyNumberFormat="1" applyFont="1" applyFill="1" applyBorder="1" applyAlignment="1" applyProtection="1">
      <alignment vertical="top" wrapText="1"/>
    </xf>
    <xf numFmtId="10" fontId="11" fillId="16" borderId="6" xfId="2" applyNumberFormat="1" applyFont="1" applyFill="1" applyBorder="1" applyAlignment="1" applyProtection="1">
      <alignment horizontal="right" vertical="top" wrapText="1"/>
    </xf>
    <xf numFmtId="0" fontId="11" fillId="0" borderId="0" xfId="0" applyFont="1" applyAlignment="1" applyProtection="1">
      <alignment vertical="top" wrapText="1"/>
      <protection locked="0"/>
    </xf>
    <xf numFmtId="0" fontId="11" fillId="17" borderId="8" xfId="1" applyNumberFormat="1" applyFont="1" applyFill="1" applyBorder="1" applyAlignment="1" applyProtection="1">
      <alignment vertical="center" wrapText="1"/>
    </xf>
    <xf numFmtId="169" fontId="13" fillId="5" borderId="1" xfId="8" applyNumberFormat="1" applyFill="1" applyBorder="1" applyAlignment="1" applyProtection="1">
      <alignment horizontal="center" vertical="center"/>
      <protection locked="0"/>
    </xf>
    <xf numFmtId="170" fontId="14" fillId="22" borderId="1" xfId="6" applyNumberFormat="1" applyFont="1" applyFill="1" applyBorder="1" applyAlignment="1" applyProtection="1">
      <alignment horizontal="center" vertical="center" wrapText="1"/>
      <protection locked="0"/>
    </xf>
    <xf numFmtId="9" fontId="11" fillId="17" borderId="1" xfId="2" applyFont="1" applyFill="1" applyBorder="1" applyAlignment="1" applyProtection="1">
      <alignment horizontal="center" vertical="center" wrapText="1"/>
    </xf>
    <xf numFmtId="170" fontId="14" fillId="22" borderId="1" xfId="6" applyNumberFormat="1" applyFont="1" applyFill="1" applyBorder="1" applyAlignment="1" applyProtection="1">
      <alignment horizontal="right" vertical="top" wrapText="1"/>
      <protection locked="0"/>
    </xf>
    <xf numFmtId="43" fontId="11" fillId="0" borderId="6" xfId="1" applyNumberFormat="1" applyFont="1" applyFill="1" applyBorder="1" applyAlignment="1" applyProtection="1">
      <alignment vertical="top" wrapText="1"/>
      <protection locked="0"/>
    </xf>
    <xf numFmtId="0" fontId="10" fillId="0" borderId="0" xfId="3" applyFont="1" applyAlignment="1">
      <alignment vertical="top" wrapText="1"/>
    </xf>
    <xf numFmtId="0" fontId="11" fillId="0" borderId="0" xfId="3" applyFont="1" applyAlignment="1">
      <alignment vertical="top" wrapText="1"/>
    </xf>
    <xf numFmtId="0" fontId="10" fillId="0" borderId="1" xfId="3" applyFont="1" applyBorder="1" applyAlignment="1">
      <alignment vertical="top" wrapText="1"/>
    </xf>
    <xf numFmtId="0" fontId="10" fillId="23" borderId="1" xfId="3" applyFont="1" applyFill="1" applyBorder="1" applyAlignment="1">
      <alignment horizontal="center" vertical="top" wrapText="1"/>
    </xf>
    <xf numFmtId="171" fontId="10" fillId="23" borderId="1" xfId="3" applyNumberFormat="1" applyFont="1" applyFill="1" applyBorder="1" applyAlignment="1">
      <alignment horizontal="center" vertical="top" wrapText="1"/>
    </xf>
    <xf numFmtId="0" fontId="11" fillId="0" borderId="1" xfId="3" applyFont="1" applyBorder="1" applyAlignment="1">
      <alignment vertical="top" wrapText="1"/>
    </xf>
    <xf numFmtId="0" fontId="16" fillId="0" borderId="1" xfId="3" applyFont="1" applyBorder="1" applyAlignment="1">
      <alignment vertical="top" wrapText="1"/>
    </xf>
    <xf numFmtId="171" fontId="11" fillId="0" borderId="1" xfId="3" applyNumberFormat="1" applyFont="1" applyBorder="1" applyAlignment="1">
      <alignment vertical="top" wrapText="1"/>
    </xf>
    <xf numFmtId="166" fontId="11" fillId="0" borderId="1" xfId="3" applyNumberFormat="1" applyFont="1" applyBorder="1" applyAlignment="1">
      <alignment vertical="top" wrapText="1"/>
    </xf>
    <xf numFmtId="166" fontId="10" fillId="0" borderId="1" xfId="3" applyNumberFormat="1" applyFont="1" applyBorder="1" applyAlignment="1">
      <alignment vertical="top" wrapText="1"/>
    </xf>
    <xf numFmtId="40" fontId="11" fillId="0" borderId="1" xfId="7" applyNumberFormat="1" applyFont="1" applyFill="1" applyBorder="1" applyAlignment="1" applyProtection="1">
      <alignment vertical="top" wrapText="1"/>
    </xf>
    <xf numFmtId="0" fontId="10" fillId="23" borderId="1" xfId="3" applyFont="1" applyFill="1" applyBorder="1" applyAlignment="1">
      <alignment vertical="top" wrapText="1"/>
    </xf>
    <xf numFmtId="2" fontId="10" fillId="23" borderId="1" xfId="3" applyNumberFormat="1" applyFont="1" applyFill="1" applyBorder="1" applyAlignment="1">
      <alignment vertical="top" wrapText="1"/>
    </xf>
    <xf numFmtId="166" fontId="10" fillId="24" borderId="1" xfId="3" applyNumberFormat="1" applyFont="1" applyFill="1" applyBorder="1" applyAlignment="1">
      <alignment vertical="top" wrapText="1"/>
    </xf>
    <xf numFmtId="166" fontId="11" fillId="0" borderId="0" xfId="3" applyNumberFormat="1" applyFont="1" applyAlignment="1">
      <alignment vertical="top" wrapText="1"/>
    </xf>
    <xf numFmtId="0" fontId="10" fillId="25" borderId="1" xfId="5" applyFont="1" applyFill="1" applyBorder="1" applyAlignment="1">
      <alignment horizontal="center" vertical="top" wrapText="1"/>
    </xf>
    <xf numFmtId="0" fontId="10" fillId="23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2" fontId="11" fillId="0" borderId="1" xfId="0" applyNumberFormat="1" applyFont="1" applyBorder="1" applyAlignment="1">
      <alignment vertical="top" wrapText="1"/>
    </xf>
    <xf numFmtId="0" fontId="11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center" vertical="top" wrapText="1"/>
    </xf>
    <xf numFmtId="10" fontId="11" fillId="0" borderId="1" xfId="0" applyNumberFormat="1" applyFont="1" applyBorder="1" applyAlignment="1">
      <alignment vertical="top" wrapText="1"/>
    </xf>
    <xf numFmtId="2" fontId="11" fillId="0" borderId="1" xfId="5" applyNumberFormat="1" applyFont="1" applyBorder="1" applyAlignment="1">
      <alignment vertical="top" wrapText="1"/>
    </xf>
    <xf numFmtId="10" fontId="11" fillId="0" borderId="1" xfId="5" applyNumberFormat="1" applyFont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1" fillId="6" borderId="1" xfId="5" applyFont="1" applyFill="1" applyBorder="1" applyAlignment="1">
      <alignment vertical="top" wrapText="1"/>
    </xf>
    <xf numFmtId="2" fontId="11" fillId="6" borderId="1" xfId="5" applyNumberFormat="1" applyFont="1" applyFill="1" applyBorder="1" applyAlignment="1">
      <alignment vertical="top" wrapText="1"/>
    </xf>
    <xf numFmtId="39" fontId="11" fillId="0" borderId="1" xfId="0" applyNumberFormat="1" applyFont="1" applyBorder="1" applyAlignment="1">
      <alignment vertical="top" wrapText="1"/>
    </xf>
    <xf numFmtId="43" fontId="11" fillId="0" borderId="7" xfId="6" applyFont="1" applyFill="1" applyBorder="1" applyAlignment="1" applyProtection="1">
      <alignment horizontal="right" vertical="top" wrapText="1"/>
    </xf>
    <xf numFmtId="8" fontId="1" fillId="0" borderId="0" xfId="0" applyNumberFormat="1" applyFont="1" applyAlignment="1">
      <alignment vertical="top" wrapText="1"/>
    </xf>
    <xf numFmtId="172" fontId="1" fillId="0" borderId="0" xfId="0" applyNumberFormat="1" applyFont="1" applyAlignment="1">
      <alignment vertical="top" wrapText="1"/>
    </xf>
    <xf numFmtId="43" fontId="11" fillId="16" borderId="7" xfId="1" applyFont="1" applyFill="1" applyBorder="1" applyAlignment="1" applyProtection="1">
      <alignment horizontal="right" vertical="top" wrapText="1"/>
    </xf>
    <xf numFmtId="39" fontId="10" fillId="16" borderId="6" xfId="1" applyNumberFormat="1" applyFont="1" applyFill="1" applyBorder="1" applyAlignment="1" applyProtection="1">
      <alignment horizontal="center" vertical="top" wrapText="1"/>
    </xf>
    <xf numFmtId="43" fontId="11" fillId="0" borderId="6" xfId="1" applyFont="1" applyFill="1" applyBorder="1" applyAlignment="1" applyProtection="1">
      <alignment horizontal="left" vertical="top" wrapText="1"/>
    </xf>
    <xf numFmtId="43" fontId="11" fillId="0" borderId="6" xfId="1" applyFont="1" applyBorder="1" applyAlignment="1" applyProtection="1">
      <alignment horizontal="left" vertical="top" wrapText="1"/>
    </xf>
    <xf numFmtId="43" fontId="11" fillId="0" borderId="7" xfId="1" applyFont="1" applyBorder="1" applyAlignment="1" applyProtection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top" wrapText="1"/>
    </xf>
    <xf numFmtId="43" fontId="11" fillId="0" borderId="0" xfId="1" applyFont="1" applyFill="1" applyBorder="1" applyAlignment="1" applyProtection="1">
      <alignment horizontal="left" vertical="top" wrapText="1"/>
    </xf>
    <xf numFmtId="0" fontId="11" fillId="0" borderId="0" xfId="0" applyFont="1" applyAlignment="1">
      <alignment horizontal="center" vertical="top"/>
    </xf>
    <xf numFmtId="43" fontId="1" fillId="0" borderId="0" xfId="1" applyFont="1" applyFill="1" applyBorder="1" applyAlignment="1" applyProtection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3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3" fontId="2" fillId="0" borderId="1" xfId="0" applyNumberFormat="1" applyFont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43" fontId="11" fillId="0" borderId="6" xfId="1" applyFont="1" applyBorder="1" applyAlignment="1" applyProtection="1">
      <alignment horizontal="right" vertical="top" wrapText="1"/>
    </xf>
    <xf numFmtId="43" fontId="11" fillId="0" borderId="7" xfId="1" applyFont="1" applyBorder="1" applyAlignment="1" applyProtection="1">
      <alignment horizontal="right" vertical="top" wrapText="1"/>
    </xf>
    <xf numFmtId="43" fontId="11" fillId="0" borderId="6" xfId="1" applyFont="1" applyFill="1" applyBorder="1" applyAlignment="1" applyProtection="1">
      <alignment vertical="top" wrapText="1"/>
    </xf>
    <xf numFmtId="43" fontId="10" fillId="0" borderId="6" xfId="1" applyFont="1" applyFill="1" applyBorder="1" applyAlignment="1" applyProtection="1">
      <alignment horizontal="right" vertical="top" wrapText="1"/>
    </xf>
    <xf numFmtId="39" fontId="10" fillId="0" borderId="0" xfId="0" applyNumberFormat="1" applyFont="1" applyAlignment="1">
      <alignment vertical="top" wrapText="1"/>
    </xf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2" fillId="3" borderId="1" xfId="0" applyFont="1" applyFill="1" applyBorder="1" applyAlignment="1">
      <alignment horizontal="center" vertical="top" wrapText="1"/>
    </xf>
    <xf numFmtId="41" fontId="1" fillId="3" borderId="11" xfId="0" applyNumberFormat="1" applyFont="1" applyFill="1" applyBorder="1" applyAlignment="1">
      <alignment vertical="top" wrapText="1"/>
    </xf>
    <xf numFmtId="41" fontId="1" fillId="3" borderId="12" xfId="0" applyNumberFormat="1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10" fillId="16" borderId="13" xfId="1" applyNumberFormat="1" applyFont="1" applyFill="1" applyBorder="1" applyAlignment="1" applyProtection="1">
      <alignment horizontal="center" vertical="top" wrapText="1"/>
    </xf>
    <xf numFmtId="0" fontId="10" fillId="16" borderId="13" xfId="0" applyFont="1" applyFill="1" applyBorder="1" applyAlignment="1">
      <alignment horizontal="center" vertical="top" wrapText="1"/>
    </xf>
    <xf numFmtId="0" fontId="10" fillId="16" borderId="14" xfId="0" applyFont="1" applyFill="1" applyBorder="1" applyAlignment="1">
      <alignment horizontal="center" vertical="top" wrapText="1"/>
    </xf>
    <xf numFmtId="0" fontId="10" fillId="28" borderId="15" xfId="1" applyNumberFormat="1" applyFont="1" applyFill="1" applyBorder="1" applyAlignment="1" applyProtection="1">
      <alignment horizontal="left" vertical="top" wrapText="1"/>
    </xf>
    <xf numFmtId="0" fontId="10" fillId="17" borderId="10" xfId="0" applyFont="1" applyFill="1" applyBorder="1" applyAlignment="1">
      <alignment horizontal="center" vertical="top" wrapText="1"/>
    </xf>
    <xf numFmtId="0" fontId="11" fillId="17" borderId="16" xfId="1" applyNumberFormat="1" applyFont="1" applyFill="1" applyBorder="1" applyAlignment="1" applyProtection="1">
      <alignment vertical="center" wrapText="1"/>
    </xf>
    <xf numFmtId="169" fontId="13" fillId="5" borderId="12" xfId="8" applyNumberFormat="1" applyFill="1" applyBorder="1" applyAlignment="1" applyProtection="1">
      <alignment horizontal="center" vertical="center"/>
      <protection locked="0"/>
    </xf>
    <xf numFmtId="43" fontId="11" fillId="18" borderId="17" xfId="6" applyFont="1" applyFill="1" applyBorder="1" applyAlignment="1" applyProtection="1">
      <alignment horizontal="center" vertical="center" wrapText="1"/>
      <protection locked="0"/>
    </xf>
    <xf numFmtId="9" fontId="11" fillId="17" borderId="10" xfId="2" applyFont="1" applyFill="1" applyBorder="1" applyAlignment="1" applyProtection="1">
      <alignment horizontal="center" vertical="center" wrapText="1"/>
    </xf>
    <xf numFmtId="0" fontId="11" fillId="17" borderId="1" xfId="1" applyNumberFormat="1" applyFont="1" applyFill="1" applyBorder="1" applyAlignment="1" applyProtection="1">
      <alignment vertical="center" wrapText="1"/>
    </xf>
    <xf numFmtId="43" fontId="11" fillId="18" borderId="1" xfId="6" applyFont="1" applyFill="1" applyBorder="1" applyAlignment="1" applyProtection="1">
      <alignment horizontal="center" vertical="center" wrapText="1"/>
      <protection locked="0"/>
    </xf>
    <xf numFmtId="0" fontId="11" fillId="17" borderId="18" xfId="1" applyNumberFormat="1" applyFont="1" applyFill="1" applyBorder="1" applyAlignment="1" applyProtection="1">
      <alignment vertical="center" wrapText="1"/>
    </xf>
    <xf numFmtId="43" fontId="11" fillId="18" borderId="19" xfId="6" applyFont="1" applyFill="1" applyBorder="1" applyAlignment="1" applyProtection="1">
      <alignment horizontal="center" vertical="center" wrapText="1"/>
      <protection locked="0"/>
    </xf>
    <xf numFmtId="9" fontId="11" fillId="17" borderId="11" xfId="2" applyFont="1" applyFill="1" applyBorder="1" applyAlignment="1" applyProtection="1">
      <alignment horizontal="center" vertical="center" wrapText="1"/>
    </xf>
    <xf numFmtId="2" fontId="11" fillId="16" borderId="6" xfId="2" applyNumberFormat="1" applyFont="1" applyFill="1" applyBorder="1" applyAlignment="1" applyProtection="1">
      <alignment horizontal="right" vertical="top" wrapText="1"/>
    </xf>
    <xf numFmtId="2" fontId="11" fillId="16" borderId="6" xfId="1" applyNumberFormat="1" applyFont="1" applyFill="1" applyBorder="1" applyAlignment="1" applyProtection="1">
      <alignment horizontal="right" vertical="top" wrapText="1"/>
    </xf>
    <xf numFmtId="10" fontId="11" fillId="16" borderId="6" xfId="1" applyNumberFormat="1" applyFont="1" applyFill="1" applyBorder="1" applyAlignment="1" applyProtection="1">
      <alignment horizontal="right" vertical="top" wrapText="1"/>
    </xf>
    <xf numFmtId="0" fontId="2" fillId="29" borderId="1" xfId="0" applyFont="1" applyFill="1" applyBorder="1" applyAlignment="1">
      <alignment vertical="top" wrapText="1"/>
    </xf>
    <xf numFmtId="0" fontId="2" fillId="29" borderId="1" xfId="0" applyFont="1" applyFill="1" applyBorder="1" applyAlignment="1">
      <alignment horizontal="center" vertical="top" wrapText="1"/>
    </xf>
    <xf numFmtId="0" fontId="2" fillId="27" borderId="1" xfId="0" applyFont="1" applyFill="1" applyBorder="1" applyAlignment="1">
      <alignment vertical="top" wrapText="1"/>
    </xf>
    <xf numFmtId="173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17" borderId="20" xfId="1" applyNumberFormat="1" applyFont="1" applyFill="1" applyBorder="1" applyAlignment="1" applyProtection="1">
      <alignment vertical="center" wrapText="1"/>
    </xf>
    <xf numFmtId="43" fontId="11" fillId="0" borderId="19" xfId="6" applyFont="1" applyFill="1" applyBorder="1" applyAlignment="1" applyProtection="1">
      <alignment horizontal="center" vertical="center" wrapText="1"/>
    </xf>
    <xf numFmtId="0" fontId="11" fillId="17" borderId="2" xfId="1" applyNumberFormat="1" applyFont="1" applyFill="1" applyBorder="1" applyAlignment="1" applyProtection="1">
      <alignment vertical="center" wrapText="1"/>
    </xf>
    <xf numFmtId="43" fontId="11" fillId="16" borderId="19" xfId="1" applyFont="1" applyFill="1" applyBorder="1" applyAlignment="1" applyProtection="1">
      <alignment horizontal="righ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17" fillId="0" borderId="0" xfId="0" applyFont="1" applyAlignment="1">
      <alignment horizontal="center" vertical="top" wrapText="1"/>
    </xf>
    <xf numFmtId="165" fontId="1" fillId="0" borderId="1" xfId="0" applyNumberFormat="1" applyFont="1" applyBorder="1" applyAlignment="1">
      <alignment vertical="top" wrapText="1"/>
    </xf>
    <xf numFmtId="0" fontId="2" fillId="30" borderId="1" xfId="0" applyFont="1" applyFill="1" applyBorder="1" applyAlignment="1">
      <alignment horizontal="center" vertical="top" wrapText="1"/>
    </xf>
    <xf numFmtId="165" fontId="2" fillId="3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Border="1" applyAlignment="1">
      <alignment vertical="top" wrapText="1"/>
    </xf>
    <xf numFmtId="0" fontId="1" fillId="5" borderId="1" xfId="0" applyFont="1" applyFill="1" applyBorder="1" applyAlignment="1" applyProtection="1">
      <alignment horizontal="center" vertical="top" wrapText="1"/>
      <protection locked="0"/>
    </xf>
    <xf numFmtId="165" fontId="1" fillId="0" borderId="1" xfId="0" applyNumberFormat="1" applyFont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horizontal="center" vertical="top" wrapText="1"/>
    </xf>
    <xf numFmtId="0" fontId="1" fillId="30" borderId="1" xfId="0" applyFont="1" applyFill="1" applyBorder="1" applyAlignment="1">
      <alignment vertical="top" wrapText="1"/>
    </xf>
    <xf numFmtId="10" fontId="2" fillId="30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165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wrapText="1"/>
    </xf>
    <xf numFmtId="165" fontId="1" fillId="5" borderId="1" xfId="0" applyNumberFormat="1" applyFont="1" applyFill="1" applyBorder="1" applyAlignment="1" applyProtection="1">
      <alignment wrapText="1"/>
      <protection locked="0"/>
    </xf>
    <xf numFmtId="10" fontId="1" fillId="30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3" fontId="1" fillId="5" borderId="1" xfId="0" applyNumberFormat="1" applyFont="1" applyFill="1" applyBorder="1" applyAlignment="1" applyProtection="1">
      <alignment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0" fillId="12" borderId="1" xfId="0" applyFont="1" applyFill="1" applyBorder="1" applyAlignment="1">
      <alignment vertical="center" wrapText="1"/>
    </xf>
    <xf numFmtId="0" fontId="22" fillId="32" borderId="22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15" borderId="1" xfId="0" applyFont="1" applyFill="1" applyBorder="1" applyAlignment="1">
      <alignment vertical="center" wrapText="1"/>
    </xf>
    <xf numFmtId="0" fontId="20" fillId="15" borderId="1" xfId="0" applyFont="1" applyFill="1" applyBorder="1" applyAlignment="1">
      <alignment vertical="center"/>
    </xf>
    <xf numFmtId="9" fontId="20" fillId="5" borderId="1" xfId="0" applyNumberFormat="1" applyFont="1" applyFill="1" applyBorder="1" applyAlignment="1" applyProtection="1">
      <alignment vertical="center"/>
      <protection locked="0"/>
    </xf>
    <xf numFmtId="175" fontId="20" fillId="5" borderId="1" xfId="1" applyNumberFormat="1" applyFont="1" applyFill="1" applyBorder="1" applyAlignment="1" applyProtection="1">
      <alignment vertical="center"/>
      <protection locked="0"/>
    </xf>
    <xf numFmtId="175" fontId="20" fillId="0" borderId="1" xfId="1" applyNumberFormat="1" applyFont="1" applyBorder="1" applyAlignment="1" applyProtection="1">
      <alignment vertical="center"/>
    </xf>
    <xf numFmtId="9" fontId="20" fillId="5" borderId="1" xfId="0" applyNumberFormat="1" applyFont="1" applyFill="1" applyBorder="1" applyAlignment="1" applyProtection="1">
      <alignment vertical="center" wrapText="1"/>
      <protection locked="0"/>
    </xf>
    <xf numFmtId="0" fontId="20" fillId="5" borderId="1" xfId="0" applyFont="1" applyFill="1" applyBorder="1" applyAlignment="1" applyProtection="1">
      <alignment vertical="center" wrapText="1"/>
      <protection locked="0"/>
    </xf>
    <xf numFmtId="175" fontId="20" fillId="12" borderId="1" xfId="1" applyNumberFormat="1" applyFont="1" applyFill="1" applyBorder="1" applyAlignment="1" applyProtection="1">
      <alignment vertical="center"/>
    </xf>
    <xf numFmtId="0" fontId="23" fillId="12" borderId="1" xfId="0" applyFont="1" applyFill="1" applyBorder="1" applyAlignment="1">
      <alignment vertical="center" wrapText="1"/>
    </xf>
    <xf numFmtId="10" fontId="20" fillId="0" borderId="0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vertical="center" wrapText="1"/>
    </xf>
    <xf numFmtId="1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1" xfId="0" applyFont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vertical="center" wrapText="1"/>
      <protection locked="0"/>
    </xf>
    <xf numFmtId="175" fontId="26" fillId="21" borderId="1" xfId="1" applyNumberFormat="1" applyFont="1" applyFill="1" applyBorder="1" applyAlignment="1" applyProtection="1">
      <alignment vertical="center" wrapText="1"/>
      <protection locked="0"/>
    </xf>
    <xf numFmtId="168" fontId="26" fillId="21" borderId="1" xfId="0" applyNumberFormat="1" applyFont="1" applyFill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horizontal="center" vertical="center" wrapText="1"/>
      <protection locked="0"/>
    </xf>
    <xf numFmtId="168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vertical="center" wrapText="1"/>
      <protection locked="0"/>
    </xf>
    <xf numFmtId="175" fontId="24" fillId="5" borderId="1" xfId="1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horizontal="center" vertical="center" wrapText="1"/>
      <protection locked="0"/>
    </xf>
    <xf numFmtId="41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41" fontId="26" fillId="21" borderId="1" xfId="0" applyNumberFormat="1" applyFont="1" applyFill="1" applyBorder="1" applyAlignment="1" applyProtection="1">
      <alignment vertical="center" wrapText="1"/>
      <protection locked="0"/>
    </xf>
    <xf numFmtId="10" fontId="26" fillId="21" borderId="1" xfId="0" applyNumberFormat="1" applyFont="1" applyFill="1" applyBorder="1" applyAlignment="1" applyProtection="1">
      <alignment horizontal="center" vertical="center" wrapText="1"/>
      <protection locked="0"/>
    </xf>
    <xf numFmtId="41" fontId="24" fillId="0" borderId="1" xfId="0" applyNumberFormat="1" applyFont="1" applyBorder="1" applyAlignment="1">
      <alignment vertical="center" wrapText="1"/>
    </xf>
    <xf numFmtId="10" fontId="24" fillId="5" borderId="1" xfId="0" applyNumberFormat="1" applyFont="1" applyFill="1" applyBorder="1" applyAlignment="1" applyProtection="1">
      <alignment horizontal="center" vertical="center" wrapText="1"/>
      <protection locked="0"/>
    </xf>
    <xf numFmtId="17" fontId="27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26" fillId="21" borderId="1" xfId="0" applyNumberFormat="1" applyFont="1" applyFill="1" applyBorder="1" applyAlignment="1" applyProtection="1">
      <alignment vertical="center" wrapText="1"/>
      <protection locked="0"/>
    </xf>
    <xf numFmtId="49" fontId="24" fillId="5" borderId="1" xfId="0" applyNumberFormat="1" applyFont="1" applyFill="1" applyBorder="1" applyAlignment="1" applyProtection="1">
      <alignment vertical="center" wrapText="1"/>
      <protection locked="0"/>
    </xf>
    <xf numFmtId="41" fontId="27" fillId="0" borderId="1" xfId="0" applyNumberFormat="1" applyFont="1" applyBorder="1" applyAlignment="1">
      <alignment vertical="center" wrapText="1"/>
    </xf>
    <xf numFmtId="3" fontId="27" fillId="0" borderId="0" xfId="0" applyNumberFormat="1" applyFont="1" applyAlignment="1">
      <alignment vertical="center" wrapText="1"/>
    </xf>
    <xf numFmtId="0" fontId="2" fillId="36" borderId="1" xfId="0" applyFont="1" applyFill="1" applyBorder="1" applyAlignment="1">
      <alignment horizontal="center" vertical="top" wrapText="1"/>
    </xf>
    <xf numFmtId="0" fontId="2" fillId="37" borderId="1" xfId="0" applyFont="1" applyFill="1" applyBorder="1" applyAlignment="1">
      <alignment horizontal="center" vertical="top" wrapText="1"/>
    </xf>
    <xf numFmtId="17" fontId="1" fillId="0" borderId="1" xfId="0" applyNumberFormat="1" applyFont="1" applyBorder="1" applyAlignment="1">
      <alignment horizontal="left" vertical="top" wrapText="1"/>
    </xf>
    <xf numFmtId="43" fontId="1" fillId="0" borderId="1" xfId="1" applyFont="1" applyFill="1" applyBorder="1" applyAlignment="1" applyProtection="1">
      <alignment horizontal="right" vertical="top" wrapText="1"/>
    </xf>
    <xf numFmtId="43" fontId="1" fillId="38" borderId="1" xfId="1" applyFont="1" applyFill="1" applyBorder="1" applyAlignment="1" applyProtection="1">
      <alignment horizontal="right" vertical="top" wrapText="1"/>
    </xf>
    <xf numFmtId="43" fontId="1" fillId="36" borderId="1" xfId="1" applyFont="1" applyFill="1" applyBorder="1" applyAlignment="1" applyProtection="1">
      <alignment horizontal="right" vertical="top" wrapText="1"/>
    </xf>
    <xf numFmtId="0" fontId="2" fillId="36" borderId="1" xfId="0" applyFont="1" applyFill="1" applyBorder="1" applyAlignment="1">
      <alignment horizontal="left" vertical="top" wrapText="1"/>
    </xf>
    <xf numFmtId="43" fontId="2" fillId="36" borderId="1" xfId="1" applyFont="1" applyFill="1" applyBorder="1" applyAlignment="1" applyProtection="1">
      <alignment horizontal="righ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5" borderId="1" xfId="1" applyNumberFormat="1" applyFont="1" applyFill="1" applyBorder="1" applyAlignment="1" applyProtection="1">
      <alignment vertical="top" wrapText="1"/>
    </xf>
    <xf numFmtId="17" fontId="1" fillId="40" borderId="1" xfId="0" applyNumberFormat="1" applyFont="1" applyFill="1" applyBorder="1" applyAlignment="1" applyProtection="1">
      <alignment horizontal="left" vertical="top" wrapText="1"/>
      <protection locked="0"/>
    </xf>
    <xf numFmtId="175" fontId="1" fillId="41" borderId="1" xfId="1" applyNumberFormat="1" applyFont="1" applyFill="1" applyBorder="1" applyAlignment="1" applyProtection="1">
      <alignment horizontal="right" vertical="top" wrapText="1"/>
      <protection locked="0"/>
    </xf>
    <xf numFmtId="175" fontId="1" fillId="36" borderId="1" xfId="1" applyNumberFormat="1" applyFont="1" applyFill="1" applyBorder="1" applyAlignment="1" applyProtection="1">
      <alignment horizontal="right" vertical="top" wrapText="1"/>
    </xf>
    <xf numFmtId="176" fontId="19" fillId="22" borderId="1" xfId="1" applyNumberFormat="1" applyFont="1" applyFill="1" applyBorder="1" applyAlignment="1" applyProtection="1">
      <alignment horizontal="right" vertical="top" wrapText="1"/>
      <protection locked="0"/>
    </xf>
    <xf numFmtId="175" fontId="2" fillId="36" borderId="1" xfId="1" applyNumberFormat="1" applyFont="1" applyFill="1" applyBorder="1" applyAlignment="1" applyProtection="1">
      <alignment horizontal="right" vertical="top" wrapText="1"/>
    </xf>
    <xf numFmtId="17" fontId="1" fillId="42" borderId="1" xfId="0" applyNumberFormat="1" applyFont="1" applyFill="1" applyBorder="1" applyAlignment="1">
      <alignment horizontal="left" vertical="top" wrapText="1"/>
    </xf>
    <xf numFmtId="175" fontId="1" fillId="43" borderId="1" xfId="1" applyNumberFormat="1" applyFont="1" applyFill="1" applyBorder="1" applyAlignment="1" applyProtection="1">
      <alignment horizontal="right" vertical="top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175" fontId="1" fillId="0" borderId="1" xfId="1" applyNumberFormat="1" applyFont="1" applyFill="1" applyBorder="1" applyAlignment="1" applyProtection="1">
      <alignment horizontal="right" vertical="top" wrapText="1"/>
    </xf>
    <xf numFmtId="38" fontId="2" fillId="36" borderId="1" xfId="0" applyNumberFormat="1" applyFont="1" applyFill="1" applyBorder="1" applyAlignment="1">
      <alignment horizontal="right" vertical="top" wrapText="1"/>
    </xf>
    <xf numFmtId="38" fontId="2" fillId="36" borderId="1" xfId="0" applyNumberFormat="1" applyFont="1" applyFill="1" applyBorder="1" applyAlignment="1">
      <alignment horizontal="center" vertical="top" wrapText="1"/>
    </xf>
    <xf numFmtId="41" fontId="2" fillId="39" borderId="1" xfId="1" applyNumberFormat="1" applyFont="1" applyFill="1" applyBorder="1" applyAlignment="1" applyProtection="1">
      <alignment horizontal="center" vertical="top" wrapText="1"/>
      <protection locked="0"/>
    </xf>
    <xf numFmtId="38" fontId="1" fillId="41" borderId="1" xfId="0" applyNumberFormat="1" applyFont="1" applyFill="1" applyBorder="1" applyAlignment="1" applyProtection="1">
      <alignment horizontal="right" vertical="top" wrapText="1"/>
      <protection locked="0"/>
    </xf>
    <xf numFmtId="177" fontId="19" fillId="22" borderId="1" xfId="0" applyNumberFormat="1" applyFont="1" applyFill="1" applyBorder="1" applyAlignment="1" applyProtection="1">
      <alignment horizontal="right" vertical="top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29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 applyProtection="1">
      <alignment vertical="center" wrapText="1"/>
      <protection locked="0"/>
    </xf>
    <xf numFmtId="3" fontId="2" fillId="29" borderId="1" xfId="0" applyNumberFormat="1" applyFont="1" applyFill="1" applyBorder="1" applyAlignment="1">
      <alignment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2" fillId="14" borderId="1" xfId="0" applyFont="1" applyFill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3" fontId="2" fillId="44" borderId="1" xfId="0" applyNumberFormat="1" applyFont="1" applyFill="1" applyBorder="1" applyAlignment="1">
      <alignment vertical="top" wrapText="1"/>
    </xf>
    <xf numFmtId="0" fontId="1" fillId="31" borderId="1" xfId="0" applyFont="1" applyFill="1" applyBorder="1" applyAlignment="1">
      <alignment vertical="top" wrapText="1"/>
    </xf>
    <xf numFmtId="164" fontId="1" fillId="5" borderId="1" xfId="0" applyNumberFormat="1" applyFont="1" applyFill="1" applyBorder="1" applyAlignment="1" applyProtection="1">
      <alignment horizontal="center" vertical="top" wrapText="1"/>
      <protection locked="0"/>
    </xf>
    <xf numFmtId="3" fontId="1" fillId="0" borderId="1" xfId="0" applyNumberFormat="1" applyFont="1" applyBorder="1" applyAlignment="1">
      <alignment vertical="top" wrapText="1"/>
    </xf>
    <xf numFmtId="0" fontId="28" fillId="0" borderId="33" xfId="0" applyFont="1" applyBorder="1" applyAlignment="1">
      <alignment wrapText="1"/>
    </xf>
    <xf numFmtId="0" fontId="0" fillId="0" borderId="33" xfId="0" applyBorder="1"/>
    <xf numFmtId="1" fontId="0" fillId="0" borderId="33" xfId="0" applyNumberFormat="1" applyBorder="1"/>
    <xf numFmtId="9" fontId="1" fillId="5" borderId="1" xfId="0" applyNumberFormat="1" applyFont="1" applyFill="1" applyBorder="1" applyAlignment="1" applyProtection="1">
      <alignment horizontal="center" vertical="top" wrapText="1"/>
      <protection locked="0"/>
    </xf>
    <xf numFmtId="9" fontId="2" fillId="3" borderId="1" xfId="0" applyNumberFormat="1" applyFont="1" applyFill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2" fillId="31" borderId="1" xfId="0" applyFont="1" applyFill="1" applyBorder="1" applyAlignment="1">
      <alignment horizontal="center" vertical="top" wrapText="1"/>
    </xf>
    <xf numFmtId="174" fontId="1" fillId="5" borderId="1" xfId="0" applyNumberFormat="1" applyFont="1" applyFill="1" applyBorder="1" applyAlignment="1" applyProtection="1">
      <alignment vertical="top" wrapText="1"/>
      <protection locked="0"/>
    </xf>
    <xf numFmtId="164" fontId="1" fillId="5" borderId="1" xfId="0" applyNumberFormat="1" applyFont="1" applyFill="1" applyBorder="1" applyAlignment="1" applyProtection="1">
      <alignment vertical="top" wrapText="1"/>
      <protection locked="0"/>
    </xf>
    <xf numFmtId="0" fontId="12" fillId="21" borderId="1" xfId="0" applyFont="1" applyFill="1" applyBorder="1" applyAlignment="1" applyProtection="1">
      <alignment vertical="top" wrapText="1"/>
      <protection locked="0"/>
    </xf>
    <xf numFmtId="164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8" fontId="29" fillId="22" borderId="1" xfId="0" applyNumberFormat="1" applyFont="1" applyFill="1" applyBorder="1" applyAlignment="1" applyProtection="1">
      <alignment horizontal="center" vertical="top" wrapText="1"/>
      <protection locked="0"/>
    </xf>
    <xf numFmtId="3" fontId="12" fillId="21" borderId="1" xfId="0" applyNumberFormat="1" applyFont="1" applyFill="1" applyBorder="1" applyAlignment="1" applyProtection="1">
      <alignment vertical="top" wrapText="1"/>
      <protection locked="0"/>
    </xf>
    <xf numFmtId="9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4" fontId="30" fillId="22" borderId="1" xfId="0" applyNumberFormat="1" applyFont="1" applyFill="1" applyBorder="1" applyAlignment="1" applyProtection="1">
      <alignment vertical="top" wrapText="1"/>
      <protection locked="0"/>
    </xf>
    <xf numFmtId="164" fontId="30" fillId="22" borderId="1" xfId="0" applyNumberFormat="1" applyFont="1" applyFill="1" applyBorder="1" applyAlignment="1" applyProtection="1">
      <alignment vertical="top" wrapText="1"/>
      <protection locked="0"/>
    </xf>
    <xf numFmtId="0" fontId="3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1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vertical="center" wrapText="1"/>
    </xf>
    <xf numFmtId="175" fontId="2" fillId="0" borderId="1" xfId="1" applyNumberFormat="1" applyFont="1" applyBorder="1" applyAlignment="1" applyProtection="1">
      <alignment horizontal="right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33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3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175" fontId="1" fillId="0" borderId="1" xfId="1" applyNumberFormat="1" applyFont="1" applyBorder="1" applyAlignment="1" applyProtection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vertical="center"/>
    </xf>
    <xf numFmtId="0" fontId="2" fillId="29" borderId="1" xfId="1" applyNumberFormat="1" applyFont="1" applyFill="1" applyBorder="1" applyAlignment="1" applyProtection="1">
      <alignment vertical="center"/>
    </xf>
    <xf numFmtId="175" fontId="2" fillId="0" borderId="1" xfId="1" applyNumberFormat="1" applyFont="1" applyBorder="1" applyAlignment="1" applyProtection="1">
      <alignment vertical="center"/>
    </xf>
    <xf numFmtId="9" fontId="1" fillId="5" borderId="1" xfId="0" applyNumberFormat="1" applyFont="1" applyFill="1" applyBorder="1" applyAlignment="1" applyProtection="1">
      <alignment vertical="center"/>
      <protection locked="0"/>
    </xf>
    <xf numFmtId="3" fontId="1" fillId="5" borderId="1" xfId="1" applyNumberFormat="1" applyFont="1" applyFill="1" applyBorder="1" applyAlignment="1" applyProtection="1">
      <alignment vertical="center"/>
      <protection locked="0"/>
    </xf>
    <xf numFmtId="175" fontId="1" fillId="5" borderId="1" xfId="1" applyNumberFormat="1" applyFont="1" applyFill="1" applyBorder="1" applyAlignment="1" applyProtection="1">
      <alignment vertical="center"/>
      <protection locked="0"/>
    </xf>
    <xf numFmtId="0" fontId="1" fillId="5" borderId="1" xfId="0" applyFont="1" applyFill="1" applyBorder="1" applyAlignment="1" applyProtection="1">
      <alignment vertical="center"/>
      <protection locked="0"/>
    </xf>
    <xf numFmtId="9" fontId="1" fillId="5" borderId="1" xfId="0" applyNumberFormat="1" applyFont="1" applyFill="1" applyBorder="1" applyAlignment="1" applyProtection="1">
      <alignment vertical="center" wrapText="1"/>
      <protection locked="0"/>
    </xf>
    <xf numFmtId="0" fontId="2" fillId="12" borderId="1" xfId="0" applyFont="1" applyFill="1" applyBorder="1" applyAlignment="1">
      <alignment vertical="center" wrapText="1"/>
    </xf>
    <xf numFmtId="9" fontId="31" fillId="0" borderId="0" xfId="0" applyNumberFormat="1" applyFont="1" applyAlignment="1" applyProtection="1">
      <alignment vertical="center"/>
      <protection hidden="1"/>
    </xf>
    <xf numFmtId="0" fontId="32" fillId="3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9" fillId="22" borderId="1" xfId="0" applyFont="1" applyFill="1" applyBorder="1" applyAlignment="1" applyProtection="1">
      <alignment horizontal="center" vertical="top" wrapText="1"/>
      <protection locked="0"/>
    </xf>
    <xf numFmtId="0" fontId="12" fillId="21" borderId="1" xfId="0" applyFont="1" applyFill="1" applyBorder="1" applyAlignment="1" applyProtection="1">
      <alignment horizontal="center" vertical="top" wrapText="1"/>
      <protection locked="0"/>
    </xf>
    <xf numFmtId="41" fontId="1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center" vertical="top" wrapText="1"/>
      <protection locked="0"/>
    </xf>
    <xf numFmtId="10" fontId="1" fillId="5" borderId="1" xfId="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0" applyFont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41" fontId="2" fillId="12" borderId="1" xfId="0" applyNumberFormat="1" applyFont="1" applyFill="1" applyBorder="1" applyAlignment="1">
      <alignment vertical="top" wrapText="1"/>
    </xf>
    <xf numFmtId="1" fontId="34" fillId="12" borderId="1" xfId="0" applyNumberFormat="1" applyFont="1" applyFill="1" applyBorder="1" applyAlignment="1">
      <alignment horizontal="center" vertical="top" wrapText="1"/>
    </xf>
    <xf numFmtId="10" fontId="35" fillId="12" borderId="1" xfId="0" applyNumberFormat="1" applyFont="1" applyFill="1" applyBorder="1" applyAlignment="1">
      <alignment horizontal="center" vertical="top" wrapText="1"/>
    </xf>
    <xf numFmtId="41" fontId="2" fillId="0" borderId="0" xfId="0" applyNumberFormat="1" applyFont="1" applyAlignment="1">
      <alignment vertical="top" wrapText="1"/>
    </xf>
    <xf numFmtId="41" fontId="4" fillId="0" borderId="0" xfId="0" applyNumberFormat="1" applyFont="1" applyAlignment="1">
      <alignment vertical="top" wrapText="1"/>
    </xf>
    <xf numFmtId="0" fontId="2" fillId="46" borderId="1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4" fillId="0" borderId="0" xfId="0" applyFont="1" applyAlignment="1" applyProtection="1">
      <alignment vertical="top" wrapText="1"/>
      <protection locked="0"/>
    </xf>
    <xf numFmtId="0" fontId="1" fillId="12" borderId="1" xfId="0" applyFont="1" applyFill="1" applyBorder="1" applyAlignment="1" applyProtection="1">
      <alignment vertical="top" wrapText="1"/>
      <protection locked="0"/>
    </xf>
    <xf numFmtId="10" fontId="2" fillId="12" borderId="1" xfId="0" applyNumberFormat="1" applyFont="1" applyFill="1" applyBorder="1" applyAlignment="1">
      <alignment horizontal="center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center" wrapText="1"/>
    </xf>
    <xf numFmtId="39" fontId="10" fillId="16" borderId="0" xfId="0" quotePrefix="1" applyNumberFormat="1" applyFont="1" applyFill="1" applyAlignment="1">
      <alignment horizontal="center" vertical="top" wrapText="1"/>
    </xf>
    <xf numFmtId="0" fontId="11" fillId="0" borderId="6" xfId="1" quotePrefix="1" applyNumberFormat="1" applyFont="1" applyBorder="1" applyAlignment="1" applyProtection="1">
      <alignment horizontal="left" vertical="top" wrapText="1"/>
    </xf>
    <xf numFmtId="39" fontId="10" fillId="16" borderId="6" xfId="0" quotePrefix="1" applyNumberFormat="1" applyFont="1" applyFill="1" applyBorder="1" applyAlignment="1">
      <alignment horizontal="center" vertical="top" wrapText="1"/>
    </xf>
    <xf numFmtId="39" fontId="10" fillId="16" borderId="7" xfId="0" quotePrefix="1" applyNumberFormat="1" applyFont="1" applyFill="1" applyBorder="1" applyAlignment="1">
      <alignment horizontal="center" vertical="top" wrapText="1"/>
    </xf>
    <xf numFmtId="0" fontId="2" fillId="2" borderId="2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32" xfId="0" applyFont="1" applyFill="1" applyBorder="1" applyAlignment="1">
      <alignment vertical="top" wrapText="1"/>
    </xf>
    <xf numFmtId="0" fontId="1" fillId="5" borderId="2" xfId="0" applyFont="1" applyFill="1" applyBorder="1" applyAlignment="1" applyProtection="1">
      <alignment horizontal="center" vertical="top" wrapText="1"/>
      <protection locked="0"/>
    </xf>
    <xf numFmtId="0" fontId="1" fillId="5" borderId="4" xfId="0" applyFont="1" applyFill="1" applyBorder="1" applyAlignment="1" applyProtection="1">
      <alignment horizontal="center" vertical="top" wrapText="1"/>
      <protection locked="0"/>
    </xf>
    <xf numFmtId="0" fontId="17" fillId="2" borderId="0" xfId="0" applyFont="1" applyFill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2" fillId="12" borderId="2" xfId="0" applyFont="1" applyFill="1" applyBorder="1" applyAlignment="1">
      <alignment vertical="top" wrapText="1"/>
    </xf>
    <xf numFmtId="0" fontId="2" fillId="12" borderId="4" xfId="0" applyFont="1" applyFill="1" applyBorder="1" applyAlignment="1">
      <alignment vertical="top" wrapText="1"/>
    </xf>
    <xf numFmtId="0" fontId="1" fillId="0" borderId="9" xfId="0" applyFont="1" applyBorder="1" applyAlignment="1">
      <alignment horizontal="center" vertical="top" wrapText="1"/>
    </xf>
    <xf numFmtId="0" fontId="33" fillId="0" borderId="2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17" fillId="2" borderId="0" xfId="0" applyFont="1" applyFill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41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75" fontId="1" fillId="5" borderId="1" xfId="1" applyNumberFormat="1" applyFont="1" applyFill="1" applyBorder="1" applyAlignment="1" applyProtection="1">
      <alignment horizontal="left" vertical="center"/>
      <protection locked="0"/>
    </xf>
    <xf numFmtId="10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1" xfId="0" applyFont="1" applyFill="1" applyBorder="1" applyAlignment="1" applyProtection="1">
      <alignment horizontal="right" vertical="center"/>
      <protection locked="0"/>
    </xf>
    <xf numFmtId="1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75" fontId="1" fillId="5" borderId="1" xfId="1" applyNumberFormat="1" applyFont="1" applyFill="1" applyBorder="1" applyAlignment="1" applyProtection="1">
      <alignment horizontal="center" vertical="center"/>
      <protection locked="0"/>
    </xf>
    <xf numFmtId="0" fontId="32" fillId="32" borderId="1" xfId="0" applyFont="1" applyFill="1" applyBorder="1" applyAlignment="1">
      <alignment horizontal="center" vertical="center"/>
    </xf>
    <xf numFmtId="175" fontId="2" fillId="0" borderId="1" xfId="1" applyNumberFormat="1" applyFont="1" applyBorder="1" applyAlignment="1" applyProtection="1">
      <alignment horizontal="right" vertical="center"/>
    </xf>
    <xf numFmtId="0" fontId="32" fillId="3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3" borderId="1" xfId="0" applyFont="1" applyFill="1" applyBorder="1" applyAlignment="1" applyProtection="1">
      <alignment horizontal="center" vertical="center" wrapText="1"/>
      <protection hidden="1"/>
    </xf>
    <xf numFmtId="173" fontId="1" fillId="0" borderId="1" xfId="1" applyNumberFormat="1" applyFont="1" applyBorder="1" applyAlignment="1" applyProtection="1">
      <alignment horizontal="left" vertical="center" indent="1"/>
    </xf>
    <xf numFmtId="175" fontId="1" fillId="0" borderId="1" xfId="1" applyNumberFormat="1" applyFont="1" applyBorder="1" applyAlignment="1" applyProtection="1">
      <alignment horizontal="left" vertical="center" indent="1"/>
    </xf>
    <xf numFmtId="10" fontId="1" fillId="0" borderId="1" xfId="2" applyNumberFormat="1" applyFont="1" applyBorder="1" applyAlignment="1" applyProtection="1">
      <alignment horizontal="right" vertical="center" indent="1"/>
    </xf>
    <xf numFmtId="175" fontId="2" fillId="12" borderId="1" xfId="1" applyNumberFormat="1" applyFont="1" applyFill="1" applyBorder="1" applyAlignment="1" applyProtection="1">
      <alignment horizontal="right" vertical="center" indent="1"/>
    </xf>
    <xf numFmtId="175" fontId="1" fillId="0" borderId="1" xfId="1" applyNumberFormat="1" applyFont="1" applyBorder="1" applyAlignment="1" applyProtection="1">
      <alignment horizontal="right" vertical="center" inden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2" fillId="34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31" borderId="1" xfId="0" applyFont="1" applyFill="1" applyBorder="1" applyAlignment="1">
      <alignment horizontal="center" vertical="top" wrapText="1"/>
    </xf>
    <xf numFmtId="0" fontId="12" fillId="21" borderId="2" xfId="0" applyFont="1" applyFill="1" applyBorder="1" applyAlignment="1" applyProtection="1">
      <alignment vertical="top" wrapText="1"/>
      <protection locked="0"/>
    </xf>
    <xf numFmtId="0" fontId="12" fillId="21" borderId="4" xfId="0" applyFont="1" applyFill="1" applyBorder="1" applyAlignment="1" applyProtection="1">
      <alignment vertical="top" wrapText="1"/>
      <protection locked="0"/>
    </xf>
    <xf numFmtId="0" fontId="1" fillId="5" borderId="2" xfId="0" applyFont="1" applyFill="1" applyBorder="1" applyAlignment="1" applyProtection="1">
      <alignment vertical="top" wrapText="1"/>
      <protection locked="0"/>
    </xf>
    <xf numFmtId="0" fontId="1" fillId="5" borderId="4" xfId="0" applyFont="1" applyFill="1" applyBorder="1" applyAlignment="1" applyProtection="1">
      <alignment vertical="top" wrapText="1"/>
      <protection locked="0"/>
    </xf>
    <xf numFmtId="0" fontId="2" fillId="0" borderId="3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0" fontId="2" fillId="2" borderId="1" xfId="0" applyFont="1" applyFill="1" applyBorder="1" applyAlignment="1">
      <alignment horizontal="center" vertical="top" wrapText="1"/>
    </xf>
    <xf numFmtId="0" fontId="2" fillId="45" borderId="9" xfId="0" applyFont="1" applyFill="1" applyBorder="1" applyAlignment="1">
      <alignment horizontal="center" vertical="top" wrapText="1"/>
    </xf>
    <xf numFmtId="0" fontId="2" fillId="5" borderId="2" xfId="0" applyFont="1" applyFill="1" applyBorder="1" applyAlignment="1" applyProtection="1">
      <alignment vertical="top" wrapText="1"/>
      <protection locked="0"/>
    </xf>
    <xf numFmtId="0" fontId="2" fillId="5" borderId="3" xfId="0" applyFont="1" applyFill="1" applyBorder="1" applyAlignment="1" applyProtection="1">
      <alignment vertical="top" wrapText="1"/>
      <protection locked="0"/>
    </xf>
    <xf numFmtId="0" fontId="2" fillId="5" borderId="4" xfId="0" applyFont="1" applyFill="1" applyBorder="1" applyAlignment="1" applyProtection="1">
      <alignment vertical="top" wrapText="1"/>
      <protection locked="0"/>
    </xf>
    <xf numFmtId="0" fontId="1" fillId="5" borderId="3" xfId="0" applyFont="1" applyFill="1" applyBorder="1" applyAlignment="1" applyProtection="1">
      <alignment vertical="top" wrapText="1"/>
      <protection locked="0"/>
    </xf>
    <xf numFmtId="0" fontId="2" fillId="44" borderId="2" xfId="0" applyFont="1" applyFill="1" applyBorder="1" applyAlignment="1">
      <alignment horizontal="center" vertical="top" wrapText="1"/>
    </xf>
    <xf numFmtId="0" fontId="2" fillId="44" borderId="3" xfId="0" applyFont="1" applyFill="1" applyBorder="1" applyAlignment="1">
      <alignment horizontal="center" vertical="top" wrapText="1"/>
    </xf>
    <xf numFmtId="0" fontId="2" fillId="44" borderId="4" xfId="0" applyFont="1" applyFill="1" applyBorder="1" applyAlignment="1">
      <alignment horizontal="center" vertical="top" wrapText="1"/>
    </xf>
    <xf numFmtId="0" fontId="2" fillId="2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2" fillId="35" borderId="1" xfId="1" applyNumberFormat="1" applyFont="1" applyFill="1" applyBorder="1" applyAlignment="1" applyProtection="1">
      <alignment horizontal="left" vertical="top" wrapText="1"/>
    </xf>
    <xf numFmtId="0" fontId="2" fillId="0" borderId="1" xfId="1" applyNumberFormat="1" applyFont="1" applyFill="1" applyBorder="1" applyAlignment="1" applyProtection="1">
      <alignment horizontal="left" vertical="top" wrapText="1"/>
    </xf>
    <xf numFmtId="0" fontId="2" fillId="36" borderId="1" xfId="0" applyFont="1" applyFill="1" applyBorder="1" applyAlignment="1">
      <alignment horizontal="center" vertical="top" wrapText="1"/>
    </xf>
    <xf numFmtId="0" fontId="2" fillId="37" borderId="2" xfId="0" applyFont="1" applyFill="1" applyBorder="1" applyAlignment="1">
      <alignment horizontal="center" vertical="top" wrapText="1"/>
    </xf>
    <xf numFmtId="0" fontId="2" fillId="37" borderId="4" xfId="0" applyFont="1" applyFill="1" applyBorder="1" applyAlignment="1">
      <alignment horizontal="center" vertical="top" wrapText="1"/>
    </xf>
    <xf numFmtId="0" fontId="2" fillId="39" borderId="2" xfId="1" applyNumberFormat="1" applyFont="1" applyFill="1" applyBorder="1" applyAlignment="1" applyProtection="1">
      <alignment vertical="top" wrapText="1"/>
      <protection locked="0"/>
    </xf>
    <xf numFmtId="0" fontId="2" fillId="39" borderId="3" xfId="1" applyNumberFormat="1" applyFont="1" applyFill="1" applyBorder="1" applyAlignment="1" applyProtection="1">
      <alignment vertical="top" wrapText="1"/>
      <protection locked="0"/>
    </xf>
    <xf numFmtId="0" fontId="2" fillId="39" borderId="4" xfId="1" applyNumberFormat="1" applyFont="1" applyFill="1" applyBorder="1" applyAlignment="1" applyProtection="1">
      <alignment vertical="top" wrapText="1"/>
      <protection locked="0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49" fontId="2" fillId="39" borderId="2" xfId="1" applyNumberFormat="1" applyFont="1" applyFill="1" applyBorder="1" applyAlignment="1" applyProtection="1">
      <alignment vertical="top" wrapText="1"/>
      <protection locked="0"/>
    </xf>
    <xf numFmtId="49" fontId="2" fillId="39" borderId="3" xfId="1" applyNumberFormat="1" applyFont="1" applyFill="1" applyBorder="1" applyAlignment="1" applyProtection="1">
      <alignment vertical="top" wrapText="1"/>
      <protection locked="0"/>
    </xf>
    <xf numFmtId="49" fontId="2" fillId="39" borderId="4" xfId="1" applyNumberFormat="1" applyFont="1" applyFill="1" applyBorder="1" applyAlignment="1" applyProtection="1">
      <alignment vertical="top" wrapText="1"/>
      <protection locked="0"/>
    </xf>
    <xf numFmtId="41" fontId="2" fillId="39" borderId="2" xfId="1" applyNumberFormat="1" applyFont="1" applyFill="1" applyBorder="1" applyAlignment="1" applyProtection="1">
      <alignment horizontal="center" vertical="top" wrapText="1"/>
      <protection locked="0"/>
    </xf>
    <xf numFmtId="41" fontId="2" fillId="39" borderId="3" xfId="1" applyNumberFormat="1" applyFont="1" applyFill="1" applyBorder="1" applyAlignment="1" applyProtection="1">
      <alignment horizontal="center" vertical="top" wrapText="1"/>
      <protection locked="0"/>
    </xf>
    <xf numFmtId="41" fontId="2" fillId="39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2" xfId="0" applyFont="1" applyBorder="1" applyAlignment="1">
      <alignment vertical="center" wrapText="1"/>
    </xf>
    <xf numFmtId="0" fontId="27" fillId="0" borderId="3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5" fillId="0" borderId="10" xfId="4" applyFont="1" applyBorder="1" applyAlignment="1">
      <alignment horizontal="center" vertical="center" wrapText="1"/>
    </xf>
    <xf numFmtId="0" fontId="25" fillId="0" borderId="11" xfId="4" applyFont="1" applyBorder="1" applyAlignment="1">
      <alignment horizontal="center" vertical="center" wrapText="1"/>
    </xf>
    <xf numFmtId="2" fontId="25" fillId="0" borderId="10" xfId="4" applyNumberFormat="1" applyFont="1" applyBorder="1" applyAlignment="1">
      <alignment horizontal="center" vertical="center" wrapText="1"/>
    </xf>
    <xf numFmtId="2" fontId="25" fillId="0" borderId="11" xfId="4" applyNumberFormat="1" applyFont="1" applyBorder="1" applyAlignment="1">
      <alignment horizontal="center" vertical="center" wrapText="1"/>
    </xf>
    <xf numFmtId="168" fontId="25" fillId="0" borderId="10" xfId="4" applyNumberFormat="1" applyFont="1" applyBorder="1" applyAlignment="1">
      <alignment horizontal="center" vertical="center" wrapText="1"/>
    </xf>
    <xf numFmtId="168" fontId="25" fillId="0" borderId="11" xfId="4" applyNumberFormat="1" applyFont="1" applyBorder="1" applyAlignment="1">
      <alignment horizontal="center" vertical="center" wrapText="1"/>
    </xf>
    <xf numFmtId="175" fontId="20" fillId="5" borderId="1" xfId="1" applyNumberFormat="1" applyFont="1" applyFill="1" applyBorder="1" applyAlignment="1" applyProtection="1">
      <alignment horizontal="left" vertical="center"/>
      <protection locked="0"/>
    </xf>
    <xf numFmtId="10" fontId="20" fillId="5" borderId="1" xfId="0" applyNumberFormat="1" applyFont="1" applyFill="1" applyBorder="1" applyAlignment="1" applyProtection="1">
      <alignment horizontal="right" vertical="center"/>
      <protection locked="0"/>
    </xf>
    <xf numFmtId="0" fontId="20" fillId="5" borderId="1" xfId="0" applyFont="1" applyFill="1" applyBorder="1" applyAlignment="1" applyProtection="1">
      <alignment horizontal="right" vertical="center"/>
      <protection locked="0"/>
    </xf>
    <xf numFmtId="1" fontId="20" fillId="5" borderId="1" xfId="0" applyNumberFormat="1" applyFont="1" applyFill="1" applyBorder="1" applyAlignment="1" applyProtection="1">
      <alignment horizontal="right" vertical="center"/>
      <protection locked="0"/>
    </xf>
    <xf numFmtId="175" fontId="20" fillId="5" borderId="2" xfId="1" applyNumberFormat="1" applyFont="1" applyFill="1" applyBorder="1" applyAlignment="1" applyProtection="1">
      <alignment horizontal="center" vertical="center"/>
      <protection locked="0"/>
    </xf>
    <xf numFmtId="175" fontId="20" fillId="5" borderId="3" xfId="1" applyNumberFormat="1" applyFont="1" applyFill="1" applyBorder="1" applyAlignment="1" applyProtection="1">
      <alignment horizontal="center" vertical="center"/>
      <protection locked="0"/>
    </xf>
    <xf numFmtId="175" fontId="20" fillId="5" borderId="4" xfId="1" applyNumberFormat="1" applyFont="1" applyFill="1" applyBorder="1" applyAlignment="1" applyProtection="1">
      <alignment horizontal="center" vertical="center"/>
      <protection locked="0"/>
    </xf>
    <xf numFmtId="0" fontId="22" fillId="32" borderId="23" xfId="0" applyFont="1" applyFill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25" xfId="0" applyFont="1" applyFill="1" applyBorder="1" applyAlignment="1">
      <alignment horizontal="center" vertical="center"/>
    </xf>
    <xf numFmtId="175" fontId="20" fillId="5" borderId="2" xfId="1" applyNumberFormat="1" applyFont="1" applyFill="1" applyBorder="1" applyAlignment="1" applyProtection="1">
      <alignment horizontal="left" vertical="center"/>
      <protection locked="0"/>
    </xf>
    <xf numFmtId="175" fontId="20" fillId="5" borderId="3" xfId="1" applyNumberFormat="1" applyFont="1" applyFill="1" applyBorder="1" applyAlignment="1" applyProtection="1">
      <alignment horizontal="left" vertical="center"/>
      <protection locked="0"/>
    </xf>
    <xf numFmtId="175" fontId="20" fillId="5" borderId="4" xfId="1" applyNumberFormat="1" applyFont="1" applyFill="1" applyBorder="1" applyAlignment="1" applyProtection="1">
      <alignment horizontal="left" vertical="center"/>
      <protection locked="0"/>
    </xf>
    <xf numFmtId="175" fontId="20" fillId="0" borderId="2" xfId="1" applyNumberFormat="1" applyFont="1" applyBorder="1" applyAlignment="1" applyProtection="1">
      <alignment horizontal="right" vertical="center"/>
    </xf>
    <xf numFmtId="175" fontId="20" fillId="0" borderId="3" xfId="1" applyNumberFormat="1" applyFont="1" applyBorder="1" applyAlignment="1" applyProtection="1">
      <alignment horizontal="right" vertical="center"/>
    </xf>
    <xf numFmtId="175" fontId="20" fillId="0" borderId="4" xfId="1" applyNumberFormat="1" applyFont="1" applyBorder="1" applyAlignment="1" applyProtection="1">
      <alignment horizontal="right" vertical="center"/>
    </xf>
    <xf numFmtId="0" fontId="22" fillId="32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33" borderId="2" xfId="0" applyFont="1" applyFill="1" applyBorder="1" applyAlignment="1">
      <alignment horizontal="center" vertical="center" wrapText="1"/>
    </xf>
    <xf numFmtId="0" fontId="20" fillId="33" borderId="3" xfId="0" applyFont="1" applyFill="1" applyBorder="1" applyAlignment="1">
      <alignment horizontal="center" vertical="center" wrapText="1"/>
    </xf>
    <xf numFmtId="0" fontId="20" fillId="33" borderId="4" xfId="0" applyFont="1" applyFill="1" applyBorder="1" applyAlignment="1">
      <alignment horizontal="center" vertical="center" wrapText="1"/>
    </xf>
    <xf numFmtId="43" fontId="20" fillId="0" borderId="1" xfId="1" applyFont="1" applyBorder="1" applyAlignment="1" applyProtection="1">
      <alignment horizontal="left" vertical="center" indent="1"/>
    </xf>
    <xf numFmtId="175" fontId="20" fillId="0" borderId="1" xfId="1" applyNumberFormat="1" applyFont="1" applyBorder="1" applyAlignment="1" applyProtection="1">
      <alignment horizontal="left" vertical="center" indent="1"/>
    </xf>
    <xf numFmtId="10" fontId="20" fillId="0" borderId="1" xfId="2" applyNumberFormat="1" applyFont="1" applyBorder="1" applyAlignment="1" applyProtection="1">
      <alignment horizontal="right" vertical="center" indent="1"/>
    </xf>
    <xf numFmtId="175" fontId="23" fillId="12" borderId="1" xfId="1" applyNumberFormat="1" applyFont="1" applyFill="1" applyBorder="1" applyAlignment="1" applyProtection="1">
      <alignment horizontal="right" vertical="center" indent="1"/>
    </xf>
    <xf numFmtId="175" fontId="20" fillId="0" borderId="1" xfId="1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horizontal="center" vertical="center" wrapText="1"/>
    </xf>
    <xf numFmtId="0" fontId="22" fillId="34" borderId="27" xfId="0" applyFont="1" applyFill="1" applyBorder="1" applyAlignment="1">
      <alignment horizontal="center" vertical="center"/>
    </xf>
    <xf numFmtId="0" fontId="22" fillId="34" borderId="28" xfId="0" applyFont="1" applyFill="1" applyBorder="1" applyAlignment="1">
      <alignment horizontal="center" vertical="center"/>
    </xf>
    <xf numFmtId="0" fontId="22" fillId="34" borderId="29" xfId="0" applyFont="1" applyFill="1" applyBorder="1" applyAlignment="1">
      <alignment horizontal="center" vertical="center"/>
    </xf>
    <xf numFmtId="175" fontId="20" fillId="0" borderId="10" xfId="1" applyNumberFormat="1" applyFont="1" applyBorder="1" applyAlignment="1" applyProtection="1">
      <alignment horizontal="center" vertical="center"/>
    </xf>
    <xf numFmtId="175" fontId="20" fillId="0" borderId="12" xfId="1" applyNumberFormat="1" applyFont="1" applyBorder="1" applyAlignment="1" applyProtection="1">
      <alignment horizontal="center" vertical="center"/>
    </xf>
    <xf numFmtId="175" fontId="20" fillId="0" borderId="11" xfId="1" applyNumberFormat="1" applyFont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vertical="top" wrapText="1"/>
    </xf>
    <xf numFmtId="168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5" borderId="1" xfId="0" applyFont="1" applyFill="1" applyBorder="1" applyAlignment="1" applyProtection="1">
      <alignment vertical="top" wrapText="1"/>
      <protection locked="0"/>
    </xf>
    <xf numFmtId="3" fontId="2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left" vertical="top" wrapText="1"/>
      <protection locked="0"/>
    </xf>
    <xf numFmtId="10" fontId="1" fillId="5" borderId="1" xfId="0" applyNumberFormat="1" applyFont="1" applyFill="1" applyBorder="1" applyAlignment="1" applyProtection="1">
      <alignment horizontal="left"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3" fontId="2" fillId="5" borderId="1" xfId="0" applyNumberFormat="1" applyFont="1" applyFill="1" applyBorder="1" applyAlignment="1" applyProtection="1">
      <alignment horizontal="center" vertical="top" wrapText="1"/>
      <protection locked="0"/>
    </xf>
    <xf numFmtId="3" fontId="2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horizontal="center" vertical="top" wrapText="1"/>
    </xf>
    <xf numFmtId="0" fontId="2" fillId="31" borderId="1" xfId="0" applyFont="1" applyFill="1" applyBorder="1" applyAlignment="1">
      <alignment vertical="top" wrapText="1"/>
    </xf>
    <xf numFmtId="3" fontId="2" fillId="31" borderId="1" xfId="0" applyNumberFormat="1" applyFont="1" applyFill="1" applyBorder="1" applyAlignment="1">
      <alignment horizontal="center" vertical="top" wrapText="1"/>
    </xf>
    <xf numFmtId="10" fontId="2" fillId="31" borderId="1" xfId="0" applyNumberFormat="1" applyFont="1" applyFill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30" borderId="1" xfId="0" applyFont="1" applyFill="1" applyBorder="1" applyAlignment="1">
      <alignment horizontal="center" vertical="top" wrapText="1"/>
    </xf>
    <xf numFmtId="41" fontId="2" fillId="3" borderId="2" xfId="0" applyNumberFormat="1" applyFont="1" applyFill="1" applyBorder="1" applyAlignment="1">
      <alignment horizontal="center" vertical="top" wrapText="1"/>
    </xf>
    <xf numFmtId="41" fontId="2" fillId="3" borderId="4" xfId="0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18" fillId="26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0" fillId="28" borderId="2" xfId="1" applyNumberFormat="1" applyFont="1" applyFill="1" applyBorder="1" applyAlignment="1" applyProtection="1">
      <alignment vertical="top" wrapText="1"/>
    </xf>
    <xf numFmtId="0" fontId="10" fillId="28" borderId="3" xfId="1" applyNumberFormat="1" applyFont="1" applyFill="1" applyBorder="1" applyAlignment="1" applyProtection="1">
      <alignment vertical="top" wrapText="1"/>
    </xf>
    <xf numFmtId="0" fontId="10" fillId="28" borderId="4" xfId="1" applyNumberFormat="1" applyFont="1" applyFill="1" applyBorder="1" applyAlignment="1" applyProtection="1">
      <alignment vertical="top" wrapText="1"/>
    </xf>
    <xf numFmtId="0" fontId="19" fillId="22" borderId="1" xfId="0" applyFont="1" applyFill="1" applyBorder="1" applyAlignment="1" applyProtection="1">
      <alignment horizontal="left" vertical="top" wrapText="1"/>
      <protection locked="0"/>
    </xf>
    <xf numFmtId="1" fontId="19" fillId="22" borderId="1" xfId="0" applyNumberFormat="1" applyFont="1" applyFill="1" applyBorder="1" applyAlignment="1" applyProtection="1">
      <alignment horizontal="left" vertical="top" wrapText="1"/>
      <protection locked="0"/>
    </xf>
    <xf numFmtId="10" fontId="19" fillId="22" borderId="1" xfId="0" applyNumberFormat="1" applyFont="1" applyFill="1" applyBorder="1" applyAlignment="1" applyProtection="1">
      <alignment horizontal="left" vertical="top" wrapText="1"/>
      <protection locked="0"/>
    </xf>
    <xf numFmtId="41" fontId="1" fillId="3" borderId="10" xfId="0" applyNumberFormat="1" applyFont="1" applyFill="1" applyBorder="1" applyAlignment="1">
      <alignment vertical="top" wrapText="1"/>
    </xf>
    <xf numFmtId="41" fontId="1" fillId="3" borderId="11" xfId="0" applyNumberFormat="1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8" fillId="26" borderId="0" xfId="0" applyFont="1" applyFill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top" wrapText="1"/>
    </xf>
    <xf numFmtId="0" fontId="15" fillId="0" borderId="2" xfId="3" applyFont="1" applyBorder="1" applyAlignment="1">
      <alignment horizontal="center" vertical="top" wrapText="1"/>
    </xf>
    <xf numFmtId="0" fontId="15" fillId="0" borderId="3" xfId="3" applyFont="1" applyBorder="1" applyAlignment="1">
      <alignment horizontal="center" vertical="top" wrapText="1"/>
    </xf>
    <xf numFmtId="0" fontId="15" fillId="0" borderId="4" xfId="3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horizontal="left" vertical="top" wrapText="1"/>
      <protection locked="0"/>
    </xf>
    <xf numFmtId="1" fontId="12" fillId="21" borderId="1" xfId="0" applyNumberFormat="1" applyFont="1" applyFill="1" applyBorder="1" applyAlignment="1" applyProtection="1">
      <alignment horizontal="left" vertical="top" wrapText="1"/>
      <protection locked="0"/>
    </xf>
    <xf numFmtId="10" fontId="12" fillId="21" borderId="1" xfId="0" applyNumberFormat="1" applyFont="1" applyFill="1" applyBorder="1" applyAlignment="1" applyProtection="1">
      <alignment horizontal="left" vertical="top" wrapText="1"/>
      <protection locked="0"/>
    </xf>
    <xf numFmtId="2" fontId="1" fillId="15" borderId="1" xfId="0" applyNumberFormat="1" applyFont="1" applyFill="1" applyBorder="1" applyAlignment="1">
      <alignment horizontal="justify" vertical="top" wrapText="1"/>
    </xf>
    <xf numFmtId="0" fontId="1" fillId="5" borderId="1" xfId="0" applyFont="1" applyFill="1" applyBorder="1" applyAlignment="1" applyProtection="1">
      <alignment horizontal="justify" vertical="top" wrapText="1"/>
      <protection locked="0"/>
    </xf>
    <xf numFmtId="168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0" fontId="2" fillId="4" borderId="3" xfId="0" applyFont="1" applyFill="1" applyBorder="1" applyAlignment="1">
      <alignment horizontal="center" vertical="top" wrapText="1"/>
    </xf>
  </cellXfs>
  <cellStyles count="9">
    <cellStyle name="Comma" xfId="1" builtinId="3"/>
    <cellStyle name="Comma 2" xfId="6"/>
    <cellStyle name="Comma 3" xfId="7"/>
    <cellStyle name="Nor}al_Prateek Jain_Banking" xfId="4"/>
    <cellStyle name="Normal" xfId="0" builtinId="0"/>
    <cellStyle name="Normal 2" xfId="5"/>
    <cellStyle name="Normal_Financials and Banking - P J Enterprises - July 2011" xfId="8"/>
    <cellStyle name="Normal_SVG Final Excel" xfId="3"/>
    <cellStyle name="Percent" xfId="2" builtinId="5"/>
  </cellStyles>
  <dxfs count="164"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</dxfs>
  <tableStyles count="0" defaultTableStyle="TableStyleMedium2" defaultPivotStyle="PivotStyleLight16"/>
  <colors>
    <mruColors>
      <color rgb="FFCC66FF"/>
      <color rgb="FFC0C0C0"/>
      <color rgb="FF66FF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Policies\CAM-Revision-Sep2020\Affordable%20CAM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Sheet"/>
      <sheetName val="Cash flows "/>
      <sheetName val="Ratios-Co-applicant"/>
      <sheetName val="CSV1"/>
      <sheetName val="Salaried"/>
      <sheetName val="Salary Details"/>
      <sheetName val="Cash Profit"/>
      <sheetName val="Ratios -Applicant"/>
      <sheetName val="Low LTV "/>
      <sheetName val="Insurance"/>
      <sheetName val="Banking "/>
      <sheetName val="Oblig Details &amp; RTR"/>
      <sheetName val="VAT Sum"/>
      <sheetName val="Technical"/>
      <sheetName val="Gross Turnover"/>
      <sheetName val="Gross Profit"/>
      <sheetName val="Average Banking (ABB)"/>
      <sheetName val="Mortgage Takeover"/>
      <sheetName val="Gross Receipt (SEP)"/>
      <sheetName val="Banking Turnover"/>
      <sheetName val="CA Assess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63"/>
  <sheetViews>
    <sheetView topLeftCell="A13" workbookViewId="0">
      <selection activeCell="A19" sqref="A19:G22"/>
    </sheetView>
  </sheetViews>
  <sheetFormatPr defaultColWidth="0" defaultRowHeight="12.75" zeroHeight="1"/>
  <cols>
    <col min="1" max="1" width="6.140625" style="1" customWidth="1"/>
    <col min="2" max="2" width="43.28515625" style="1" customWidth="1"/>
    <col min="3" max="3" width="22.7109375" style="1" customWidth="1"/>
    <col min="4" max="4" width="20.7109375" style="1" customWidth="1"/>
    <col min="5" max="5" width="14.28515625" style="1" customWidth="1"/>
    <col min="6" max="6" width="14.85546875" style="1" customWidth="1"/>
    <col min="7" max="7" width="13.5703125" style="1" customWidth="1"/>
    <col min="8" max="8" width="15.140625" style="1" customWidth="1"/>
    <col min="9" max="9" width="15.5703125" style="1" customWidth="1"/>
    <col min="10" max="10" width="15.28515625" style="1" customWidth="1"/>
    <col min="11" max="11" width="15.140625" style="1" customWidth="1"/>
    <col min="12" max="12" width="11" style="1" customWidth="1"/>
    <col min="13" max="13" width="10.140625" style="1" customWidth="1"/>
    <col min="14" max="14" width="21.85546875" style="1" customWidth="1"/>
    <col min="15" max="21" width="9.140625" style="1" customWidth="1"/>
    <col min="22" max="16384" width="9.140625" style="1" hidden="1"/>
  </cols>
  <sheetData>
    <row r="1" spans="1:21">
      <c r="A1" s="44"/>
      <c r="B1" s="198" t="s">
        <v>0</v>
      </c>
      <c r="C1" s="195" t="s">
        <v>1</v>
      </c>
      <c r="D1" s="44"/>
      <c r="E1" s="348" t="s">
        <v>2</v>
      </c>
      <c r="F1" s="349"/>
      <c r="G1" s="350"/>
      <c r="H1" s="351" t="s">
        <v>3</v>
      </c>
      <c r="I1" s="352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1:21" ht="12.75" customHeight="1">
      <c r="A4" s="353" t="s">
        <v>4</v>
      </c>
      <c r="B4" s="353"/>
      <c r="C4" s="353"/>
      <c r="D4" s="353"/>
      <c r="E4" s="353"/>
      <c r="F4" s="353"/>
      <c r="G4" s="353"/>
      <c r="H4" s="353"/>
      <c r="I4" s="353"/>
      <c r="J4" s="353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>
      <c r="A5" s="354" t="s">
        <v>5</v>
      </c>
      <c r="B5" s="354" t="s">
        <v>6</v>
      </c>
      <c r="C5" s="354" t="s">
        <v>7</v>
      </c>
      <c r="D5" s="354" t="s">
        <v>8</v>
      </c>
      <c r="E5" s="354" t="s">
        <v>9</v>
      </c>
      <c r="F5" s="354"/>
      <c r="G5" s="354" t="s">
        <v>10</v>
      </c>
      <c r="H5" s="354" t="s">
        <v>11</v>
      </c>
      <c r="I5" s="354" t="s">
        <v>12</v>
      </c>
      <c r="J5" s="354" t="s">
        <v>13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>
      <c r="A6" s="354"/>
      <c r="B6" s="354"/>
      <c r="C6" s="354"/>
      <c r="D6" s="354"/>
      <c r="E6" s="2" t="s">
        <v>14</v>
      </c>
      <c r="F6" s="2" t="s">
        <v>15</v>
      </c>
      <c r="G6" s="354"/>
      <c r="H6" s="354"/>
      <c r="I6" s="354"/>
      <c r="J6" s="35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>
      <c r="A7" s="7">
        <v>1</v>
      </c>
      <c r="B7" s="289" t="s">
        <v>16</v>
      </c>
      <c r="C7" s="184" t="s">
        <v>17</v>
      </c>
      <c r="D7" s="325" t="s">
        <v>18</v>
      </c>
      <c r="E7" s="326">
        <f>2024-1975</f>
        <v>49</v>
      </c>
      <c r="F7" s="326">
        <f t="shared" ref="F7:F8" si="0">E7+20</f>
        <v>69</v>
      </c>
      <c r="G7" s="325" t="s">
        <v>19</v>
      </c>
      <c r="H7" s="326">
        <v>781</v>
      </c>
      <c r="I7" s="326" t="s">
        <v>20</v>
      </c>
      <c r="J7" s="326" t="s">
        <v>20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>
      <c r="A8" s="7">
        <v>2</v>
      </c>
      <c r="B8" s="289" t="s">
        <v>21</v>
      </c>
      <c r="C8" s="184" t="s">
        <v>17</v>
      </c>
      <c r="D8" s="325" t="s">
        <v>22</v>
      </c>
      <c r="E8" s="326">
        <f>2024-1982</f>
        <v>42</v>
      </c>
      <c r="F8" s="326">
        <f t="shared" si="0"/>
        <v>62</v>
      </c>
      <c r="G8" s="325" t="s">
        <v>23</v>
      </c>
      <c r="H8" s="326">
        <v>-1</v>
      </c>
      <c r="I8" s="326" t="s">
        <v>24</v>
      </c>
      <c r="J8" s="326" t="s">
        <v>24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1:21">
      <c r="A9" s="7">
        <v>3</v>
      </c>
      <c r="B9" s="195"/>
      <c r="C9" s="184"/>
      <c r="D9" s="325"/>
      <c r="E9" s="326"/>
      <c r="F9" s="326"/>
      <c r="G9" s="325"/>
      <c r="H9" s="326"/>
      <c r="I9" s="326"/>
      <c r="J9" s="326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7">
        <v>4</v>
      </c>
      <c r="B10" s="195"/>
      <c r="C10" s="184"/>
      <c r="D10" s="325"/>
      <c r="E10" s="326"/>
      <c r="F10" s="326"/>
      <c r="G10" s="325"/>
      <c r="H10" s="326"/>
      <c r="I10" s="326"/>
      <c r="J10" s="326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7">
        <v>5</v>
      </c>
      <c r="B11" s="195"/>
      <c r="C11" s="184"/>
      <c r="D11" s="184"/>
      <c r="E11" s="184"/>
      <c r="F11" s="184"/>
      <c r="G11" s="184"/>
      <c r="H11" s="184"/>
      <c r="I11" s="184"/>
      <c r="J11" s="18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7">
        <v>6</v>
      </c>
      <c r="B12" s="195"/>
      <c r="C12" s="184"/>
      <c r="D12" s="184"/>
      <c r="E12" s="184"/>
      <c r="F12" s="184"/>
      <c r="G12" s="184"/>
      <c r="H12" s="184"/>
      <c r="I12" s="184"/>
      <c r="J12" s="18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7">
        <v>7</v>
      </c>
      <c r="B13" s="195"/>
      <c r="C13" s="184"/>
      <c r="D13" s="184"/>
      <c r="E13" s="184"/>
      <c r="F13" s="184"/>
      <c r="G13" s="184"/>
      <c r="H13" s="184"/>
      <c r="I13" s="184"/>
      <c r="J13" s="18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7">
        <v>8</v>
      </c>
      <c r="B14" s="195"/>
      <c r="C14" s="184"/>
      <c r="D14" s="184"/>
      <c r="E14" s="184"/>
      <c r="F14" s="184"/>
      <c r="G14" s="184"/>
      <c r="H14" s="184"/>
      <c r="I14" s="184"/>
      <c r="J14" s="18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>
      <c r="A15" s="7">
        <v>9</v>
      </c>
      <c r="B15" s="195"/>
      <c r="C15" s="184"/>
      <c r="D15" s="184"/>
      <c r="E15" s="184"/>
      <c r="F15" s="184"/>
      <c r="G15" s="184"/>
      <c r="H15" s="184"/>
      <c r="I15" s="184"/>
      <c r="J15" s="18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</row>
    <row r="16" spans="1:21">
      <c r="A16" s="7">
        <v>10</v>
      </c>
      <c r="B16" s="195"/>
      <c r="C16" s="184"/>
      <c r="D16" s="184"/>
      <c r="E16" s="184"/>
      <c r="F16" s="184"/>
      <c r="G16" s="184"/>
      <c r="H16" s="184"/>
      <c r="I16" s="184"/>
      <c r="J16" s="18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</row>
    <row r="1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spans="1:2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</row>
    <row r="19" spans="1:21">
      <c r="A19" s="353" t="s">
        <v>25</v>
      </c>
      <c r="B19" s="353"/>
      <c r="C19" s="353"/>
      <c r="D19" s="353"/>
      <c r="E19" s="353"/>
      <c r="F19" s="353"/>
      <c r="G19" s="353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1:21">
      <c r="A20" s="355"/>
      <c r="B20" s="355"/>
      <c r="C20" s="355"/>
      <c r="D20" s="355"/>
      <c r="E20" s="355"/>
      <c r="F20" s="355"/>
      <c r="G20" s="35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</row>
    <row r="21" spans="1:21">
      <c r="A21" s="2" t="s">
        <v>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</row>
    <row r="22" spans="1:21" ht="25.5">
      <c r="A22" s="7">
        <v>1</v>
      </c>
      <c r="B22" s="195" t="s">
        <v>1843</v>
      </c>
      <c r="C22" s="195" t="s">
        <v>33</v>
      </c>
      <c r="D22" s="327">
        <v>3000000</v>
      </c>
      <c r="E22" s="328">
        <v>240</v>
      </c>
      <c r="F22" s="329">
        <v>0.12</v>
      </c>
      <c r="G22" s="12">
        <f>IFERROR(CEILING(PMT(F22/12,E22,-D22),1),0)</f>
        <v>33033</v>
      </c>
      <c r="H22" s="330" t="s">
        <v>34</v>
      </c>
      <c r="I22" s="330" t="str">
        <f>IF(AND(B22="",B23="",B24="",B25="",B26=""),"",IF(OR(B22=Validation!A29,B22=Validation!A36,B23=Validation!A29,B23=Validation!A36,B24=Validation!A29,B24=Validation!A36,B25=Validation!A29,B25=Validation!A36,B26=Validation!A29,B26=Validation!A36),"Y","N"))</f>
        <v>N</v>
      </c>
      <c r="J22" s="14">
        <f>IF(B22="",0,IF(AND(B22=Validation!$A$37,OR($H$28="IndlGPL",$H$28="IndlGPLIns",$H$28="LAPGPL",$H$28="LAPGPLIns")),60,IF(AND(B22=Validation!$A$37,OR($H$28="HLGPL",$H$28="HLGPLIns",$H$28="GPL",$H$28="GPLIns")),120,IF($H$28="Indl",120,IF($H$28="LAP",240,360)))))</f>
        <v>360</v>
      </c>
      <c r="K22" s="14">
        <f>IFERROR(IF(AND(H1="Salaried",OR(B22=Validation!A19,B22=Validation!A22,B22=Validation!A25,B22=Validation!A38)),360,VLOOKUP(B22,Validation!$A$19:$B$38,2,0)),0)</f>
        <v>240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spans="1:21">
      <c r="A23" s="7">
        <v>2</v>
      </c>
      <c r="B23" s="195"/>
      <c r="C23" s="195"/>
      <c r="D23" s="327"/>
      <c r="E23" s="328"/>
      <c r="F23" s="329"/>
      <c r="G23" s="12">
        <f t="shared" ref="G23:G26" si="1">IFERROR(CEILING(PMT(F23/12,E23,-D23),1),0)</f>
        <v>0</v>
      </c>
      <c r="H23" s="330" t="s">
        <v>35</v>
      </c>
      <c r="I23" s="330" t="str">
        <f>IF(AND(B22="",B23="",B24="",B25="",B26=""),"",IF(OR(B22=Validation!A27,B22=Validation!A28,B22=Validation!A30,B22=Validation!A31,B22=Validation!A32,B22=Validation!A33,B22=Validation!A35,B23=Validation!A27,B23=Validation!A28,B23=Validation!A30,B23=Validation!A31,B23=Validation!A32,B23=Validation!A33,B23=Validation!A35,B24=Validation!A27,B24=Validation!A28,B24=Validation!A30,B24=Validation!A31,B24=Validation!A32,B24=Validation!A33,B24=Validation!A35,B25=Validation!A27,B25=Validation!A28,B25=Validation!A30,B25=Validation!A31,B25=Validation!A32,B25=Validation!A33,B25=Validation!A35,B26=Validation!A27,B26=Validation!A28,B26=Validation!A30,B26=Validation!A31,B26=Validation!A32,B26=Validation!A33,B26=Validation!A35),"Y","N"))</f>
        <v>N</v>
      </c>
      <c r="J23" s="14">
        <f>IF(B23="",0,IF(AND(B23=Validation!$A$37,OR($H$28="IndlGPL",$H$28="IndlGPLIns",$H$28="LAPGPL",$H$28="LAPGPLIns")),60,IF(AND(B23=Validation!$A$37,OR($H$28="HLGPL",$H$28="HLGPLIns",$H$28="GPL",$H$28="GPLIns")),120,IF($H$28="Indl",120,IF($H$28="LAP",240,360)))))</f>
        <v>0</v>
      </c>
      <c r="K23" s="14">
        <f>IFERROR(IF(AND(H2="Salaried",OR(B23=Validation!A20,B23=Validation!A23,B23=Validation!A26,B23=Validation!A39)),360,VLOOKUP(B23,Validation!$A$19:$B$38,2,0)),0)</f>
        <v>0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spans="1:21">
      <c r="A24" s="7">
        <v>3</v>
      </c>
      <c r="B24" s="195"/>
      <c r="C24" s="195"/>
      <c r="D24" s="327"/>
      <c r="E24" s="328"/>
      <c r="F24" s="329"/>
      <c r="G24" s="12">
        <f t="shared" si="1"/>
        <v>0</v>
      </c>
      <c r="H24" s="330" t="s">
        <v>36</v>
      </c>
      <c r="I24" s="330" t="str">
        <f>IF(AND(B22="",B23="",B24="",B25="",B26=""),"",IF(OR(B22=Validation!A37,B23=Validation!A37,B24=Validation!A37,B25=Validation!A37,B26=Validation!A37),"Y","N"))</f>
        <v>N</v>
      </c>
      <c r="J24" s="14">
        <f>IF(B24="",0,IF(AND(B24=Validation!$A$37,OR($H$28="IndlGPL",$H$28="IndlGPLIns",$H$28="LAPGPL",$H$28="LAPGPLIns")),60,IF(AND(B24=Validation!$A$37,OR($H$28="HLGPL",$H$28="HLGPLIns",$H$28="GPL",$H$28="GPLIns")),120,IF($H$28="Indl",120,IF($H$28="LAP",240,360)))))</f>
        <v>0</v>
      </c>
      <c r="K24" s="14">
        <f>IFERROR(IF(AND(H3="Salaried",OR(B24=Validation!A21,B24=Validation!A24,B24=Validation!A27,B24=Validation!A40)),360,VLOOKUP(B24,Validation!$A$19:$B$38,2,0)),0)</f>
        <v>0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spans="1:21">
      <c r="A25" s="7">
        <v>4</v>
      </c>
      <c r="B25" s="195"/>
      <c r="C25" s="195"/>
      <c r="D25" s="327"/>
      <c r="E25" s="328"/>
      <c r="F25" s="329"/>
      <c r="G25" s="12">
        <f t="shared" si="1"/>
        <v>0</v>
      </c>
      <c r="H25" s="330" t="s">
        <v>37</v>
      </c>
      <c r="I25" s="330" t="str">
        <f>IF(AND(B22="",B23="",B24="",B25="",B26=""),"",IF(OR(B22=Validation!A38,B23=Validation!A38,B24=Validation!A38,B25=Validation!A38,B26=Validation!A38),"Y","N"))</f>
        <v>N</v>
      </c>
      <c r="J25" s="14">
        <f>IF(B25="",0,IF(AND(B25=Validation!$A$37,OR($H$28="IndlGPL",$H$28="IndlGPLIns",$H$28="LAPGPL",$H$28="LAPGPLIns")),60,IF(AND(B25=Validation!$A$37,OR($H$28="HLGPL",$H$28="HLGPLIns",$H$28="GPL",$H$28="GPLIns")),120,IF($H$28="Indl",120,IF($H$28="LAP",240,360)))))</f>
        <v>0</v>
      </c>
      <c r="K25" s="14">
        <f>IFERROR(IF(AND(H4="Salaried",OR(B25=Validation!A22,B25=Validation!A25,B25=Validation!A28,B25=Validation!A41)),360,VLOOKUP(B25,Validation!$A$19:$B$38,2,0)),0)</f>
        <v>0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7">
        <v>5</v>
      </c>
      <c r="B26" s="195"/>
      <c r="C26" s="195"/>
      <c r="D26" s="327"/>
      <c r="E26" s="328"/>
      <c r="F26" s="329"/>
      <c r="G26" s="12">
        <f t="shared" si="1"/>
        <v>0</v>
      </c>
      <c r="H26" s="330" t="s">
        <v>38</v>
      </c>
      <c r="I26" s="14" t="str">
        <f>IF(AND(B22="",B23="",B24="",B25="",B26=""),"",IF(OR(B22=Validation!A19,B22=Validation!A20,B22=Validation!A21,B22=Validation!A22,B22=Validation!A23,B22=Validation!A24,B22=Validation!A25,B22=Validation!A26,B23=Validation!A19,B23=Validation!A20,B23=Validation!A21,B23=Validation!A22,B23=Validation!A23,B23=Validation!A24,B23=Validation!A25,B23=Validation!A26,B24=Validation!A19,B24=Validation!A20,B24=Validation!A21,B24=Validation!A22,B24=Validation!A23,B24=Validation!A24,B24=Validation!A25,B24=Validation!A26,B25=Validation!A19,B25=Validation!A20,B25=Validation!A21,B25=Validation!A22,B25=Validation!A23,B25=Validation!A24,B25=Validation!A25,B25=Validation!A26,B26=Validation!A19,B26=Validation!A20,B26=Validation!A21,B26=Validation!A22,B26=Validation!A23,B26=Validation!A24,B26=Validation!A25,B26=Validation!A26),"Y","N"))</f>
        <v>Y</v>
      </c>
      <c r="J26" s="14">
        <f>IF(B26="",0,IF(AND(B26=Validation!$A$37,OR($H$28="IndlGPL",$H$28="IndlGPLIns",$H$28="LAPGPL",$H$28="LAPGPLIns")),60,IF(AND(B26=Validation!$A$37,OR($H$28="HLGPL",$H$28="HLGPLIns",$H$28="GPL",$H$28="GPLIns")),120,IF($H$28="Indl",120,IF($H$28="LAP",240,360)))))</f>
        <v>0</v>
      </c>
      <c r="K26" s="14">
        <f>IFERROR(IF(AND(H5="Salaried",OR(B26=Validation!A23,B26=Validation!A26,B26=Validation!A29,B26=Validation!A42)),360,VLOOKUP(B26,Validation!$A$19:$B$38,2,0)),0)</f>
        <v>0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331" t="s">
        <v>39</v>
      </c>
      <c r="B27" s="356"/>
      <c r="C27" s="357"/>
      <c r="D27" s="332">
        <f>SUM(D22:D26)</f>
        <v>3000000</v>
      </c>
      <c r="E27" s="333">
        <f>IFERROR(SUMPRODUCT($D$22:$D$26,$E$22:$E$26)/$D$27,0)</f>
        <v>240</v>
      </c>
      <c r="F27" s="334">
        <f>IFERROR(SUMPRODUCT($D$22:$D$26,$F$22:$F$26)/$D$27,0)</f>
        <v>0.12</v>
      </c>
      <c r="G27" s="332">
        <f>SUM(G22:G26)</f>
        <v>33033</v>
      </c>
      <c r="H27" s="14"/>
      <c r="I27" s="14"/>
      <c r="J27" s="339"/>
      <c r="K27" s="339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B28" s="14">
        <f>COUNTIF($B$22:$B$26,Validation!$A$19)+COUNTIF($B$22:$B$26,Validation!$A$20)+COUNTIF($B$22:$B$26,Validation!$A$21)+COUNTIF($B$22:$B$26,Validation!$A$22)+COUNTIF($B$22:$B$26,Validation!$A$23)+COUNTIF($B$22:$B$26,Validation!$A$24)+COUNTIF($B$22:$B$26,Validation!$A$25)+COUNTIF($B$22:$B$26,Validation!$A$26)</f>
        <v>1</v>
      </c>
      <c r="C28" s="15" t="s">
        <v>40</v>
      </c>
      <c r="D28" s="335">
        <f>D27-SUMIF(B22:B26,Validation!A37,D22:D26)-SUMIF(B22:B26,Validation!A38,D22:D26)</f>
        <v>3000000</v>
      </c>
      <c r="F28" s="336">
        <f>G27/D27</f>
        <v>1.1011E-2</v>
      </c>
      <c r="G28" s="335">
        <f>G27-SUMIF(B22:B26,Validation!A37,G22:G26)-SUMIF(B22:B26,Validation!A38,G22:G26)</f>
        <v>33033</v>
      </c>
      <c r="H28" s="14" t="str">
        <f>IF(AND(I22="Y",I24="Y",I25="Y"),"IndlGPLIns",IF(AND(I22="Y",I24="Y"),"IndlGPL",IF(AND(I22="Y",I25="Y"),"IndlIns",IF(I22="Y","Indl",IF(AND(I23="Y",I24="Y",I25="Y"),"LAPGPLIns",IF(AND(I23="Y",I24="Y"),"LAPGPL",IF(AND(I23="Y",I25="Y"),"LAPIns",IF(I23="Y","LAP",IF(AND(I26="Y",I24="Y",I25="Y"),"HLGPLIns",IF(AND(I26="Y",I24="Y"),"HLGPL",IF(AND(I26="Y",I25="Y"),"HLIns",IF(I26="Y","HL",IF(AND(I24="Y",I25="Y"),"GPLIns",IF(I24="Y","GPL",IF(I25="Y","Ins","")))))))))))))))</f>
        <v>HL</v>
      </c>
      <c r="I28" s="14"/>
      <c r="J28" s="339"/>
      <c r="K28" s="339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 ht="12.75" customHeight="1">
      <c r="A31" s="353" t="s">
        <v>41</v>
      </c>
      <c r="B31" s="353"/>
      <c r="C31" s="353"/>
      <c r="D31" s="353"/>
      <c r="E31" s="353"/>
      <c r="F31" s="353"/>
      <c r="G31" s="353"/>
      <c r="H31" s="353"/>
      <c r="I31" s="353"/>
      <c r="J31" s="353"/>
      <c r="K31" s="353"/>
      <c r="L31" s="353"/>
      <c r="M31" s="353"/>
      <c r="N31" s="353"/>
      <c r="O31" s="44"/>
      <c r="P31" s="44"/>
      <c r="Q31" s="44"/>
      <c r="R31" s="44"/>
      <c r="S31" s="44"/>
      <c r="T31" s="44"/>
      <c r="U31" s="44"/>
    </row>
    <row r="32" spans="1:21">
      <c r="A32" s="358"/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44"/>
      <c r="P32" s="44"/>
      <c r="Q32" s="44"/>
      <c r="R32" s="44"/>
      <c r="S32" s="44"/>
      <c r="T32" s="44"/>
      <c r="U32" s="44"/>
    </row>
    <row r="33" spans="1:21" ht="63.75">
      <c r="A33" s="2" t="s">
        <v>5</v>
      </c>
      <c r="B33" s="337" t="s">
        <v>42</v>
      </c>
      <c r="C33" s="2" t="s">
        <v>43</v>
      </c>
      <c r="D33" s="337" t="s">
        <v>44</v>
      </c>
      <c r="E33" s="337" t="s">
        <v>45</v>
      </c>
      <c r="F33" s="2" t="s">
        <v>46</v>
      </c>
      <c r="G33" s="337" t="s">
        <v>47</v>
      </c>
      <c r="H33" s="2" t="s">
        <v>48</v>
      </c>
      <c r="I33" s="2" t="s">
        <v>49</v>
      </c>
      <c r="J33" s="2" t="s">
        <v>50</v>
      </c>
      <c r="K33" s="2" t="s">
        <v>51</v>
      </c>
      <c r="L33" s="337" t="s">
        <v>52</v>
      </c>
      <c r="M33" s="2" t="s">
        <v>53</v>
      </c>
      <c r="N33" s="2" t="s">
        <v>54</v>
      </c>
      <c r="O33" s="44"/>
      <c r="P33" s="44"/>
      <c r="Q33" s="44"/>
      <c r="R33" s="44"/>
      <c r="S33" s="44"/>
      <c r="T33" s="44"/>
      <c r="U33" s="44"/>
    </row>
    <row r="34" spans="1:21" ht="25.5">
      <c r="A34" s="7">
        <v>1</v>
      </c>
      <c r="B34" s="195"/>
      <c r="C34" s="195"/>
      <c r="D34" s="195"/>
      <c r="E34" s="195"/>
      <c r="F34" s="195"/>
      <c r="G34" s="184"/>
      <c r="H34" s="327"/>
      <c r="I34" s="327"/>
      <c r="J34" s="327"/>
      <c r="K34" s="327"/>
      <c r="L34" s="329"/>
      <c r="M34" s="11" t="str">
        <f>IF(AND(I34="",J34=""),"",IF(OR(I34="",J34=""),"N.A.",IF(I34&gt;=J34,(I34-J34)/J34,(J34-I34)/I34)))</f>
        <v/>
      </c>
      <c r="N34" s="12" t="str">
        <f>IF(AND(G34="Y",OR($H$28="HL",$H$28="HLGPL",$H$28="HLIns",$H$28="HLGPLIns")),IF(K34="","Agreement Value / Property Cost required",IF(AND(I34&lt;&gt;"",J34&lt;&gt;""),MIN(I34,J34,K34),IF(I34&lt;&gt;"",MIN(I34,K34),IF(J34&lt;&gt;"",MIN(J34,K34),"")))),IF(AND(OR(G34="N",G34=""),OR($H$28="HL",$H$28="HLGPL",$H$28="HLIns",$H$28="HLGPLIns")),IF(K34="","Agreement Value / Property Cost required",IF(AND(I34&lt;&gt;"",J34&lt;&gt;""),MIN(I34,J34),IF(AND(I34&lt;&gt;"",$D$27&lt;=5000000),I34,IF(AND(J34&lt;&gt;"",$D$27&lt;=5000000),J34,"")))),IF(AND(OR(I34="",J34=""),$D$27&gt;5000000),"Two Valuations required",IF(AND(I34&lt;&gt;"",J34=""),I34,IF(AND(J34&lt;&gt;"",I34=""),J34,MIN(I34,J34))))))</f>
        <v>Agreement Value / Property Cost required</v>
      </c>
      <c r="O34" s="359" t="str">
        <f>IF(OR(I34="",J34=""),"",IF(M34&gt;15%,"3rd Valuation to be fired if Lowest Valuation not sufficient for Eligibility",""))</f>
        <v/>
      </c>
      <c r="P34" s="360"/>
      <c r="Q34" s="360"/>
      <c r="R34" s="360"/>
      <c r="S34" s="360"/>
      <c r="T34" s="360"/>
      <c r="U34" s="360"/>
    </row>
    <row r="35" spans="1:21" ht="25.5">
      <c r="A35" s="7">
        <v>2</v>
      </c>
      <c r="B35" s="195"/>
      <c r="C35" s="195"/>
      <c r="D35" s="195"/>
      <c r="E35" s="195"/>
      <c r="F35" s="195"/>
      <c r="G35" s="184"/>
      <c r="H35" s="327"/>
      <c r="I35" s="327"/>
      <c r="J35" s="327"/>
      <c r="K35" s="327"/>
      <c r="L35" s="329"/>
      <c r="M35" s="11" t="str">
        <f t="shared" ref="M35:M38" si="2">IF(AND(I35="",J35=""),"",IF(OR(I35="",J35=""),"N.A.",IF(I35&gt;=J35,(I35-J35)/J35,(J35-I35)/I35)))</f>
        <v/>
      </c>
      <c r="N35" s="12" t="str">
        <f t="shared" ref="N35:N38" si="3">IF(AND(G35="Y",OR($H$28="HL",$H$28="HLGPL",$H$28="HLIns",$H$28="HLGPLIns")),IF(K35="","Agreement Value / Property Cost required",IF(AND(I35&lt;&gt;"",J35&lt;&gt;""),MIN(I35,J35,K35),IF(I35&lt;&gt;"",MIN(I35,K35),IF(J35&lt;&gt;"",MIN(J35,K35),"")))),IF(AND(OR(G35="N",G35=""),OR($H$28="HL",$H$28="HLGPL",$H$28="HLIns",$H$28="HLGPLIns")),IF(K35="","Agreement Value / Property Cost required",IF(AND(I35&lt;&gt;"",J35&lt;&gt;""),MIN(I35,J35),IF(AND(I35&lt;&gt;"",$D$27&lt;=5000000),I35,IF(AND(J35&lt;&gt;"",$D$27&lt;=5000000),J35,"")))),IF(AND(OR(I35="",J35=""),$D$27&gt;5000000),"Two Valuations required",IF(AND(I35&lt;&gt;"",J35=""),I35,IF(AND(J35&lt;&gt;"",I35=""),J35,MIN(I35,J35))))))</f>
        <v>Agreement Value / Property Cost required</v>
      </c>
      <c r="O35" s="359" t="str">
        <f t="shared" ref="O35:O38" si="4">IF(OR(I35="",J35=""),"",IF(M35&gt;15%,"3rd Valuation to be fired if Lowest Valuation not sufficient for Eligibility",""))</f>
        <v/>
      </c>
      <c r="P35" s="360"/>
      <c r="Q35" s="360"/>
      <c r="R35" s="360"/>
      <c r="S35" s="360"/>
      <c r="T35" s="360"/>
      <c r="U35" s="360"/>
    </row>
    <row r="36" spans="1:21" ht="25.5">
      <c r="A36" s="7">
        <v>3</v>
      </c>
      <c r="B36" s="195"/>
      <c r="C36" s="195"/>
      <c r="D36" s="195"/>
      <c r="E36" s="195"/>
      <c r="F36" s="195"/>
      <c r="G36" s="184"/>
      <c r="H36" s="327"/>
      <c r="I36" s="327"/>
      <c r="J36" s="327"/>
      <c r="K36" s="327"/>
      <c r="L36" s="329"/>
      <c r="M36" s="11" t="str">
        <f t="shared" si="2"/>
        <v/>
      </c>
      <c r="N36" s="12" t="str">
        <f t="shared" si="3"/>
        <v>Agreement Value / Property Cost required</v>
      </c>
      <c r="O36" s="359" t="str">
        <f t="shared" si="4"/>
        <v/>
      </c>
      <c r="P36" s="360"/>
      <c r="Q36" s="360"/>
      <c r="R36" s="360"/>
      <c r="S36" s="360"/>
      <c r="T36" s="360"/>
      <c r="U36" s="360"/>
    </row>
    <row r="37" spans="1:21" ht="25.5">
      <c r="A37" s="7">
        <v>4</v>
      </c>
      <c r="B37" s="195"/>
      <c r="C37" s="195"/>
      <c r="D37" s="195"/>
      <c r="E37" s="195"/>
      <c r="F37" s="195"/>
      <c r="G37" s="184"/>
      <c r="H37" s="327"/>
      <c r="I37" s="327"/>
      <c r="J37" s="327"/>
      <c r="K37" s="327"/>
      <c r="L37" s="329"/>
      <c r="M37" s="11" t="str">
        <f t="shared" si="2"/>
        <v/>
      </c>
      <c r="N37" s="12" t="str">
        <f t="shared" si="3"/>
        <v>Agreement Value / Property Cost required</v>
      </c>
      <c r="O37" s="359" t="str">
        <f t="shared" si="4"/>
        <v/>
      </c>
      <c r="P37" s="360"/>
      <c r="Q37" s="360"/>
      <c r="R37" s="360"/>
      <c r="S37" s="360"/>
      <c r="T37" s="360"/>
      <c r="U37" s="360"/>
    </row>
    <row r="38" spans="1:21" ht="25.5">
      <c r="A38" s="7">
        <v>5</v>
      </c>
      <c r="B38" s="195"/>
      <c r="C38" s="195"/>
      <c r="D38" s="195"/>
      <c r="E38" s="195"/>
      <c r="F38" s="195"/>
      <c r="G38" s="184"/>
      <c r="H38" s="327"/>
      <c r="I38" s="327"/>
      <c r="J38" s="327"/>
      <c r="K38" s="327"/>
      <c r="L38" s="329"/>
      <c r="M38" s="11" t="str">
        <f t="shared" si="2"/>
        <v/>
      </c>
      <c r="N38" s="12" t="str">
        <f t="shared" si="3"/>
        <v>Agreement Value / Property Cost required</v>
      </c>
      <c r="O38" s="359" t="str">
        <f t="shared" si="4"/>
        <v/>
      </c>
      <c r="P38" s="360"/>
      <c r="Q38" s="360"/>
      <c r="R38" s="360"/>
      <c r="S38" s="360"/>
      <c r="T38" s="360"/>
      <c r="U38" s="360"/>
    </row>
    <row r="39" spans="1:21">
      <c r="A39" s="361" t="s">
        <v>39</v>
      </c>
      <c r="B39" s="362"/>
      <c r="C39" s="362"/>
      <c r="D39" s="362"/>
      <c r="E39" s="362"/>
      <c r="F39" s="363"/>
      <c r="G39" s="338"/>
      <c r="H39" s="332">
        <f t="shared" ref="H39:I39" si="5">SUM(H34:H38)</f>
        <v>0</v>
      </c>
      <c r="I39" s="332">
        <f t="shared" si="5"/>
        <v>0</v>
      </c>
      <c r="J39" s="332">
        <f t="shared" ref="J39:K39" si="6">SUM(J34:J38)</f>
        <v>0</v>
      </c>
      <c r="K39" s="332">
        <f t="shared" si="6"/>
        <v>0</v>
      </c>
      <c r="L39" s="340"/>
      <c r="M39" s="341"/>
      <c r="N39" s="332">
        <f t="shared" ref="N39" si="7">SUM(N34:N38)</f>
        <v>0</v>
      </c>
      <c r="O39" s="44"/>
      <c r="P39" s="44"/>
      <c r="Q39" s="44"/>
      <c r="R39" s="44"/>
      <c r="S39" s="44"/>
      <c r="T39" s="44"/>
      <c r="U39" s="44"/>
    </row>
    <row r="40" spans="1:21" ht="25.5">
      <c r="A40" s="14"/>
      <c r="B40" s="14"/>
      <c r="C40" s="14"/>
      <c r="D40" s="14"/>
      <c r="E40" s="14"/>
      <c r="F40" s="14" t="str">
        <f>IF(AND(F34="",F35="",F36="",F37="",F38=""),"",IF(OR(F34=Validation!A83,F35=Validation!A83,F36=Validation!A83,F37=Validation!A83,F38=Validation!A83),Validation!A83,IF(OR(F34=Validation!A82,F35=Validation!A82,F36=Validation!A82,F37=Validation!A82,F38=Validation!A82),Validation!A82,Validation!A81)))</f>
        <v/>
      </c>
      <c r="G40" s="14"/>
      <c r="H40" s="14"/>
      <c r="I40" s="171" t="s">
        <v>55</v>
      </c>
      <c r="J40" s="12">
        <f>N39</f>
        <v>0</v>
      </c>
      <c r="K40" s="14"/>
      <c r="L40" s="1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364" t="s">
        <v>56</v>
      </c>
      <c r="B43" s="364"/>
      <c r="C43" s="364"/>
      <c r="D43" s="364"/>
      <c r="E43" s="36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365" t="s">
        <v>57</v>
      </c>
      <c r="E44" s="365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354" t="s">
        <v>58</v>
      </c>
      <c r="B45" s="354"/>
      <c r="C45" s="354"/>
      <c r="D45" s="2" t="str">
        <f>PrimeConsolidated!C7</f>
        <v>FY 2023-24</v>
      </c>
      <c r="E45" s="2" t="str">
        <f>PrimeConsolidated!D7</f>
        <v>FY 2022-23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 ht="27" customHeight="1">
      <c r="A46" s="366" t="s">
        <v>59</v>
      </c>
      <c r="B46" s="366"/>
      <c r="C46" s="366"/>
      <c r="D46" s="327"/>
      <c r="E46" s="327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 ht="26.25" customHeight="1">
      <c r="A47" s="366" t="s">
        <v>60</v>
      </c>
      <c r="B47" s="366"/>
      <c r="C47" s="366"/>
      <c r="D47" s="327"/>
      <c r="E47" s="327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 ht="14.25" customHeight="1">
      <c r="A48" s="366" t="s">
        <v>61</v>
      </c>
      <c r="B48" s="366"/>
      <c r="C48" s="366"/>
      <c r="D48" s="327"/>
      <c r="E48" s="327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 ht="39.75" customHeight="1">
      <c r="A49" s="366" t="s">
        <v>62</v>
      </c>
      <c r="B49" s="366"/>
      <c r="C49" s="366"/>
      <c r="D49" s="327"/>
      <c r="E49" s="368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367" t="s">
        <v>63</v>
      </c>
      <c r="B50" s="366"/>
      <c r="C50" s="366"/>
      <c r="D50" s="327"/>
      <c r="E50" s="369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 ht="26.25" customHeight="1">
      <c r="A51" s="366" t="s">
        <v>64</v>
      </c>
      <c r="B51" s="366"/>
      <c r="C51" s="366"/>
      <c r="D51" s="327"/>
      <c r="E51" s="369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 ht="26.25" customHeight="1">
      <c r="A52" s="366" t="s">
        <v>65</v>
      </c>
      <c r="B52" s="366"/>
      <c r="C52" s="366"/>
      <c r="D52" s="327"/>
      <c r="E52" s="369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 ht="52.5" customHeight="1">
      <c r="A53" s="366" t="s">
        <v>66</v>
      </c>
      <c r="B53" s="366"/>
      <c r="C53" s="366"/>
      <c r="D53" s="327"/>
      <c r="E53" s="369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366" t="s">
        <v>67</v>
      </c>
      <c r="B54" s="366"/>
      <c r="C54" s="366"/>
      <c r="D54" s="195"/>
      <c r="E54" s="12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61" spans="1:21"/>
    <row r="62" spans="1:21"/>
    <row r="63" spans="1:21"/>
  </sheetData>
  <sheetProtection algorithmName="SHA-512" hashValue="zL4ekyt3oAi5iWDDCYvhsnoXq4ayhQR78y6y2P5R8DM487e7KIhi2reyJ3sfu5yp9EdhJLBpW/rKZgLXXJn53Q==" saltValue="IWtiMZEKsUbLQ/LBqSRHug==" spinCount="100000" sheet="1" formatCells="0" formatColumns="0" formatRows="0" insertColumns="0" insertRows="0" autoFilter="0"/>
  <mergeCells count="36">
    <mergeCell ref="E49:E53"/>
    <mergeCell ref="G5:G6"/>
    <mergeCell ref="H5:H6"/>
    <mergeCell ref="I5:I6"/>
    <mergeCell ref="J5:J6"/>
    <mergeCell ref="A53:C53"/>
    <mergeCell ref="A54:C54"/>
    <mergeCell ref="A5:A6"/>
    <mergeCell ref="B5:B6"/>
    <mergeCell ref="C5:C6"/>
    <mergeCell ref="A48:C48"/>
    <mergeCell ref="A49:C49"/>
    <mergeCell ref="A50:C50"/>
    <mergeCell ref="A51:C51"/>
    <mergeCell ref="A52:C52"/>
    <mergeCell ref="A43:E43"/>
    <mergeCell ref="D44:E44"/>
    <mergeCell ref="A45:C45"/>
    <mergeCell ref="A46:C46"/>
    <mergeCell ref="A47:C47"/>
    <mergeCell ref="O35:U35"/>
    <mergeCell ref="O36:U36"/>
    <mergeCell ref="O37:U37"/>
    <mergeCell ref="O38:U38"/>
    <mergeCell ref="A39:F39"/>
    <mergeCell ref="A20:G20"/>
    <mergeCell ref="B27:C27"/>
    <mergeCell ref="A31:N31"/>
    <mergeCell ref="A32:N32"/>
    <mergeCell ref="O34:U34"/>
    <mergeCell ref="E1:G1"/>
    <mergeCell ref="H1:I1"/>
    <mergeCell ref="A4:J4"/>
    <mergeCell ref="E5:F5"/>
    <mergeCell ref="A19:G19"/>
    <mergeCell ref="D5:D6"/>
  </mergeCells>
  <dataValidations count="5">
    <dataValidation type="list" allowBlank="1" showInputMessage="1" showErrorMessage="1" sqref="C1">
      <formula1>"Prime,Affordable"</formula1>
    </dataValidation>
    <dataValidation type="list" allowBlank="1" showInputMessage="1" showErrorMessage="1" sqref="H1:I1">
      <formula1>"Salaried,Self-employed Non-Professional (SENP),Self-employed Professional (SEP),Salaried+SENP/SEP"</formula1>
    </dataValidation>
    <dataValidation type="list" allowBlank="1" showInputMessage="1" showErrorMessage="1" sqref="D54">
      <formula1>"Doctor,Chartered Accountant,Architect"</formula1>
    </dataValidation>
    <dataValidation type="whole" allowBlank="1" showInputMessage="1" showErrorMessage="1" sqref="E22:E27">
      <formula1>1</formula1>
      <formula2>K22</formula2>
    </dataValidation>
    <dataValidation type="list" allowBlank="1" showInputMessage="1" showErrorMessage="1" sqref="G34:G38 I7:J16">
      <formula1>"Y,N"</formula1>
    </dataValidation>
  </dataValidations>
  <pageMargins left="0.7" right="0.7" top="0.75" bottom="0.75" header="0.3" footer="0.3"/>
  <pageSetup orientation="portrait"/>
  <ignoredErrors>
    <ignoredError sqref="F28" evalError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Validation!$A$57:$A$69</xm:f>
          </x14:formula1>
          <xm:sqref>C22:C26</xm:sqref>
        </x14:dataValidation>
        <x14:dataValidation type="list" allowBlank="1" showInputMessage="1" showErrorMessage="1">
          <x14:formula1>
            <xm:f>Validation!$A$7:$A$16</xm:f>
          </x14:formula1>
          <xm:sqref>C7:C16</xm:sqref>
        </x14:dataValidation>
        <x14:dataValidation type="list" allowBlank="1" showInputMessage="1" showErrorMessage="1">
          <x14:formula1>
            <xm:f>Validation!$A$19:$A$38</xm:f>
          </x14:formula1>
          <xm:sqref>B22:B26</xm:sqref>
        </x14:dataValidation>
        <x14:dataValidation type="list" allowBlank="1" showInputMessage="1" showErrorMessage="1">
          <x14:formula1>
            <xm:f>Validation!$A$73:$A$77</xm:f>
          </x14:formula1>
          <xm:sqref>C34:C38</xm:sqref>
        </x14:dataValidation>
        <x14:dataValidation type="list" allowBlank="1" showInputMessage="1" showErrorMessage="1">
          <x14:formula1>
            <xm:f>Validation!$A$81:$A$83</xm:f>
          </x14:formula1>
          <xm:sqref>F34:F38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I71"/>
  <sheetViews>
    <sheetView showGridLines="0" workbookViewId="0">
      <selection activeCell="B5" sqref="B5:F5"/>
    </sheetView>
  </sheetViews>
  <sheetFormatPr defaultColWidth="0" defaultRowHeight="12.75" zeroHeight="1"/>
  <cols>
    <col min="1" max="1" width="48.140625" style="298" customWidth="1"/>
    <col min="2" max="3" width="12.28515625" style="299" customWidth="1"/>
    <col min="4" max="4" width="20.7109375" style="299" customWidth="1"/>
    <col min="5" max="5" width="14.140625" style="299" customWidth="1"/>
    <col min="6" max="6" width="20.7109375" style="299" customWidth="1"/>
    <col min="7" max="7" width="1.140625" style="296" hidden="1" customWidth="1"/>
    <col min="8" max="35" width="9.140625" style="296" hidden="1" customWidth="1"/>
    <col min="36" max="16384" width="9.140625" style="299" hidden="1"/>
  </cols>
  <sheetData>
    <row r="1" spans="1:6" s="296" customFormat="1">
      <c r="A1" s="370" t="s">
        <v>68</v>
      </c>
      <c r="B1" s="370"/>
      <c r="C1" s="370"/>
      <c r="D1" s="370"/>
      <c r="E1" s="370"/>
      <c r="F1" s="370"/>
    </row>
    <row r="2" spans="1:6" s="296" customFormat="1">
      <c r="A2" s="300" t="s">
        <v>69</v>
      </c>
      <c r="B2" s="371">
        <f>BasicInput!$D$27</f>
        <v>3000000</v>
      </c>
      <c r="C2" s="371"/>
      <c r="D2" s="371"/>
      <c r="E2" s="371"/>
      <c r="F2" s="371"/>
    </row>
    <row r="3" spans="1:6" s="296" customFormat="1">
      <c r="A3" s="300" t="s">
        <v>70</v>
      </c>
      <c r="B3" s="372">
        <f>BasicInput!$F$27</f>
        <v>0.12</v>
      </c>
      <c r="C3" s="372"/>
      <c r="D3" s="373"/>
      <c r="E3" s="373"/>
      <c r="F3" s="373"/>
    </row>
    <row r="4" spans="1:6" s="296" customFormat="1">
      <c r="A4" s="300" t="s">
        <v>71</v>
      </c>
      <c r="B4" s="374">
        <f>BasicInput!$E$27</f>
        <v>240</v>
      </c>
      <c r="C4" s="373"/>
      <c r="D4" s="373"/>
      <c r="E4" s="373"/>
      <c r="F4" s="373"/>
    </row>
    <row r="5" spans="1:6" s="296" customFormat="1">
      <c r="A5" s="300" t="s">
        <v>72</v>
      </c>
      <c r="B5" s="374">
        <f>BasicInput!$G$27</f>
        <v>33033</v>
      </c>
      <c r="C5" s="374"/>
      <c r="D5" s="374"/>
      <c r="E5" s="374"/>
      <c r="F5" s="374"/>
    </row>
    <row r="6" spans="1:6" s="296" customFormat="1">
      <c r="A6" s="129"/>
      <c r="B6" s="375"/>
      <c r="C6" s="376"/>
      <c r="D6" s="376"/>
      <c r="E6" s="376"/>
      <c r="F6" s="377"/>
    </row>
    <row r="7" spans="1:6" s="296" customFormat="1">
      <c r="A7" s="300" t="s">
        <v>73</v>
      </c>
      <c r="B7" s="378" t="s">
        <v>32</v>
      </c>
      <c r="C7" s="378"/>
      <c r="D7" s="378"/>
      <c r="E7" s="378"/>
      <c r="F7" s="378"/>
    </row>
    <row r="8" spans="1:6" s="296" customFormat="1">
      <c r="A8" s="301" t="s">
        <v>74</v>
      </c>
      <c r="B8" s="379" t="s">
        <v>75</v>
      </c>
      <c r="C8" s="379"/>
      <c r="D8" s="379"/>
      <c r="E8" s="379"/>
      <c r="F8" s="379"/>
    </row>
    <row r="9" spans="1:6" s="296" customFormat="1">
      <c r="A9" s="129" t="s">
        <v>76</v>
      </c>
      <c r="B9" s="371">
        <f>BasicInput!$I$39</f>
        <v>0</v>
      </c>
      <c r="C9" s="371"/>
      <c r="D9" s="371"/>
      <c r="E9" s="371"/>
      <c r="F9" s="371"/>
    </row>
    <row r="10" spans="1:6" s="296" customFormat="1">
      <c r="A10" s="129" t="s">
        <v>77</v>
      </c>
      <c r="B10" s="371">
        <f>BasicInput!$J$39</f>
        <v>0</v>
      </c>
      <c r="C10" s="371"/>
      <c r="D10" s="371"/>
      <c r="E10" s="371"/>
      <c r="F10" s="371"/>
    </row>
    <row r="11" spans="1:6" s="296" customFormat="1">
      <c r="A11" s="131" t="s">
        <v>78</v>
      </c>
      <c r="B11" s="380">
        <f>IF($B$2&lt;5000000,$B$9,MIN($B$9,$B$10))</f>
        <v>0</v>
      </c>
      <c r="C11" s="380"/>
      <c r="D11" s="380"/>
      <c r="E11" s="380"/>
      <c r="F11" s="380"/>
    </row>
    <row r="12" spans="1:6" s="296" customFormat="1">
      <c r="A12" s="129"/>
      <c r="B12" s="375"/>
      <c r="C12" s="376"/>
      <c r="D12" s="376"/>
      <c r="E12" s="376"/>
      <c r="F12" s="377"/>
    </row>
    <row r="13" spans="1:6" s="296" customFormat="1">
      <c r="A13" s="301" t="s">
        <v>79</v>
      </c>
      <c r="B13" s="379" t="s">
        <v>75</v>
      </c>
      <c r="C13" s="379"/>
      <c r="D13" s="379"/>
      <c r="E13" s="379"/>
      <c r="F13" s="379"/>
    </row>
    <row r="14" spans="1:6" s="296" customFormat="1" ht="25.5">
      <c r="A14" s="129" t="s">
        <v>80</v>
      </c>
      <c r="B14" s="371">
        <f>'ExistingLoans&amp;Facilities&amp;RTR'!$N$103</f>
        <v>0</v>
      </c>
      <c r="C14" s="371"/>
      <c r="D14" s="371"/>
      <c r="E14" s="371"/>
      <c r="F14" s="371"/>
    </row>
    <row r="15" spans="1:6" s="296" customFormat="1">
      <c r="A15" s="129" t="s">
        <v>81</v>
      </c>
      <c r="B15" s="371">
        <f>'ExistingLoans&amp;Facilities&amp;RTR'!$N$105</f>
        <v>0</v>
      </c>
      <c r="C15" s="371"/>
      <c r="D15" s="371"/>
      <c r="E15" s="371"/>
      <c r="F15" s="371"/>
    </row>
    <row r="16" spans="1:6">
      <c r="A16" s="129"/>
      <c r="B16" s="375"/>
      <c r="C16" s="376"/>
      <c r="D16" s="376"/>
      <c r="E16" s="376"/>
      <c r="F16" s="377"/>
    </row>
    <row r="17" spans="1:35">
      <c r="A17" s="381" t="s">
        <v>82</v>
      </c>
      <c r="B17" s="381"/>
      <c r="C17" s="381"/>
      <c r="D17" s="381"/>
      <c r="E17" s="381"/>
      <c r="F17" s="381"/>
    </row>
    <row r="18" spans="1:35" s="297" customFormat="1">
      <c r="A18" s="303" t="s">
        <v>83</v>
      </c>
      <c r="B18" s="304" t="s">
        <v>84</v>
      </c>
      <c r="C18" s="304" t="s">
        <v>85</v>
      </c>
      <c r="D18" s="304" t="s">
        <v>86</v>
      </c>
      <c r="E18" s="304" t="s">
        <v>87</v>
      </c>
      <c r="F18" s="304" t="s">
        <v>88</v>
      </c>
      <c r="G18" s="305"/>
      <c r="H18" s="305"/>
      <c r="I18" s="305"/>
      <c r="J18" s="305"/>
      <c r="K18" s="305"/>
      <c r="L18" s="305"/>
      <c r="M18" s="305"/>
      <c r="N18" s="305"/>
      <c r="O18" s="305"/>
      <c r="P18" s="305"/>
      <c r="Q18" s="305"/>
      <c r="R18" s="305"/>
      <c r="S18" s="305"/>
      <c r="T18" s="305"/>
      <c r="U18" s="305"/>
      <c r="V18" s="305"/>
      <c r="W18" s="305"/>
      <c r="X18" s="305"/>
      <c r="Y18" s="305"/>
      <c r="Z18" s="305"/>
      <c r="AA18" s="305"/>
      <c r="AB18" s="305"/>
      <c r="AC18" s="305"/>
      <c r="AD18" s="305"/>
      <c r="AE18" s="305"/>
      <c r="AF18" s="305"/>
      <c r="AG18" s="305"/>
      <c r="AH18" s="305"/>
      <c r="AI18" s="305"/>
    </row>
    <row r="19" spans="1:35">
      <c r="A19" s="382" t="s">
        <v>89</v>
      </c>
      <c r="B19" s="382"/>
      <c r="C19" s="382"/>
      <c r="D19" s="382"/>
      <c r="E19" s="382"/>
      <c r="F19" s="382"/>
    </row>
    <row r="20" spans="1:35">
      <c r="A20" s="306" t="s">
        <v>90</v>
      </c>
      <c r="B20" s="307">
        <v>1</v>
      </c>
      <c r="C20" s="265"/>
      <c r="D20" s="308">
        <f>ApplicantSalary!G8+'Co-app1Salary'!G8+'Co-app2Salary'!G8+'Co-app3Salary'!G8</f>
        <v>0</v>
      </c>
      <c r="E20" s="309" t="s">
        <v>91</v>
      </c>
      <c r="F20" s="128"/>
    </row>
    <row r="21" spans="1:35">
      <c r="A21" s="306" t="s">
        <v>92</v>
      </c>
      <c r="B21" s="307">
        <v>1</v>
      </c>
      <c r="C21" s="265"/>
      <c r="D21" s="308">
        <f>ApplicantSalary!G9+'Co-app1Salary'!G9+'Co-app2Salary'!G9+'Co-app3Salary'!G9</f>
        <v>0</v>
      </c>
      <c r="E21" s="309" t="s">
        <v>91</v>
      </c>
      <c r="F21" s="128"/>
    </row>
    <row r="22" spans="1:35">
      <c r="A22" s="306" t="s">
        <v>93</v>
      </c>
      <c r="B22" s="307">
        <v>1</v>
      </c>
      <c r="C22" s="265"/>
      <c r="D22" s="308">
        <f>ApplicantSalary!G10+'Co-app1Salary'!G10+'Co-app2Salary'!G10+'Co-app3Salary'!G10</f>
        <v>0</v>
      </c>
      <c r="E22" s="309" t="s">
        <v>91</v>
      </c>
      <c r="F22" s="128"/>
    </row>
    <row r="23" spans="1:35">
      <c r="A23" s="306" t="s">
        <v>94</v>
      </c>
      <c r="B23" s="307">
        <v>1</v>
      </c>
      <c r="C23" s="265"/>
      <c r="D23" s="308">
        <f>SUM(ApplicantSalary!$G$11:$G$14)+SUM('Co-app1Salary'!$G$11:$G$14)+SUM('Co-app2Salary'!$G$11:$G$14)+SUM('Co-app3Salary'!$G$11:$G$14)</f>
        <v>0</v>
      </c>
      <c r="E23" s="309" t="s">
        <v>91</v>
      </c>
      <c r="F23" s="128"/>
    </row>
    <row r="24" spans="1:35">
      <c r="A24" s="310" t="s">
        <v>95</v>
      </c>
      <c r="B24" s="307">
        <v>1</v>
      </c>
      <c r="C24" s="265"/>
      <c r="D24" s="311">
        <f>SUM(D20:D23)</f>
        <v>0</v>
      </c>
      <c r="E24" s="309" t="s">
        <v>91</v>
      </c>
      <c r="F24" s="128"/>
    </row>
    <row r="25" spans="1:35">
      <c r="A25" s="306" t="s">
        <v>96</v>
      </c>
      <c r="B25" s="307">
        <v>1</v>
      </c>
      <c r="C25" s="265"/>
      <c r="D25" s="308">
        <f>ApplicantSalary!G22+'Co-app1Salary'!G22+'Co-app2Salary'!G22+'Co-app3Salary'!G22</f>
        <v>0</v>
      </c>
      <c r="E25" s="309" t="s">
        <v>91</v>
      </c>
      <c r="F25" s="128"/>
    </row>
    <row r="26" spans="1:35">
      <c r="A26" s="131" t="s">
        <v>97</v>
      </c>
      <c r="B26" s="312">
        <v>1</v>
      </c>
      <c r="C26" s="313"/>
      <c r="D26" s="302">
        <f>D24-D25</f>
        <v>0</v>
      </c>
      <c r="E26" s="314" t="s">
        <v>91</v>
      </c>
      <c r="F26" s="314">
        <f t="shared" ref="F26:F30" si="0">IF(E26="Monthly",(D26*B26)*12,(D26*B26))</f>
        <v>0</v>
      </c>
    </row>
    <row r="27" spans="1:35">
      <c r="A27" s="382" t="s">
        <v>98</v>
      </c>
      <c r="B27" s="382"/>
      <c r="C27" s="382"/>
      <c r="D27" s="382"/>
      <c r="E27" s="382"/>
      <c r="F27" s="382"/>
    </row>
    <row r="28" spans="1:35">
      <c r="A28" s="129" t="s">
        <v>99</v>
      </c>
      <c r="B28" s="315">
        <v>1</v>
      </c>
      <c r="C28" s="316">
        <f>ApplicantSalary!C27+'Co-app1Salary'!C27+'Co-app2Salary'!C27+'Co-app3Salary'!C27</f>
        <v>0</v>
      </c>
      <c r="D28" s="316">
        <f>ApplicantSalary!B27+'Co-app1Salary'!B27+'Co-app2Salary'!B27+'Co-app3Salary'!B27</f>
        <v>0</v>
      </c>
      <c r="E28" s="317" t="s">
        <v>100</v>
      </c>
      <c r="F28" s="309">
        <f t="shared" si="0"/>
        <v>0</v>
      </c>
    </row>
    <row r="29" spans="1:35">
      <c r="A29" s="129" t="s">
        <v>101</v>
      </c>
      <c r="B29" s="315">
        <v>0.5</v>
      </c>
      <c r="C29" s="316">
        <f>ApplicantSalary!C28+'Co-app1Salary'!C28+'Co-app2Salary'!C28+'Co-app3Salary'!C28</f>
        <v>0</v>
      </c>
      <c r="D29" s="316">
        <f>ApplicantSalary!B28+'Co-app1Salary'!B28+'Co-app2Salary'!B28+'Co-app3Salary'!B28</f>
        <v>0</v>
      </c>
      <c r="E29" s="317" t="s">
        <v>100</v>
      </c>
      <c r="F29" s="309">
        <f t="shared" si="0"/>
        <v>0</v>
      </c>
    </row>
    <row r="30" spans="1:35">
      <c r="A30" s="129" t="s">
        <v>102</v>
      </c>
      <c r="B30" s="315">
        <v>1</v>
      </c>
      <c r="C30" s="316">
        <f>ApplicantSalary!C29+'Co-app1Salary'!C29+'Co-app2Salary'!C29+'Co-app3Salary'!C29</f>
        <v>0</v>
      </c>
      <c r="D30" s="316">
        <f>ApplicantSalary!B29+'Co-app1Salary'!B29+'Co-app2Salary'!B29+'Co-app3Salary'!B29</f>
        <v>0</v>
      </c>
      <c r="E30" s="317" t="s">
        <v>100</v>
      </c>
      <c r="F30" s="309">
        <f t="shared" si="0"/>
        <v>0</v>
      </c>
    </row>
    <row r="31" spans="1:35">
      <c r="A31" s="382" t="s">
        <v>103</v>
      </c>
      <c r="B31" s="382"/>
      <c r="C31" s="382"/>
      <c r="D31" s="382"/>
      <c r="E31" s="382"/>
      <c r="F31" s="382"/>
    </row>
    <row r="32" spans="1:35" ht="25.5">
      <c r="A32" s="129" t="s">
        <v>104</v>
      </c>
      <c r="B32" s="315">
        <v>1</v>
      </c>
      <c r="C32" s="313"/>
      <c r="D32" s="316"/>
      <c r="E32" s="309" t="s">
        <v>91</v>
      </c>
      <c r="F32" s="309"/>
    </row>
    <row r="33" spans="1:6" ht="25.5">
      <c r="A33" s="343" t="s">
        <v>105</v>
      </c>
      <c r="B33" s="315">
        <v>1</v>
      </c>
      <c r="C33" s="313"/>
      <c r="D33" s="316"/>
      <c r="E33" s="309" t="s">
        <v>91</v>
      </c>
      <c r="F33" s="309"/>
    </row>
    <row r="34" spans="1:6">
      <c r="A34" s="129" t="s">
        <v>106</v>
      </c>
      <c r="B34" s="313"/>
      <c r="C34" s="313"/>
      <c r="D34" s="316"/>
      <c r="E34" s="313"/>
      <c r="F34" s="313"/>
    </row>
    <row r="35" spans="1:6">
      <c r="A35" s="382" t="s">
        <v>107</v>
      </c>
      <c r="B35" s="382"/>
      <c r="C35" s="382"/>
      <c r="D35" s="382"/>
      <c r="E35" s="382"/>
      <c r="F35" s="382"/>
    </row>
    <row r="36" spans="1:6" s="296" customFormat="1">
      <c r="A36" s="129" t="s">
        <v>108</v>
      </c>
      <c r="B36" s="315">
        <v>0.5</v>
      </c>
      <c r="C36" s="318"/>
      <c r="D36" s="317">
        <f>BasicInput!D49</f>
        <v>0</v>
      </c>
      <c r="E36" s="317" t="s">
        <v>100</v>
      </c>
      <c r="F36" s="309">
        <f>IF(E36="Monthly",(IF(C36=0,D36*B36*12,AVERAGE(C36*B36,D36*B36)*12)),IF(C36=0,D36*B36,(AVERAGE(C36*B36,D36*B36))))</f>
        <v>0</v>
      </c>
    </row>
    <row r="37" spans="1:6" s="296" customFormat="1">
      <c r="A37" s="129" t="s">
        <v>109</v>
      </c>
      <c r="B37" s="315">
        <v>0.5</v>
      </c>
      <c r="C37" s="317"/>
      <c r="D37" s="317"/>
      <c r="E37" s="317" t="s">
        <v>100</v>
      </c>
      <c r="F37" s="309">
        <f>IF(E37="Monthly",(IF(C37=0,D37*B37*12,AVERAGE(C37*B37,D37*B37)*12)),IF(C37=0,D37*B37,(AVERAGE(C37*B37,D37*B37))))</f>
        <v>0</v>
      </c>
    </row>
    <row r="38" spans="1:6" s="296" customFormat="1">
      <c r="A38" s="129" t="s">
        <v>110</v>
      </c>
      <c r="B38" s="315">
        <v>0.5</v>
      </c>
      <c r="C38" s="317"/>
      <c r="D38" s="317">
        <f>BasicInput!D50</f>
        <v>0</v>
      </c>
      <c r="E38" s="317" t="s">
        <v>100</v>
      </c>
      <c r="F38" s="309">
        <f t="shared" ref="F38:F40" si="1">IF(E38="Monthly",AVERAGE(C38*B38,D38*B38)*12,AVERAGE(C38*B38,D38*B38))</f>
        <v>0</v>
      </c>
    </row>
    <row r="39" spans="1:6" s="296" customFormat="1">
      <c r="A39" s="129" t="s">
        <v>111</v>
      </c>
      <c r="B39" s="315">
        <v>1</v>
      </c>
      <c r="C39" s="317"/>
      <c r="D39" s="317">
        <f>BasicInput!D51</f>
        <v>0</v>
      </c>
      <c r="E39" s="317" t="s">
        <v>100</v>
      </c>
      <c r="F39" s="309">
        <f t="shared" si="1"/>
        <v>0</v>
      </c>
    </row>
    <row r="40" spans="1:6" s="296" customFormat="1">
      <c r="A40" s="129" t="s">
        <v>107</v>
      </c>
      <c r="B40" s="315">
        <v>1</v>
      </c>
      <c r="C40" s="317"/>
      <c r="D40" s="317">
        <f>BasicInput!D52</f>
        <v>0</v>
      </c>
      <c r="E40" s="317" t="s">
        <v>100</v>
      </c>
      <c r="F40" s="309">
        <f t="shared" si="1"/>
        <v>0</v>
      </c>
    </row>
    <row r="41" spans="1:6" s="296" customFormat="1">
      <c r="A41" s="383" t="s">
        <v>112</v>
      </c>
      <c r="B41" s="383"/>
      <c r="C41" s="383"/>
      <c r="D41" s="383"/>
      <c r="E41" s="383"/>
      <c r="F41" s="383"/>
    </row>
    <row r="42" spans="1:6" s="296" customFormat="1" ht="12.75" customHeight="1">
      <c r="A42" s="384" t="s">
        <v>113</v>
      </c>
      <c r="B42" s="385"/>
      <c r="C42" s="385"/>
      <c r="D42" s="385"/>
      <c r="E42" s="385"/>
      <c r="F42" s="386"/>
    </row>
    <row r="43" spans="1:6" s="296" customFormat="1">
      <c r="A43" s="129" t="s">
        <v>114</v>
      </c>
      <c r="B43" s="319">
        <v>1</v>
      </c>
      <c r="C43" s="317"/>
      <c r="D43" s="317">
        <f>BasicInput!D53</f>
        <v>0</v>
      </c>
      <c r="E43" s="317" t="s">
        <v>100</v>
      </c>
      <c r="F43" s="309">
        <f>IF(E43="Monthly",(D43*B43)*12,(D43*B43))</f>
        <v>0</v>
      </c>
    </row>
    <row r="44" spans="1:6" s="296" customFormat="1">
      <c r="A44" s="129" t="s">
        <v>115</v>
      </c>
      <c r="B44" s="319">
        <v>1</v>
      </c>
      <c r="C44" s="317"/>
      <c r="D44" s="317"/>
      <c r="E44" s="317" t="s">
        <v>100</v>
      </c>
      <c r="F44" s="309">
        <f t="shared" ref="F44" si="2">IF(E44="Monthly",AVERAGE(C44*B44,D44*B44)*12,AVERAGE(C44*B44,D44*B44))</f>
        <v>0</v>
      </c>
    </row>
    <row r="45" spans="1:6" s="296" customFormat="1">
      <c r="A45" s="382" t="s">
        <v>116</v>
      </c>
      <c r="B45" s="382"/>
      <c r="C45" s="382"/>
      <c r="D45" s="382"/>
      <c r="E45" s="382"/>
      <c r="F45" s="314">
        <f>IF(SUM(F36:F40)&lt;F26,SUM(F26,F28:F30,F36:F40,F43:F44),SUM(F26,F28:F30,F26,F43:F44))</f>
        <v>0</v>
      </c>
    </row>
    <row r="46" spans="1:6" s="296" customFormat="1">
      <c r="A46" s="387" t="s">
        <v>117</v>
      </c>
      <c r="B46" s="387"/>
      <c r="C46" s="387"/>
      <c r="D46" s="387"/>
      <c r="E46" s="387"/>
      <c r="F46" s="387"/>
    </row>
    <row r="47" spans="1:6" s="296" customFormat="1">
      <c r="A47" s="129"/>
      <c r="B47" s="375"/>
      <c r="C47" s="376"/>
      <c r="D47" s="376"/>
      <c r="E47" s="376"/>
      <c r="F47" s="377"/>
    </row>
    <row r="48" spans="1:6" s="296" customFormat="1">
      <c r="A48" s="381" t="s">
        <v>118</v>
      </c>
      <c r="B48" s="381"/>
      <c r="C48" s="381"/>
      <c r="D48" s="381"/>
      <c r="E48" s="381"/>
      <c r="F48" s="381"/>
    </row>
    <row r="49" spans="1:10" s="296" customFormat="1" ht="2.25" customHeight="1">
      <c r="A49" s="388"/>
      <c r="B49" s="388"/>
      <c r="C49" s="388"/>
      <c r="D49" s="388"/>
      <c r="E49" s="388"/>
      <c r="F49" s="388"/>
    </row>
    <row r="50" spans="1:10" s="296" customFormat="1">
      <c r="A50" s="129" t="s">
        <v>119</v>
      </c>
      <c r="B50" s="389">
        <f>F45/12</f>
        <v>0</v>
      </c>
      <c r="C50" s="390"/>
      <c r="D50" s="390"/>
      <c r="E50" s="390"/>
      <c r="F50" s="390"/>
    </row>
    <row r="51" spans="1:10" s="296" customFormat="1">
      <c r="A51" s="129" t="s">
        <v>120</v>
      </c>
      <c r="B51" s="391">
        <f>IF(F45&gt;2400000,75%,IF(F45&gt;1200000,70%,IF(F45&gt;500000,65%,60%)))</f>
        <v>0.6</v>
      </c>
      <c r="C51" s="391"/>
      <c r="D51" s="391"/>
      <c r="E51" s="391"/>
      <c r="F51" s="391"/>
      <c r="J51" s="321"/>
    </row>
    <row r="52" spans="1:10" s="296" customFormat="1" ht="25.5">
      <c r="A52" s="129" t="s">
        <v>121</v>
      </c>
      <c r="B52" s="390">
        <f>B14</f>
        <v>0</v>
      </c>
      <c r="C52" s="390"/>
      <c r="D52" s="390"/>
      <c r="E52" s="390"/>
      <c r="F52" s="390"/>
      <c r="J52" s="321"/>
    </row>
    <row r="53" spans="1:10" s="296" customFormat="1">
      <c r="A53" s="129" t="s">
        <v>122</v>
      </c>
      <c r="B53" s="390">
        <f>(B50*B51)-B52</f>
        <v>0</v>
      </c>
      <c r="C53" s="390"/>
      <c r="D53" s="390"/>
      <c r="E53" s="390"/>
      <c r="F53" s="390"/>
    </row>
    <row r="54" spans="1:10" s="296" customFormat="1" ht="25.5">
      <c r="A54" s="320" t="s">
        <v>123</v>
      </c>
      <c r="B54" s="392" t="str">
        <f>IF((B53+D32-D33)&lt;=0,"Case Not Eligible",((B53/(PMT(B3/12,B4,-100000)))+(((D32*50%)-D33)/PMT(B3/12,IF(OR(D32="",D32=0),B4,D34),-100000)))*100000)</f>
        <v>Case Not Eligible</v>
      </c>
      <c r="C54" s="392"/>
      <c r="D54" s="392"/>
      <c r="E54" s="392"/>
      <c r="F54" s="392"/>
    </row>
    <row r="55" spans="1:10" s="296" customFormat="1" ht="2.25" customHeight="1">
      <c r="A55" s="388"/>
      <c r="B55" s="388"/>
      <c r="C55" s="388"/>
      <c r="D55" s="388"/>
      <c r="E55" s="388"/>
      <c r="F55" s="388"/>
    </row>
    <row r="56" spans="1:10" s="296" customFormat="1">
      <c r="A56" s="129" t="s">
        <v>124</v>
      </c>
      <c r="B56" s="393">
        <f>B11</f>
        <v>0</v>
      </c>
      <c r="C56" s="393"/>
      <c r="D56" s="393"/>
      <c r="E56" s="393"/>
      <c r="F56" s="393"/>
    </row>
    <row r="57" spans="1:10" s="296" customFormat="1">
      <c r="A57" s="129" t="s">
        <v>125</v>
      </c>
      <c r="B57" s="391">
        <f>IF(B7="LAP-Resi",70%,IF(B7="LAP-Resi (Vacant)",65%,IF(B7="LAP-Comm",60%,IF(B7="LAP-Comm (Vacant)",55%,IF(B7="Commerical Purchase",60%,IF(AND(B7="Home Loan",B2&lt;=3000000),90%,IF(AND(B7="Home Loan",B2&lt;=7500000),80%,IF(AND(B7="Home Loan",B2&gt;7500000),75%))))))))</f>
        <v>0.9</v>
      </c>
      <c r="C57" s="391"/>
      <c r="D57" s="391"/>
      <c r="E57" s="391"/>
      <c r="F57" s="391"/>
    </row>
    <row r="58" spans="1:10" s="296" customFormat="1">
      <c r="A58" s="320" t="s">
        <v>126</v>
      </c>
      <c r="B58" s="392">
        <f>B56*B57</f>
        <v>0</v>
      </c>
      <c r="C58" s="392"/>
      <c r="D58" s="392"/>
      <c r="E58" s="392"/>
      <c r="F58" s="392"/>
    </row>
    <row r="59" spans="1:10" s="296" customFormat="1" ht="2.25" customHeight="1">
      <c r="A59" s="388"/>
      <c r="B59" s="388"/>
      <c r="C59" s="388"/>
      <c r="D59" s="388"/>
      <c r="E59" s="388"/>
      <c r="F59" s="388"/>
    </row>
    <row r="60" spans="1:10" s="296" customFormat="1">
      <c r="A60" s="320" t="s">
        <v>127</v>
      </c>
      <c r="B60" s="392" t="str">
        <f>IF(B54="Case Not Eligible","Case Not Eligible",IF(B58=0,MIN(B54,B2),MIN(B54,B58,B2)))</f>
        <v>Case Not Eligible</v>
      </c>
      <c r="C60" s="392"/>
      <c r="D60" s="392"/>
      <c r="E60" s="392"/>
      <c r="F60" s="392"/>
    </row>
    <row r="61" spans="1:10" s="296" customFormat="1">
      <c r="A61" s="129" t="s">
        <v>128</v>
      </c>
      <c r="B61" s="393" t="str">
        <f>IF(B60="Case Not Eligible","Case Not Eligible",PMT(B3/12,B4,-B60))</f>
        <v>Case Not Eligible</v>
      </c>
      <c r="C61" s="393"/>
      <c r="D61" s="393"/>
      <c r="E61" s="393"/>
      <c r="F61" s="393"/>
    </row>
    <row r="62" spans="1:10" s="296" customFormat="1" ht="2.25" customHeight="1">
      <c r="A62" s="388"/>
      <c r="B62" s="388"/>
      <c r="C62" s="388"/>
      <c r="D62" s="388"/>
      <c r="E62" s="388"/>
      <c r="F62" s="388"/>
    </row>
    <row r="63" spans="1:10" s="296" customFormat="1">
      <c r="A63" s="129" t="s">
        <v>129</v>
      </c>
      <c r="B63" s="391">
        <f>IFERROR(SUM(PMT(B3/12,B4,-B2),B52)/B50,0)</f>
        <v>0</v>
      </c>
      <c r="C63" s="391"/>
      <c r="D63" s="391"/>
      <c r="E63" s="391"/>
      <c r="F63" s="391"/>
    </row>
    <row r="64" spans="1:10" s="296" customFormat="1">
      <c r="A64" s="129" t="s">
        <v>130</v>
      </c>
      <c r="B64" s="391">
        <f>IFERROR(B2/B56,0)</f>
        <v>0</v>
      </c>
      <c r="C64" s="391"/>
      <c r="D64" s="391"/>
      <c r="E64" s="391"/>
      <c r="F64" s="391"/>
    </row>
    <row r="65" spans="1:6" s="296" customFormat="1" ht="9.75" customHeight="1">
      <c r="A65" s="129"/>
      <c r="B65" s="394"/>
      <c r="C65" s="395"/>
      <c r="D65" s="395"/>
      <c r="E65" s="395"/>
      <c r="F65" s="396"/>
    </row>
    <row r="66" spans="1:6" s="296" customFormat="1">
      <c r="A66" s="322" t="s">
        <v>131</v>
      </c>
      <c r="B66" s="397" t="str">
        <f>IF(B63-B51&gt;0%,"Deviation Approval Required","Within Policy Norms")</f>
        <v>Within Policy Norms</v>
      </c>
      <c r="C66" s="397"/>
      <c r="D66" s="397"/>
      <c r="E66" s="397"/>
      <c r="F66" s="397"/>
    </row>
    <row r="67" spans="1:6" s="296" customFormat="1">
      <c r="A67" s="322" t="s">
        <v>132</v>
      </c>
      <c r="B67" s="397" t="str">
        <f>IF(B7="Home Loan","Deviation not allowed on LTV",IF((B64-B57)&lt;=0%,"Within Policy Norms",IF(B7="LAP-Resi (Vacant)","Deviation Approval Required",IF(B7="LAP-Comm (Vacant)","Deviation Approval Required",IF((B64-B57)&lt;=2.5%,"Deviation Approval Required",IF((B64-B57)&lt;=5%,"Deviation Approval Required","Deviation Approval Required"))))))</f>
        <v>Deviation not allowed on LTV</v>
      </c>
      <c r="C67" s="397"/>
      <c r="D67" s="397"/>
      <c r="E67" s="397"/>
      <c r="F67" s="397"/>
    </row>
    <row r="68" spans="1:6" s="296" customFormat="1">
      <c r="A68" s="323"/>
      <c r="B68" s="324"/>
      <c r="C68" s="324"/>
      <c r="D68" s="324"/>
      <c r="E68" s="324"/>
      <c r="F68" s="324"/>
    </row>
    <row r="69" spans="1:6" s="296" customFormat="1">
      <c r="A69" s="323"/>
      <c r="B69" s="324"/>
      <c r="C69" s="324"/>
      <c r="D69" s="324"/>
      <c r="E69" s="324"/>
      <c r="F69" s="324"/>
    </row>
    <row r="70" spans="1:6">
      <c r="A70" s="323"/>
      <c r="B70" s="324"/>
      <c r="C70" s="324"/>
      <c r="D70" s="324"/>
      <c r="E70" s="324"/>
      <c r="F70" s="324"/>
    </row>
    <row r="71" spans="1:6"/>
  </sheetData>
  <sheetProtection algorithmName="SHA-512" hashValue="V/uV0XPOHHqe2+ULGQI9yCuZm0Zth++eDGHS/n0UuyBFh5mwgSZ1XQURekTElDrm9omstXjJI+/j2Tqdastvpw==" saltValue="ALAP7OkdPwEjmz4bDR/g1g==" spinCount="100000" sheet="1" formatCells="0" formatColumns="0" formatRows="0" insertColumns="0" insertRows="0" autoFilter="0"/>
  <mergeCells count="46">
    <mergeCell ref="B67:F67"/>
    <mergeCell ref="A62:F62"/>
    <mergeCell ref="B63:F63"/>
    <mergeCell ref="B64:F64"/>
    <mergeCell ref="B65:F65"/>
    <mergeCell ref="B66:F66"/>
    <mergeCell ref="B57:F57"/>
    <mergeCell ref="B58:F58"/>
    <mergeCell ref="A59:F59"/>
    <mergeCell ref="B60:F60"/>
    <mergeCell ref="B61:F61"/>
    <mergeCell ref="B52:F52"/>
    <mergeCell ref="B53:F53"/>
    <mergeCell ref="B54:F54"/>
    <mergeCell ref="A55:F55"/>
    <mergeCell ref="B56:F56"/>
    <mergeCell ref="B47:F47"/>
    <mergeCell ref="A48:F48"/>
    <mergeCell ref="A49:F49"/>
    <mergeCell ref="B50:F50"/>
    <mergeCell ref="B51:F51"/>
    <mergeCell ref="A35:F35"/>
    <mergeCell ref="A41:F41"/>
    <mergeCell ref="A42:F42"/>
    <mergeCell ref="A45:E45"/>
    <mergeCell ref="A46:F46"/>
    <mergeCell ref="B16:F16"/>
    <mergeCell ref="A17:F17"/>
    <mergeCell ref="A19:F19"/>
    <mergeCell ref="A27:F27"/>
    <mergeCell ref="A31:F31"/>
    <mergeCell ref="B11:F11"/>
    <mergeCell ref="B12:F12"/>
    <mergeCell ref="B13:F13"/>
    <mergeCell ref="B14:F14"/>
    <mergeCell ref="B15:F15"/>
    <mergeCell ref="B6:F6"/>
    <mergeCell ref="B7:F7"/>
    <mergeCell ref="B8:F8"/>
    <mergeCell ref="B9:F9"/>
    <mergeCell ref="B10:F10"/>
    <mergeCell ref="A1:F1"/>
    <mergeCell ref="B2:F2"/>
    <mergeCell ref="B3:F3"/>
    <mergeCell ref="B4:F4"/>
    <mergeCell ref="B5:F5"/>
  </mergeCells>
  <dataValidations count="4">
    <dataValidation type="list" allowBlank="1" showInputMessage="1" showErrorMessage="1" error="Please select appropriate option" sqref="B7:F7">
      <formula1>"LAP-Resi,LAP-Resi (Vacant), LAP-Comm,LAP-Comm (Vacant), Commerical Purchase,Home Loan"</formula1>
    </dataValidation>
    <dataValidation type="list" allowBlank="1" showInputMessage="1" showErrorMessage="1" sqref="E28:E30 E36:E40 E43:E44">
      <formula1>"Monthly,Annual"</formula1>
    </dataValidation>
    <dataValidation type="whole" allowBlank="1" showInputMessage="1" showErrorMessage="1" sqref="D34">
      <formula1>0</formula1>
      <formula2>B4</formula2>
    </dataValidation>
    <dataValidation type="decimal" operator="lessThanOrEqual" allowBlank="1" showInputMessage="1" showErrorMessage="1" sqref="B20:B26 B28:B30 B32:B33 B36:B40 B43:B44">
      <formula1>1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G53"/>
  <sheetViews>
    <sheetView workbookViewId="0">
      <selection activeCell="C42" sqref="C42:C48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1" t="s">
        <v>133</v>
      </c>
      <c r="B1" s="398"/>
      <c r="C1" s="398"/>
      <c r="D1" s="398"/>
    </row>
    <row r="2" spans="1:7">
      <c r="A2" s="171" t="s">
        <v>134</v>
      </c>
      <c r="B2" s="398"/>
      <c r="C2" s="398"/>
      <c r="D2" s="398"/>
    </row>
    <row r="3" spans="1:7">
      <c r="A3" s="171" t="s">
        <v>135</v>
      </c>
      <c r="B3" s="398"/>
      <c r="C3" s="398"/>
      <c r="D3" s="398"/>
    </row>
    <row r="4" spans="1:7">
      <c r="A4" s="171" t="s">
        <v>136</v>
      </c>
      <c r="B4" s="290"/>
      <c r="C4" s="171" t="s">
        <v>137</v>
      </c>
      <c r="D4" s="184"/>
    </row>
    <row r="6" spans="1:7">
      <c r="B6" s="399" t="s">
        <v>138</v>
      </c>
      <c r="C6" s="399"/>
      <c r="D6" s="399"/>
      <c r="E6" s="399"/>
    </row>
    <row r="7" spans="1:7" ht="25.5">
      <c r="A7" s="2" t="s">
        <v>139</v>
      </c>
      <c r="B7" s="291">
        <v>45261</v>
      </c>
      <c r="C7" s="291">
        <v>45292</v>
      </c>
      <c r="D7" s="291">
        <v>45323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292"/>
      <c r="C8" s="292"/>
      <c r="D8" s="292"/>
      <c r="E8" s="292"/>
      <c r="F8" s="293"/>
      <c r="G8" s="274">
        <f>E8*F8</f>
        <v>0</v>
      </c>
    </row>
    <row r="9" spans="1:7">
      <c r="A9" s="3" t="s">
        <v>92</v>
      </c>
      <c r="B9" s="196"/>
      <c r="C9" s="196"/>
      <c r="D9" s="196"/>
      <c r="E9" s="196"/>
      <c r="F9" s="278"/>
      <c r="G9" s="274">
        <f t="shared" ref="G9:G14" si="0">E9*F9</f>
        <v>0</v>
      </c>
    </row>
    <row r="10" spans="1:7">
      <c r="A10" s="3" t="s">
        <v>93</v>
      </c>
      <c r="B10" s="196"/>
      <c r="C10" s="196"/>
      <c r="D10" s="196"/>
      <c r="E10" s="196"/>
      <c r="F10" s="278"/>
      <c r="G10" s="274">
        <f t="shared" si="0"/>
        <v>0</v>
      </c>
    </row>
    <row r="11" spans="1:7">
      <c r="A11" s="3" t="s">
        <v>94</v>
      </c>
      <c r="B11" s="196"/>
      <c r="C11" s="196"/>
      <c r="D11" s="196"/>
      <c r="E11" s="196"/>
      <c r="F11" s="278"/>
      <c r="G11" s="274">
        <f t="shared" si="0"/>
        <v>0</v>
      </c>
    </row>
    <row r="12" spans="1:7">
      <c r="A12" s="3" t="s">
        <v>143</v>
      </c>
      <c r="B12" s="196"/>
      <c r="C12" s="196"/>
      <c r="D12" s="196"/>
      <c r="E12" s="196"/>
      <c r="F12" s="278"/>
      <c r="G12" s="274">
        <f t="shared" si="0"/>
        <v>0</v>
      </c>
    </row>
    <row r="13" spans="1:7">
      <c r="A13" s="3" t="s">
        <v>144</v>
      </c>
      <c r="B13" s="196"/>
      <c r="C13" s="196"/>
      <c r="D13" s="196"/>
      <c r="E13" s="196"/>
      <c r="F13" s="278"/>
      <c r="G13" s="274">
        <f t="shared" si="0"/>
        <v>0</v>
      </c>
    </row>
    <row r="14" spans="1:7">
      <c r="A14" s="3" t="s">
        <v>145</v>
      </c>
      <c r="B14" s="196"/>
      <c r="C14" s="196"/>
      <c r="D14" s="196"/>
      <c r="E14" s="196"/>
      <c r="F14" s="278"/>
      <c r="G14" s="274">
        <f t="shared" si="0"/>
        <v>0</v>
      </c>
    </row>
    <row r="15" spans="1:7">
      <c r="A15" s="143" t="s">
        <v>95</v>
      </c>
      <c r="B15" s="197">
        <f>SUM(B8:B14)</f>
        <v>0</v>
      </c>
      <c r="C15" s="197">
        <f t="shared" ref="C15:G15" si="1">SUM(C8:C14)</f>
        <v>0</v>
      </c>
      <c r="D15" s="197">
        <f t="shared" si="1"/>
        <v>0</v>
      </c>
      <c r="E15" s="197">
        <f t="shared" si="1"/>
        <v>0</v>
      </c>
      <c r="F15" s="279"/>
      <c r="G15" s="197">
        <f t="shared" si="1"/>
        <v>0</v>
      </c>
    </row>
    <row r="16" spans="1:7">
      <c r="A16" s="171" t="s">
        <v>146</v>
      </c>
      <c r="B16" s="274"/>
      <c r="C16" s="274"/>
      <c r="D16" s="274"/>
      <c r="E16" s="274"/>
      <c r="F16" s="280"/>
      <c r="G16" s="274"/>
    </row>
    <row r="17" spans="1:7">
      <c r="A17" s="342" t="s">
        <v>147</v>
      </c>
      <c r="B17" s="292"/>
      <c r="C17" s="292"/>
      <c r="D17" s="292"/>
      <c r="E17" s="292"/>
      <c r="F17" s="293"/>
      <c r="G17" s="274">
        <f t="shared" ref="G17:G21" si="2">E17*F17</f>
        <v>0</v>
      </c>
    </row>
    <row r="18" spans="1:7">
      <c r="A18" s="342" t="s">
        <v>148</v>
      </c>
      <c r="B18" s="292"/>
      <c r="C18" s="292"/>
      <c r="D18" s="292"/>
      <c r="E18" s="292"/>
      <c r="F18" s="293"/>
      <c r="G18" s="274">
        <f t="shared" si="2"/>
        <v>0</v>
      </c>
    </row>
    <row r="19" spans="1:7">
      <c r="A19" s="342" t="s">
        <v>149</v>
      </c>
      <c r="B19" s="292"/>
      <c r="C19" s="292"/>
      <c r="D19" s="292"/>
      <c r="E19" s="292"/>
      <c r="F19" s="293"/>
      <c r="G19" s="274">
        <f t="shared" si="2"/>
        <v>0</v>
      </c>
    </row>
    <row r="20" spans="1:7">
      <c r="A20" s="342" t="s">
        <v>150</v>
      </c>
      <c r="B20" s="292"/>
      <c r="C20" s="292"/>
      <c r="D20" s="292"/>
      <c r="E20" s="292"/>
      <c r="F20" s="293"/>
      <c r="G20" s="274">
        <f t="shared" si="2"/>
        <v>0</v>
      </c>
    </row>
    <row r="21" spans="1:7">
      <c r="A21" s="342" t="s">
        <v>151</v>
      </c>
      <c r="B21" s="292"/>
      <c r="C21" s="292"/>
      <c r="D21" s="292"/>
      <c r="E21" s="292"/>
      <c r="F21" s="293"/>
      <c r="G21" s="274">
        <f t="shared" si="2"/>
        <v>0</v>
      </c>
    </row>
    <row r="22" spans="1:7">
      <c r="A22" s="143" t="s">
        <v>152</v>
      </c>
      <c r="B22" s="197">
        <f>SUM(B17:B21)</f>
        <v>0</v>
      </c>
      <c r="C22" s="197">
        <f t="shared" ref="C22:G22" si="3">SUM(C17:C21)</f>
        <v>0</v>
      </c>
      <c r="D22" s="197">
        <f t="shared" si="3"/>
        <v>0</v>
      </c>
      <c r="E22" s="197">
        <f t="shared" si="3"/>
        <v>0</v>
      </c>
      <c r="F22" s="279"/>
      <c r="G22" s="197">
        <f t="shared" si="3"/>
        <v>0</v>
      </c>
    </row>
    <row r="23" spans="1:7">
      <c r="A23" s="148" t="s">
        <v>97</v>
      </c>
      <c r="B23" s="281">
        <f>B15-B22</f>
        <v>0</v>
      </c>
      <c r="C23" s="281">
        <f t="shared" ref="C23:E23" si="4">C15-C22</f>
        <v>0</v>
      </c>
      <c r="D23" s="281">
        <f t="shared" si="4"/>
        <v>0</v>
      </c>
      <c r="E23" s="281">
        <f t="shared" si="4"/>
        <v>0</v>
      </c>
      <c r="F23" s="282"/>
      <c r="G23" s="281">
        <f>G15-G22</f>
        <v>0</v>
      </c>
    </row>
    <row r="24" spans="1:7">
      <c r="A24" s="1"/>
      <c r="B24" s="283"/>
      <c r="C24" s="283"/>
      <c r="D24" s="283"/>
      <c r="E24" s="283"/>
      <c r="F24" s="283"/>
      <c r="G24" s="283"/>
    </row>
    <row r="25" spans="1:7">
      <c r="A25" s="284"/>
      <c r="B25" s="284"/>
      <c r="C25" s="284"/>
      <c r="D25" s="284"/>
      <c r="E25" s="284"/>
      <c r="F25" s="284"/>
      <c r="G25" s="284"/>
    </row>
    <row r="26" spans="1:7" ht="25.5">
      <c r="A26" s="2" t="s">
        <v>153</v>
      </c>
      <c r="B26" s="21" t="s">
        <v>154</v>
      </c>
      <c r="C26" s="21" t="s">
        <v>85</v>
      </c>
      <c r="D26" s="414"/>
      <c r="E26" s="415"/>
      <c r="F26" s="2" t="s">
        <v>141</v>
      </c>
      <c r="G26" s="2" t="s">
        <v>142</v>
      </c>
    </row>
    <row r="27" spans="1:7">
      <c r="A27" s="3" t="s">
        <v>99</v>
      </c>
      <c r="B27" s="196"/>
      <c r="C27" s="196"/>
      <c r="D27" s="416"/>
      <c r="E27" s="417"/>
      <c r="F27" s="278"/>
      <c r="G27" s="274">
        <f>B27*F27</f>
        <v>0</v>
      </c>
    </row>
    <row r="28" spans="1:7">
      <c r="A28" s="3" t="s">
        <v>101</v>
      </c>
      <c r="B28" s="196"/>
      <c r="C28" s="196"/>
      <c r="D28" s="416"/>
      <c r="E28" s="417"/>
      <c r="F28" s="278"/>
      <c r="G28" s="274">
        <f t="shared" ref="G28:G29" si="5">B28*F28</f>
        <v>0</v>
      </c>
    </row>
    <row r="29" spans="1:7">
      <c r="A29" s="3" t="s">
        <v>102</v>
      </c>
      <c r="B29" s="196"/>
      <c r="C29" s="196"/>
      <c r="D29" s="418"/>
      <c r="E29" s="419"/>
      <c r="F29" s="278"/>
      <c r="G29" s="274">
        <f t="shared" si="5"/>
        <v>0</v>
      </c>
    </row>
    <row r="32" spans="1:7">
      <c r="A32" s="400" t="s">
        <v>155</v>
      </c>
      <c r="B32" s="401"/>
      <c r="C32" s="401"/>
      <c r="D32" s="401"/>
      <c r="E32" s="401"/>
      <c r="F32" s="402"/>
      <c r="G32" s="21" t="s">
        <v>154</v>
      </c>
    </row>
    <row r="33" spans="1:7">
      <c r="A33" s="403" t="s">
        <v>156</v>
      </c>
      <c r="B33" s="404"/>
      <c r="C33" s="404"/>
      <c r="D33" s="404"/>
      <c r="E33" s="404"/>
      <c r="F33" s="405"/>
      <c r="G33" s="196"/>
    </row>
    <row r="34" spans="1:7">
      <c r="A34" s="403" t="s">
        <v>157</v>
      </c>
      <c r="B34" s="404"/>
      <c r="C34" s="404"/>
      <c r="D34" s="404"/>
      <c r="E34" s="404"/>
      <c r="F34" s="405"/>
      <c r="G34" s="196"/>
    </row>
    <row r="35" spans="1:7">
      <c r="A35" s="403" t="s">
        <v>158</v>
      </c>
      <c r="B35" s="404"/>
      <c r="C35" s="404"/>
      <c r="D35" s="404"/>
      <c r="E35" s="404"/>
      <c r="F35" s="405"/>
      <c r="G35" s="196"/>
    </row>
    <row r="36" spans="1:7">
      <c r="A36" s="406" t="s">
        <v>159</v>
      </c>
      <c r="B36" s="407"/>
      <c r="C36" s="407"/>
      <c r="D36" s="407"/>
      <c r="E36" s="407"/>
      <c r="F36" s="408"/>
      <c r="G36" s="285">
        <f>G35/12</f>
        <v>0</v>
      </c>
    </row>
    <row r="39" spans="1:7">
      <c r="A39" s="353" t="s">
        <v>160</v>
      </c>
      <c r="B39" s="353"/>
      <c r="C39" s="353"/>
      <c r="D39" s="353"/>
      <c r="E39" s="353"/>
    </row>
    <row r="40" spans="1:7">
      <c r="A40" s="1"/>
      <c r="B40" s="1"/>
      <c r="C40" s="1"/>
      <c r="D40" s="1"/>
      <c r="E40" s="1"/>
    </row>
    <row r="41" spans="1:7">
      <c r="A41" s="286" t="s">
        <v>161</v>
      </c>
      <c r="B41" s="286" t="s">
        <v>162</v>
      </c>
      <c r="C41" s="286" t="s">
        <v>163</v>
      </c>
      <c r="D41" s="409" t="s">
        <v>164</v>
      </c>
      <c r="E41" s="409"/>
    </row>
    <row r="42" spans="1:7">
      <c r="A42" s="294">
        <v>45170</v>
      </c>
      <c r="B42" s="295">
        <v>45171</v>
      </c>
      <c r="C42" s="196"/>
      <c r="D42" s="410" t="s">
        <v>165</v>
      </c>
      <c r="E42" s="411"/>
    </row>
    <row r="43" spans="1:7">
      <c r="A43" s="294">
        <v>45200</v>
      </c>
      <c r="B43" s="295">
        <v>45198</v>
      </c>
      <c r="C43" s="196"/>
      <c r="D43" s="410" t="s">
        <v>165</v>
      </c>
      <c r="E43" s="411"/>
    </row>
    <row r="44" spans="1:7">
      <c r="A44" s="294">
        <v>45231</v>
      </c>
      <c r="B44" s="295">
        <v>45231</v>
      </c>
      <c r="C44" s="196"/>
      <c r="D44" s="410" t="s">
        <v>165</v>
      </c>
      <c r="E44" s="411"/>
    </row>
    <row r="45" spans="1:7">
      <c r="A45" s="294">
        <v>45261</v>
      </c>
      <c r="B45" s="295">
        <v>45261</v>
      </c>
      <c r="C45" s="196"/>
      <c r="D45" s="410" t="s">
        <v>165</v>
      </c>
      <c r="E45" s="411"/>
    </row>
    <row r="46" spans="1:7">
      <c r="A46" s="294">
        <v>45292</v>
      </c>
      <c r="B46" s="295">
        <v>45292</v>
      </c>
      <c r="C46" s="196"/>
      <c r="D46" s="410" t="s">
        <v>165</v>
      </c>
      <c r="E46" s="411"/>
    </row>
    <row r="47" spans="1:7">
      <c r="A47" s="294">
        <v>45323</v>
      </c>
      <c r="B47" s="295">
        <v>45323</v>
      </c>
      <c r="C47" s="196"/>
      <c r="D47" s="410" t="s">
        <v>165</v>
      </c>
      <c r="E47" s="411"/>
    </row>
    <row r="48" spans="1:7">
      <c r="A48" s="294"/>
      <c r="B48" s="295"/>
      <c r="C48" s="196"/>
      <c r="D48" s="410"/>
      <c r="E48" s="411"/>
    </row>
    <row r="49" spans="1:5">
      <c r="A49" s="287"/>
      <c r="B49" s="288"/>
      <c r="C49" s="196"/>
      <c r="D49" s="412"/>
      <c r="E49" s="413"/>
    </row>
    <row r="50" spans="1:5">
      <c r="A50" s="287"/>
      <c r="B50" s="288"/>
      <c r="C50" s="196"/>
      <c r="D50" s="412"/>
      <c r="E50" s="413"/>
    </row>
    <row r="51" spans="1:5">
      <c r="A51" s="287"/>
      <c r="B51" s="288"/>
      <c r="C51" s="196"/>
      <c r="D51" s="412"/>
      <c r="E51" s="413"/>
    </row>
    <row r="52" spans="1:5">
      <c r="A52" s="287"/>
      <c r="B52" s="288"/>
      <c r="C52" s="196"/>
      <c r="D52" s="412"/>
      <c r="E52" s="413"/>
    </row>
    <row r="53" spans="1:5">
      <c r="A53" s="287"/>
      <c r="B53" s="288"/>
      <c r="C53" s="196"/>
      <c r="D53" s="412"/>
      <c r="E53" s="413"/>
    </row>
  </sheetData>
  <sheetProtection algorithmName="SHA-512" hashValue="YURqAsfvLDb8wTuHoC5zg3RGveMIR8lXya5d88v1NPQ/gWswiBmBWlzhAx3mg3oDi8h8xFnWNuHYGHKEXTpk3Q==" saltValue="4EbWY0fme2u0nGtZ0PHo/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>
      <formula1>1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G53"/>
  <sheetViews>
    <sheetView topLeftCell="A26" workbookViewId="0">
      <selection activeCell="C42" sqref="C42:C49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1" t="s">
        <v>133</v>
      </c>
      <c r="B1" s="398"/>
      <c r="C1" s="398"/>
      <c r="D1" s="398"/>
    </row>
    <row r="2" spans="1:7">
      <c r="A2" s="171" t="s">
        <v>134</v>
      </c>
      <c r="B2" s="398"/>
      <c r="C2" s="398"/>
      <c r="D2" s="398"/>
    </row>
    <row r="3" spans="1:7">
      <c r="A3" s="171" t="s">
        <v>135</v>
      </c>
      <c r="B3" s="398"/>
      <c r="C3" s="398"/>
      <c r="D3" s="398"/>
    </row>
    <row r="4" spans="1:7">
      <c r="A4" s="171" t="s">
        <v>136</v>
      </c>
      <c r="B4" s="290"/>
      <c r="C4" s="171" t="s">
        <v>137</v>
      </c>
      <c r="D4" s="184"/>
    </row>
    <row r="6" spans="1:7">
      <c r="B6" s="399" t="s">
        <v>138</v>
      </c>
      <c r="C6" s="399"/>
      <c r="D6" s="399"/>
      <c r="E6" s="399"/>
    </row>
    <row r="7" spans="1:7" ht="25.5">
      <c r="A7" s="2" t="s">
        <v>139</v>
      </c>
      <c r="B7" s="291">
        <v>45231</v>
      </c>
      <c r="C7" s="291">
        <v>45261</v>
      </c>
      <c r="D7" s="291">
        <v>45292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292"/>
      <c r="C8" s="292"/>
      <c r="D8" s="292"/>
      <c r="E8" s="292"/>
      <c r="F8" s="293"/>
      <c r="G8" s="274">
        <f>E8*F8</f>
        <v>0</v>
      </c>
    </row>
    <row r="9" spans="1:7">
      <c r="A9" s="3" t="s">
        <v>92</v>
      </c>
      <c r="B9" s="292"/>
      <c r="C9" s="292"/>
      <c r="D9" s="292"/>
      <c r="E9" s="292"/>
      <c r="F9" s="293"/>
      <c r="G9" s="274">
        <f t="shared" ref="G9:G14" si="0">E9*F9</f>
        <v>0</v>
      </c>
    </row>
    <row r="10" spans="1:7">
      <c r="A10" s="3" t="s">
        <v>93</v>
      </c>
      <c r="B10" s="292"/>
      <c r="C10" s="292"/>
      <c r="D10" s="292"/>
      <c r="E10" s="292"/>
      <c r="F10" s="293"/>
      <c r="G10" s="274">
        <f t="shared" si="0"/>
        <v>0</v>
      </c>
    </row>
    <row r="11" spans="1:7">
      <c r="A11" s="3" t="s">
        <v>94</v>
      </c>
      <c r="B11" s="292"/>
      <c r="C11" s="292"/>
      <c r="D11" s="292"/>
      <c r="E11" s="292"/>
      <c r="F11" s="293"/>
      <c r="G11" s="274">
        <f t="shared" si="0"/>
        <v>0</v>
      </c>
    </row>
    <row r="12" spans="1:7">
      <c r="A12" s="3" t="s">
        <v>143</v>
      </c>
      <c r="B12" s="292"/>
      <c r="C12" s="292"/>
      <c r="D12" s="292"/>
      <c r="E12" s="292"/>
      <c r="F12" s="293"/>
      <c r="G12" s="274">
        <f t="shared" si="0"/>
        <v>0</v>
      </c>
    </row>
    <row r="13" spans="1:7">
      <c r="A13" s="3" t="s">
        <v>144</v>
      </c>
      <c r="B13" s="292"/>
      <c r="C13" s="292"/>
      <c r="D13" s="292"/>
      <c r="E13" s="292"/>
      <c r="F13" s="293"/>
      <c r="G13" s="274">
        <f t="shared" si="0"/>
        <v>0</v>
      </c>
    </row>
    <row r="14" spans="1:7">
      <c r="A14" s="3" t="s">
        <v>145</v>
      </c>
      <c r="B14" s="292"/>
      <c r="C14" s="292"/>
      <c r="D14" s="292"/>
      <c r="E14" s="292"/>
      <c r="F14" s="293"/>
      <c r="G14" s="274">
        <f t="shared" si="0"/>
        <v>0</v>
      </c>
    </row>
    <row r="15" spans="1:7">
      <c r="A15" s="143" t="s">
        <v>95</v>
      </c>
      <c r="B15" s="197">
        <f>SUM(B8:B14)</f>
        <v>0</v>
      </c>
      <c r="C15" s="197">
        <f t="shared" ref="C15:G15" si="1">SUM(C8:C14)</f>
        <v>0</v>
      </c>
      <c r="D15" s="197">
        <f t="shared" si="1"/>
        <v>0</v>
      </c>
      <c r="E15" s="197">
        <f t="shared" si="1"/>
        <v>0</v>
      </c>
      <c r="F15" s="279"/>
      <c r="G15" s="197">
        <f t="shared" si="1"/>
        <v>0</v>
      </c>
    </row>
    <row r="16" spans="1:7">
      <c r="A16" s="171" t="s">
        <v>146</v>
      </c>
      <c r="B16" s="274"/>
      <c r="C16" s="274"/>
      <c r="D16" s="274"/>
      <c r="E16" s="274"/>
      <c r="F16" s="280"/>
      <c r="G16" s="274"/>
    </row>
    <row r="17" spans="1:7">
      <c r="A17" s="342" t="s">
        <v>147</v>
      </c>
      <c r="B17" s="292"/>
      <c r="C17" s="292"/>
      <c r="D17" s="292"/>
      <c r="E17" s="292"/>
      <c r="F17" s="293"/>
      <c r="G17" s="274">
        <f t="shared" ref="G17:G21" si="2">E17*F17</f>
        <v>0</v>
      </c>
    </row>
    <row r="18" spans="1:7">
      <c r="A18" s="342" t="s">
        <v>148</v>
      </c>
      <c r="B18" s="292"/>
      <c r="C18" s="292"/>
      <c r="D18" s="292"/>
      <c r="E18" s="292"/>
      <c r="F18" s="293"/>
      <c r="G18" s="274">
        <f t="shared" si="2"/>
        <v>0</v>
      </c>
    </row>
    <row r="19" spans="1:7">
      <c r="A19" s="342" t="s">
        <v>149</v>
      </c>
      <c r="B19" s="292"/>
      <c r="C19" s="292"/>
      <c r="D19" s="292"/>
      <c r="E19" s="292"/>
      <c r="F19" s="293"/>
      <c r="G19" s="274">
        <f t="shared" si="2"/>
        <v>0</v>
      </c>
    </row>
    <row r="20" spans="1:7">
      <c r="A20" s="342" t="s">
        <v>150</v>
      </c>
      <c r="B20" s="292"/>
      <c r="C20" s="292"/>
      <c r="D20" s="292"/>
      <c r="E20" s="292"/>
      <c r="F20" s="293"/>
      <c r="G20" s="274">
        <f t="shared" si="2"/>
        <v>0</v>
      </c>
    </row>
    <row r="21" spans="1:7">
      <c r="A21" s="342" t="s">
        <v>151</v>
      </c>
      <c r="B21" s="292"/>
      <c r="C21" s="292"/>
      <c r="D21" s="292"/>
      <c r="E21" s="292"/>
      <c r="F21" s="293"/>
      <c r="G21" s="274">
        <f t="shared" si="2"/>
        <v>0</v>
      </c>
    </row>
    <row r="22" spans="1:7">
      <c r="A22" s="143" t="s">
        <v>152</v>
      </c>
      <c r="B22" s="197">
        <f>SUM(B17:B21)</f>
        <v>0</v>
      </c>
      <c r="C22" s="197">
        <f t="shared" ref="C22:G22" si="3">SUM(C17:C21)</f>
        <v>0</v>
      </c>
      <c r="D22" s="197">
        <f t="shared" si="3"/>
        <v>0</v>
      </c>
      <c r="E22" s="197">
        <f t="shared" si="3"/>
        <v>0</v>
      </c>
      <c r="F22" s="279"/>
      <c r="G22" s="197">
        <f t="shared" si="3"/>
        <v>0</v>
      </c>
    </row>
    <row r="23" spans="1:7">
      <c r="A23" s="148" t="s">
        <v>97</v>
      </c>
      <c r="B23" s="281">
        <f>B15-B22</f>
        <v>0</v>
      </c>
      <c r="C23" s="281">
        <f t="shared" ref="C23:E23" si="4">C15-C22</f>
        <v>0</v>
      </c>
      <c r="D23" s="281">
        <f t="shared" si="4"/>
        <v>0</v>
      </c>
      <c r="E23" s="281">
        <f t="shared" si="4"/>
        <v>0</v>
      </c>
      <c r="F23" s="282"/>
      <c r="G23" s="281">
        <f>G15-G22</f>
        <v>0</v>
      </c>
    </row>
    <row r="24" spans="1:7">
      <c r="A24" s="1"/>
      <c r="B24" s="283"/>
      <c r="C24" s="283"/>
      <c r="D24" s="283"/>
      <c r="E24" s="283"/>
      <c r="F24" s="283"/>
      <c r="G24" s="283"/>
    </row>
    <row r="25" spans="1:7">
      <c r="A25" s="284"/>
      <c r="B25" s="284"/>
      <c r="C25" s="284"/>
      <c r="D25" s="284"/>
      <c r="E25" s="284"/>
      <c r="F25" s="284"/>
      <c r="G25" s="284"/>
    </row>
    <row r="26" spans="1:7" ht="25.5">
      <c r="A26" s="2" t="s">
        <v>153</v>
      </c>
      <c r="B26" s="21" t="s">
        <v>154</v>
      </c>
      <c r="C26" s="21" t="s">
        <v>85</v>
      </c>
      <c r="D26" s="414"/>
      <c r="E26" s="415"/>
      <c r="F26" s="2" t="s">
        <v>141</v>
      </c>
      <c r="G26" s="2" t="s">
        <v>142</v>
      </c>
    </row>
    <row r="27" spans="1:7">
      <c r="A27" s="3" t="s">
        <v>99</v>
      </c>
      <c r="B27" s="196"/>
      <c r="C27" s="196"/>
      <c r="D27" s="416"/>
      <c r="E27" s="417"/>
      <c r="F27" s="278"/>
      <c r="G27" s="274">
        <f>B27*F27</f>
        <v>0</v>
      </c>
    </row>
    <row r="28" spans="1:7">
      <c r="A28" s="3" t="s">
        <v>101</v>
      </c>
      <c r="B28" s="196"/>
      <c r="C28" s="196"/>
      <c r="D28" s="416"/>
      <c r="E28" s="417"/>
      <c r="F28" s="278"/>
      <c r="G28" s="274">
        <f t="shared" ref="G28:G29" si="5">B28*F28</f>
        <v>0</v>
      </c>
    </row>
    <row r="29" spans="1:7">
      <c r="A29" s="3" t="s">
        <v>102</v>
      </c>
      <c r="B29" s="196"/>
      <c r="C29" s="196"/>
      <c r="D29" s="418"/>
      <c r="E29" s="419"/>
      <c r="F29" s="278"/>
      <c r="G29" s="274">
        <f t="shared" si="5"/>
        <v>0</v>
      </c>
    </row>
    <row r="32" spans="1:7">
      <c r="A32" s="400" t="s">
        <v>155</v>
      </c>
      <c r="B32" s="401"/>
      <c r="C32" s="401"/>
      <c r="D32" s="401"/>
      <c r="E32" s="401"/>
      <c r="F32" s="402"/>
      <c r="G32" s="21" t="s">
        <v>154</v>
      </c>
    </row>
    <row r="33" spans="1:7">
      <c r="A33" s="403" t="s">
        <v>156</v>
      </c>
      <c r="B33" s="404"/>
      <c r="C33" s="404"/>
      <c r="D33" s="404"/>
      <c r="E33" s="404"/>
      <c r="F33" s="405"/>
      <c r="G33" s="196"/>
    </row>
    <row r="34" spans="1:7">
      <c r="A34" s="403" t="s">
        <v>157</v>
      </c>
      <c r="B34" s="404"/>
      <c r="C34" s="404"/>
      <c r="D34" s="404"/>
      <c r="E34" s="404"/>
      <c r="F34" s="405"/>
      <c r="G34" s="196"/>
    </row>
    <row r="35" spans="1:7">
      <c r="A35" s="403" t="s">
        <v>158</v>
      </c>
      <c r="B35" s="404"/>
      <c r="C35" s="404"/>
      <c r="D35" s="404"/>
      <c r="E35" s="404"/>
      <c r="F35" s="405"/>
      <c r="G35" s="196"/>
    </row>
    <row r="36" spans="1:7">
      <c r="A36" s="406" t="s">
        <v>159</v>
      </c>
      <c r="B36" s="407"/>
      <c r="C36" s="407"/>
      <c r="D36" s="407"/>
      <c r="E36" s="407"/>
      <c r="F36" s="408"/>
      <c r="G36" s="285">
        <f>G35/12</f>
        <v>0</v>
      </c>
    </row>
    <row r="39" spans="1:7">
      <c r="A39" s="353" t="s">
        <v>160</v>
      </c>
      <c r="B39" s="353"/>
      <c r="C39" s="353"/>
      <c r="D39" s="353"/>
      <c r="E39" s="353"/>
    </row>
    <row r="40" spans="1:7">
      <c r="A40" s="1"/>
      <c r="B40" s="1"/>
      <c r="C40" s="1"/>
      <c r="D40" s="1"/>
      <c r="E40" s="1"/>
    </row>
    <row r="41" spans="1:7">
      <c r="A41" s="286" t="s">
        <v>161</v>
      </c>
      <c r="B41" s="286" t="s">
        <v>162</v>
      </c>
      <c r="C41" s="286" t="s">
        <v>163</v>
      </c>
      <c r="D41" s="409" t="s">
        <v>164</v>
      </c>
      <c r="E41" s="409"/>
    </row>
    <row r="42" spans="1:7">
      <c r="A42" s="294">
        <v>45170</v>
      </c>
      <c r="B42" s="295">
        <v>45175</v>
      </c>
      <c r="C42" s="292"/>
      <c r="D42" s="410" t="s">
        <v>165</v>
      </c>
      <c r="E42" s="411"/>
    </row>
    <row r="43" spans="1:7">
      <c r="A43" s="294">
        <v>45200</v>
      </c>
      <c r="B43" s="295">
        <v>45202</v>
      </c>
      <c r="C43" s="292"/>
      <c r="D43" s="410" t="s">
        <v>165</v>
      </c>
      <c r="E43" s="411"/>
    </row>
    <row r="44" spans="1:7">
      <c r="A44" s="294">
        <v>45231</v>
      </c>
      <c r="B44" s="295">
        <v>45233</v>
      </c>
      <c r="C44" s="292"/>
      <c r="D44" s="410" t="s">
        <v>165</v>
      </c>
      <c r="E44" s="411"/>
    </row>
    <row r="45" spans="1:7">
      <c r="A45" s="294">
        <v>45261</v>
      </c>
      <c r="B45" s="295">
        <v>45263</v>
      </c>
      <c r="C45" s="292"/>
      <c r="D45" s="410" t="s">
        <v>165</v>
      </c>
      <c r="E45" s="411"/>
    </row>
    <row r="46" spans="1:7">
      <c r="A46" s="294">
        <v>45292</v>
      </c>
      <c r="B46" s="295">
        <v>45294</v>
      </c>
      <c r="C46" s="292"/>
      <c r="D46" s="410" t="s">
        <v>165</v>
      </c>
      <c r="E46" s="411"/>
    </row>
    <row r="47" spans="1:7">
      <c r="A47" s="294">
        <v>45323</v>
      </c>
      <c r="B47" s="295">
        <v>45325</v>
      </c>
      <c r="C47" s="292"/>
      <c r="D47" s="410" t="s">
        <v>165</v>
      </c>
      <c r="E47" s="411"/>
    </row>
    <row r="48" spans="1:7">
      <c r="A48" s="287"/>
      <c r="B48" s="288"/>
      <c r="C48" s="196"/>
      <c r="D48" s="412"/>
      <c r="E48" s="413"/>
    </row>
    <row r="49" spans="1:5">
      <c r="A49" s="287"/>
      <c r="B49" s="288"/>
      <c r="C49" s="196"/>
      <c r="D49" s="412"/>
      <c r="E49" s="413"/>
    </row>
    <row r="50" spans="1:5">
      <c r="A50" s="287"/>
      <c r="B50" s="288"/>
      <c r="C50" s="196"/>
      <c r="D50" s="412"/>
      <c r="E50" s="413"/>
    </row>
    <row r="51" spans="1:5">
      <c r="A51" s="287"/>
      <c r="B51" s="288"/>
      <c r="C51" s="196"/>
      <c r="D51" s="412"/>
      <c r="E51" s="413"/>
    </row>
    <row r="52" spans="1:5">
      <c r="A52" s="287"/>
      <c r="B52" s="288"/>
      <c r="C52" s="196"/>
      <c r="D52" s="412"/>
      <c r="E52" s="413"/>
    </row>
    <row r="53" spans="1:5">
      <c r="A53" s="287"/>
      <c r="B53" s="288"/>
      <c r="C53" s="196"/>
      <c r="D53" s="412"/>
      <c r="E53" s="413"/>
    </row>
  </sheetData>
  <sheetProtection algorithmName="SHA-512" hashValue="wOTxuFToSUpjbCBgQWj/Lp4aPU+bqGZcpSIpcn6iiactEJfsVhmCN1aHpiGraQXshNtxu2TDkGlf3Kn3LZHZAw==" saltValue="ttTUGvj2ucJnw4h3xaVEI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1" t="s">
        <v>133</v>
      </c>
      <c r="B1" s="420"/>
      <c r="C1" s="420"/>
      <c r="D1" s="420"/>
    </row>
    <row r="2" spans="1:7">
      <c r="A2" s="171" t="s">
        <v>134</v>
      </c>
      <c r="B2" s="420"/>
      <c r="C2" s="420"/>
      <c r="D2" s="420"/>
    </row>
    <row r="3" spans="1:7">
      <c r="A3" s="171" t="s">
        <v>135</v>
      </c>
      <c r="B3" s="420"/>
      <c r="C3" s="420"/>
      <c r="D3" s="420"/>
    </row>
    <row r="4" spans="1:7">
      <c r="A4" s="171" t="s">
        <v>136</v>
      </c>
      <c r="B4" s="273">
        <v>43709</v>
      </c>
      <c r="C4" s="171" t="s">
        <v>137</v>
      </c>
      <c r="D4" s="184"/>
    </row>
    <row r="6" spans="1:7">
      <c r="B6" s="399" t="s">
        <v>138</v>
      </c>
      <c r="C6" s="399"/>
      <c r="D6" s="399"/>
      <c r="E6" s="399"/>
    </row>
    <row r="7" spans="1:7" ht="25.5">
      <c r="A7" s="2" t="s">
        <v>139</v>
      </c>
      <c r="B7" s="21" t="s">
        <v>166</v>
      </c>
      <c r="C7" s="21" t="s">
        <v>167</v>
      </c>
      <c r="D7" s="21" t="s">
        <v>168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196"/>
      <c r="C8" s="196"/>
      <c r="D8" s="196"/>
      <c r="E8" s="196"/>
      <c r="F8" s="278"/>
      <c r="G8" s="274">
        <f>E8*F8</f>
        <v>0</v>
      </c>
    </row>
    <row r="9" spans="1:7">
      <c r="A9" s="3" t="s">
        <v>92</v>
      </c>
      <c r="B9" s="196"/>
      <c r="C9" s="196"/>
      <c r="D9" s="196"/>
      <c r="E9" s="196"/>
      <c r="F9" s="278"/>
      <c r="G9" s="274">
        <f t="shared" ref="G9:G14" si="0">E9*F9</f>
        <v>0</v>
      </c>
    </row>
    <row r="10" spans="1:7">
      <c r="A10" s="3" t="s">
        <v>93</v>
      </c>
      <c r="B10" s="196"/>
      <c r="C10" s="196"/>
      <c r="D10" s="196"/>
      <c r="E10" s="196"/>
      <c r="F10" s="278"/>
      <c r="G10" s="274">
        <f t="shared" si="0"/>
        <v>0</v>
      </c>
    </row>
    <row r="11" spans="1:7">
      <c r="A11" s="3" t="s">
        <v>94</v>
      </c>
      <c r="B11" s="196"/>
      <c r="C11" s="196"/>
      <c r="D11" s="196"/>
      <c r="E11" s="196"/>
      <c r="F11" s="278"/>
      <c r="G11" s="274">
        <f t="shared" si="0"/>
        <v>0</v>
      </c>
    </row>
    <row r="12" spans="1:7">
      <c r="A12" s="3" t="s">
        <v>143</v>
      </c>
      <c r="B12" s="196"/>
      <c r="C12" s="196"/>
      <c r="D12" s="196"/>
      <c r="E12" s="196"/>
      <c r="F12" s="278"/>
      <c r="G12" s="274">
        <f t="shared" si="0"/>
        <v>0</v>
      </c>
    </row>
    <row r="13" spans="1:7">
      <c r="A13" s="3" t="s">
        <v>144</v>
      </c>
      <c r="B13" s="196"/>
      <c r="C13" s="196"/>
      <c r="D13" s="196"/>
      <c r="E13" s="196"/>
      <c r="F13" s="278"/>
      <c r="G13" s="274">
        <f t="shared" si="0"/>
        <v>0</v>
      </c>
    </row>
    <row r="14" spans="1:7">
      <c r="A14" s="3" t="s">
        <v>145</v>
      </c>
      <c r="B14" s="196"/>
      <c r="C14" s="196"/>
      <c r="D14" s="196"/>
      <c r="E14" s="196"/>
      <c r="F14" s="278"/>
      <c r="G14" s="274">
        <f t="shared" si="0"/>
        <v>0</v>
      </c>
    </row>
    <row r="15" spans="1:7">
      <c r="A15" s="143" t="s">
        <v>95</v>
      </c>
      <c r="B15" s="197">
        <f>SUM(B8:B14)</f>
        <v>0</v>
      </c>
      <c r="C15" s="197">
        <f t="shared" ref="C15:G15" si="1">SUM(C8:C14)</f>
        <v>0</v>
      </c>
      <c r="D15" s="197">
        <f t="shared" si="1"/>
        <v>0</v>
      </c>
      <c r="E15" s="197">
        <f t="shared" si="1"/>
        <v>0</v>
      </c>
      <c r="F15" s="279"/>
      <c r="G15" s="197">
        <f t="shared" si="1"/>
        <v>0</v>
      </c>
    </row>
    <row r="16" spans="1:7">
      <c r="A16" s="171" t="s">
        <v>146</v>
      </c>
      <c r="B16" s="274"/>
      <c r="C16" s="274"/>
      <c r="D16" s="274"/>
      <c r="E16" s="274"/>
      <c r="F16" s="280"/>
      <c r="G16" s="274"/>
    </row>
    <row r="17" spans="1:7">
      <c r="A17" s="342" t="s">
        <v>147</v>
      </c>
      <c r="B17" s="196"/>
      <c r="C17" s="196"/>
      <c r="D17" s="196"/>
      <c r="E17" s="196"/>
      <c r="F17" s="278"/>
      <c r="G17" s="274">
        <f t="shared" ref="G17:G21" si="2">E17*F17</f>
        <v>0</v>
      </c>
    </row>
    <row r="18" spans="1:7">
      <c r="A18" s="342" t="s">
        <v>148</v>
      </c>
      <c r="B18" s="196"/>
      <c r="C18" s="196"/>
      <c r="D18" s="196"/>
      <c r="E18" s="196"/>
      <c r="F18" s="278"/>
      <c r="G18" s="274">
        <f t="shared" si="2"/>
        <v>0</v>
      </c>
    </row>
    <row r="19" spans="1:7">
      <c r="A19" s="342" t="s">
        <v>149</v>
      </c>
      <c r="B19" s="196"/>
      <c r="C19" s="196"/>
      <c r="D19" s="196"/>
      <c r="E19" s="196"/>
      <c r="F19" s="278"/>
      <c r="G19" s="274">
        <f t="shared" si="2"/>
        <v>0</v>
      </c>
    </row>
    <row r="20" spans="1:7">
      <c r="A20" s="342" t="s">
        <v>150</v>
      </c>
      <c r="B20" s="196"/>
      <c r="C20" s="196"/>
      <c r="D20" s="196"/>
      <c r="E20" s="196"/>
      <c r="F20" s="278"/>
      <c r="G20" s="274">
        <f t="shared" si="2"/>
        <v>0</v>
      </c>
    </row>
    <row r="21" spans="1:7">
      <c r="A21" s="342" t="s">
        <v>151</v>
      </c>
      <c r="B21" s="196"/>
      <c r="C21" s="196"/>
      <c r="D21" s="196"/>
      <c r="E21" s="196"/>
      <c r="F21" s="278"/>
      <c r="G21" s="274">
        <f t="shared" si="2"/>
        <v>0</v>
      </c>
    </row>
    <row r="22" spans="1:7">
      <c r="A22" s="143" t="s">
        <v>152</v>
      </c>
      <c r="B22" s="197">
        <f>SUM(B17:B21)</f>
        <v>0</v>
      </c>
      <c r="C22" s="197">
        <f t="shared" ref="C22:G22" si="3">SUM(C17:C21)</f>
        <v>0</v>
      </c>
      <c r="D22" s="197">
        <f t="shared" si="3"/>
        <v>0</v>
      </c>
      <c r="E22" s="197">
        <f t="shared" si="3"/>
        <v>0</v>
      </c>
      <c r="F22" s="279"/>
      <c r="G22" s="197">
        <f t="shared" si="3"/>
        <v>0</v>
      </c>
    </row>
    <row r="23" spans="1:7">
      <c r="A23" s="148" t="s">
        <v>97</v>
      </c>
      <c r="B23" s="281">
        <f>B15-B22</f>
        <v>0</v>
      </c>
      <c r="C23" s="281">
        <f t="shared" ref="C23:E23" si="4">C15-C22</f>
        <v>0</v>
      </c>
      <c r="D23" s="281">
        <f t="shared" si="4"/>
        <v>0</v>
      </c>
      <c r="E23" s="281">
        <f t="shared" si="4"/>
        <v>0</v>
      </c>
      <c r="F23" s="282"/>
      <c r="G23" s="281">
        <f>G15-G22</f>
        <v>0</v>
      </c>
    </row>
    <row r="24" spans="1:7">
      <c r="A24" s="1"/>
      <c r="B24" s="283"/>
      <c r="C24" s="283"/>
      <c r="D24" s="283"/>
      <c r="E24" s="283"/>
      <c r="F24" s="283"/>
      <c r="G24" s="283"/>
    </row>
    <row r="25" spans="1:7">
      <c r="A25" s="284"/>
      <c r="B25" s="284"/>
      <c r="C25" s="284"/>
      <c r="D25" s="284"/>
      <c r="E25" s="284"/>
      <c r="F25" s="284"/>
      <c r="G25" s="284"/>
    </row>
    <row r="26" spans="1:7" ht="25.5">
      <c r="A26" s="2" t="s">
        <v>153</v>
      </c>
      <c r="B26" s="21" t="s">
        <v>154</v>
      </c>
      <c r="C26" s="21" t="s">
        <v>85</v>
      </c>
      <c r="D26" s="414"/>
      <c r="E26" s="415"/>
      <c r="F26" s="2" t="s">
        <v>141</v>
      </c>
      <c r="G26" s="2" t="s">
        <v>142</v>
      </c>
    </row>
    <row r="27" spans="1:7">
      <c r="A27" s="3" t="s">
        <v>99</v>
      </c>
      <c r="B27" s="196"/>
      <c r="C27" s="196"/>
      <c r="D27" s="416"/>
      <c r="E27" s="417"/>
      <c r="F27" s="278"/>
      <c r="G27" s="274">
        <f>B27*F27</f>
        <v>0</v>
      </c>
    </row>
    <row r="28" spans="1:7">
      <c r="A28" s="3" t="s">
        <v>101</v>
      </c>
      <c r="B28" s="196"/>
      <c r="C28" s="196"/>
      <c r="D28" s="416"/>
      <c r="E28" s="417"/>
      <c r="F28" s="278"/>
      <c r="G28" s="274">
        <f t="shared" ref="G28:G29" si="5">B28*F28</f>
        <v>0</v>
      </c>
    </row>
    <row r="29" spans="1:7">
      <c r="A29" s="3" t="s">
        <v>102</v>
      </c>
      <c r="B29" s="196"/>
      <c r="C29" s="196"/>
      <c r="D29" s="418"/>
      <c r="E29" s="419"/>
      <c r="F29" s="278"/>
      <c r="G29" s="274">
        <f t="shared" si="5"/>
        <v>0</v>
      </c>
    </row>
    <row r="32" spans="1:7">
      <c r="A32" s="400" t="s">
        <v>155</v>
      </c>
      <c r="B32" s="401"/>
      <c r="C32" s="401"/>
      <c r="D32" s="401"/>
      <c r="E32" s="401"/>
      <c r="F32" s="402"/>
      <c r="G32" s="21" t="s">
        <v>154</v>
      </c>
    </row>
    <row r="33" spans="1:7">
      <c r="A33" s="403" t="s">
        <v>156</v>
      </c>
      <c r="B33" s="404"/>
      <c r="C33" s="404"/>
      <c r="D33" s="404"/>
      <c r="E33" s="404"/>
      <c r="F33" s="405"/>
      <c r="G33" s="196"/>
    </row>
    <row r="34" spans="1:7">
      <c r="A34" s="403" t="s">
        <v>157</v>
      </c>
      <c r="B34" s="404"/>
      <c r="C34" s="404"/>
      <c r="D34" s="404"/>
      <c r="E34" s="404"/>
      <c r="F34" s="405"/>
      <c r="G34" s="196"/>
    </row>
    <row r="35" spans="1:7">
      <c r="A35" s="403" t="s">
        <v>158</v>
      </c>
      <c r="B35" s="404"/>
      <c r="C35" s="404"/>
      <c r="D35" s="404"/>
      <c r="E35" s="404"/>
      <c r="F35" s="405"/>
      <c r="G35" s="196"/>
    </row>
    <row r="36" spans="1:7">
      <c r="A36" s="406" t="s">
        <v>159</v>
      </c>
      <c r="B36" s="407"/>
      <c r="C36" s="407"/>
      <c r="D36" s="407"/>
      <c r="E36" s="407"/>
      <c r="F36" s="408"/>
      <c r="G36" s="285">
        <f>G35/12</f>
        <v>0</v>
      </c>
    </row>
    <row r="39" spans="1:7">
      <c r="A39" s="353" t="s">
        <v>160</v>
      </c>
      <c r="B39" s="353"/>
      <c r="C39" s="353"/>
      <c r="D39" s="353"/>
      <c r="E39" s="353"/>
    </row>
    <row r="40" spans="1:7">
      <c r="A40" s="1"/>
      <c r="B40" s="1"/>
      <c r="C40" s="1"/>
      <c r="D40" s="1"/>
      <c r="E40" s="1"/>
    </row>
    <row r="41" spans="1:7">
      <c r="A41" s="286" t="s">
        <v>161</v>
      </c>
      <c r="B41" s="286" t="s">
        <v>162</v>
      </c>
      <c r="C41" s="286" t="s">
        <v>163</v>
      </c>
      <c r="D41" s="409" t="s">
        <v>164</v>
      </c>
      <c r="E41" s="409"/>
    </row>
    <row r="42" spans="1:7">
      <c r="A42" s="287"/>
      <c r="B42" s="288"/>
      <c r="C42" s="196"/>
      <c r="D42" s="412"/>
      <c r="E42" s="413"/>
    </row>
    <row r="43" spans="1:7">
      <c r="A43" s="287"/>
      <c r="B43" s="288"/>
      <c r="C43" s="196"/>
      <c r="D43" s="412"/>
      <c r="E43" s="413"/>
    </row>
    <row r="44" spans="1:7">
      <c r="A44" s="287"/>
      <c r="B44" s="288"/>
      <c r="C44" s="196"/>
      <c r="D44" s="412"/>
      <c r="E44" s="413"/>
    </row>
    <row r="45" spans="1:7">
      <c r="A45" s="287"/>
      <c r="B45" s="288"/>
      <c r="C45" s="196"/>
      <c r="D45" s="412"/>
      <c r="E45" s="413"/>
    </row>
    <row r="46" spans="1:7">
      <c r="A46" s="287"/>
      <c r="B46" s="288"/>
      <c r="C46" s="196"/>
      <c r="D46" s="412"/>
      <c r="E46" s="413"/>
    </row>
    <row r="47" spans="1:7">
      <c r="A47" s="287"/>
      <c r="B47" s="288"/>
      <c r="C47" s="196"/>
      <c r="D47" s="412"/>
      <c r="E47" s="413"/>
    </row>
    <row r="48" spans="1:7">
      <c r="A48" s="287"/>
      <c r="B48" s="288"/>
      <c r="C48" s="196"/>
      <c r="D48" s="412"/>
      <c r="E48" s="413"/>
    </row>
    <row r="49" spans="1:5">
      <c r="A49" s="287"/>
      <c r="B49" s="288"/>
      <c r="C49" s="196"/>
      <c r="D49" s="412"/>
      <c r="E49" s="413"/>
    </row>
    <row r="50" spans="1:5">
      <c r="A50" s="287"/>
      <c r="B50" s="288"/>
      <c r="C50" s="196"/>
      <c r="D50" s="412"/>
      <c r="E50" s="413"/>
    </row>
    <row r="51" spans="1:5">
      <c r="A51" s="287"/>
      <c r="B51" s="288"/>
      <c r="C51" s="196"/>
      <c r="D51" s="412"/>
      <c r="E51" s="413"/>
    </row>
    <row r="52" spans="1:5">
      <c r="A52" s="287"/>
      <c r="B52" s="288"/>
      <c r="C52" s="196"/>
      <c r="D52" s="412"/>
      <c r="E52" s="413"/>
    </row>
    <row r="53" spans="1:5">
      <c r="A53" s="287"/>
      <c r="B53" s="288"/>
      <c r="C53" s="196"/>
      <c r="D53" s="412"/>
      <c r="E53" s="413"/>
    </row>
  </sheetData>
  <sheetProtection algorithmName="SHA-512" hashValue="/jxr/ndufATzpCRSS4zUc11PxtceCY8R3fcp4YG4ZM65LuoM+l4Bl42knx7zWupllV6xHZK/y+LgD19xefECvA==" saltValue="p2q2oYjgwL65jB4g58dkmQ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1" t="s">
        <v>133</v>
      </c>
      <c r="B1" s="420"/>
      <c r="C1" s="420"/>
      <c r="D1" s="420"/>
    </row>
    <row r="2" spans="1:7">
      <c r="A2" s="171" t="s">
        <v>134</v>
      </c>
      <c r="B2" s="420"/>
      <c r="C2" s="420"/>
      <c r="D2" s="420"/>
    </row>
    <row r="3" spans="1:7">
      <c r="A3" s="171" t="s">
        <v>135</v>
      </c>
      <c r="B3" s="420"/>
      <c r="C3" s="420"/>
      <c r="D3" s="420"/>
    </row>
    <row r="4" spans="1:7">
      <c r="A4" s="171" t="s">
        <v>136</v>
      </c>
      <c r="B4" s="273">
        <v>43709</v>
      </c>
      <c r="C4" s="171" t="s">
        <v>137</v>
      </c>
      <c r="D4" s="184"/>
    </row>
    <row r="6" spans="1:7">
      <c r="B6" s="399" t="s">
        <v>138</v>
      </c>
      <c r="C6" s="399"/>
      <c r="D6" s="399"/>
      <c r="E6" s="399"/>
    </row>
    <row r="7" spans="1:7" ht="25.5">
      <c r="A7" s="2" t="s">
        <v>139</v>
      </c>
      <c r="B7" s="21" t="s">
        <v>166</v>
      </c>
      <c r="C7" s="21" t="s">
        <v>167</v>
      </c>
      <c r="D7" s="21" t="s">
        <v>168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196"/>
      <c r="C8" s="196"/>
      <c r="D8" s="196"/>
      <c r="E8" s="196"/>
      <c r="F8" s="278"/>
      <c r="G8" s="274">
        <f>E8*F8</f>
        <v>0</v>
      </c>
    </row>
    <row r="9" spans="1:7">
      <c r="A9" s="3" t="s">
        <v>92</v>
      </c>
      <c r="B9" s="196"/>
      <c r="C9" s="196"/>
      <c r="D9" s="196"/>
      <c r="E9" s="196"/>
      <c r="F9" s="278"/>
      <c r="G9" s="274">
        <f t="shared" ref="G9:G14" si="0">E9*F9</f>
        <v>0</v>
      </c>
    </row>
    <row r="10" spans="1:7">
      <c r="A10" s="3" t="s">
        <v>93</v>
      </c>
      <c r="B10" s="196"/>
      <c r="C10" s="196"/>
      <c r="D10" s="196"/>
      <c r="E10" s="196"/>
      <c r="F10" s="278"/>
      <c r="G10" s="274">
        <f t="shared" si="0"/>
        <v>0</v>
      </c>
    </row>
    <row r="11" spans="1:7">
      <c r="A11" s="3" t="s">
        <v>94</v>
      </c>
      <c r="B11" s="196"/>
      <c r="C11" s="196"/>
      <c r="D11" s="196"/>
      <c r="E11" s="196"/>
      <c r="F11" s="278"/>
      <c r="G11" s="274">
        <f t="shared" si="0"/>
        <v>0</v>
      </c>
    </row>
    <row r="12" spans="1:7">
      <c r="A12" s="3" t="s">
        <v>143</v>
      </c>
      <c r="B12" s="196"/>
      <c r="C12" s="196"/>
      <c r="D12" s="196"/>
      <c r="E12" s="196"/>
      <c r="F12" s="278"/>
      <c r="G12" s="274">
        <f t="shared" si="0"/>
        <v>0</v>
      </c>
    </row>
    <row r="13" spans="1:7">
      <c r="A13" s="3" t="s">
        <v>144</v>
      </c>
      <c r="B13" s="196"/>
      <c r="C13" s="196"/>
      <c r="D13" s="196"/>
      <c r="E13" s="196"/>
      <c r="F13" s="278"/>
      <c r="G13" s="274">
        <f t="shared" si="0"/>
        <v>0</v>
      </c>
    </row>
    <row r="14" spans="1:7">
      <c r="A14" s="3" t="s">
        <v>145</v>
      </c>
      <c r="B14" s="196"/>
      <c r="C14" s="196"/>
      <c r="D14" s="196"/>
      <c r="E14" s="196"/>
      <c r="F14" s="278"/>
      <c r="G14" s="274">
        <f t="shared" si="0"/>
        <v>0</v>
      </c>
    </row>
    <row r="15" spans="1:7">
      <c r="A15" s="143" t="s">
        <v>95</v>
      </c>
      <c r="B15" s="197">
        <f>SUM(B8:B14)</f>
        <v>0</v>
      </c>
      <c r="C15" s="197">
        <f t="shared" ref="C15:G15" si="1">SUM(C8:C14)</f>
        <v>0</v>
      </c>
      <c r="D15" s="197">
        <f t="shared" si="1"/>
        <v>0</v>
      </c>
      <c r="E15" s="197">
        <f t="shared" si="1"/>
        <v>0</v>
      </c>
      <c r="F15" s="279"/>
      <c r="G15" s="197">
        <f t="shared" si="1"/>
        <v>0</v>
      </c>
    </row>
    <row r="16" spans="1:7">
      <c r="A16" s="171" t="s">
        <v>146</v>
      </c>
      <c r="B16" s="274"/>
      <c r="C16" s="274"/>
      <c r="D16" s="274"/>
      <c r="E16" s="274"/>
      <c r="F16" s="280"/>
      <c r="G16" s="274"/>
    </row>
    <row r="17" spans="1:7">
      <c r="A17" s="342" t="s">
        <v>147</v>
      </c>
      <c r="B17" s="196"/>
      <c r="C17" s="196"/>
      <c r="D17" s="196"/>
      <c r="E17" s="196"/>
      <c r="F17" s="278"/>
      <c r="G17" s="274">
        <f t="shared" ref="G17:G21" si="2">E17*F17</f>
        <v>0</v>
      </c>
    </row>
    <row r="18" spans="1:7">
      <c r="A18" s="342" t="s">
        <v>148</v>
      </c>
      <c r="B18" s="196"/>
      <c r="C18" s="196"/>
      <c r="D18" s="196"/>
      <c r="E18" s="196"/>
      <c r="F18" s="278"/>
      <c r="G18" s="274">
        <f t="shared" si="2"/>
        <v>0</v>
      </c>
    </row>
    <row r="19" spans="1:7">
      <c r="A19" s="342" t="s">
        <v>149</v>
      </c>
      <c r="B19" s="196"/>
      <c r="C19" s="196"/>
      <c r="D19" s="196"/>
      <c r="E19" s="196"/>
      <c r="F19" s="278"/>
      <c r="G19" s="274">
        <f t="shared" si="2"/>
        <v>0</v>
      </c>
    </row>
    <row r="20" spans="1:7">
      <c r="A20" s="342" t="s">
        <v>150</v>
      </c>
      <c r="B20" s="196"/>
      <c r="C20" s="196"/>
      <c r="D20" s="196"/>
      <c r="E20" s="196"/>
      <c r="F20" s="278"/>
      <c r="G20" s="274">
        <f t="shared" si="2"/>
        <v>0</v>
      </c>
    </row>
    <row r="21" spans="1:7">
      <c r="A21" s="342" t="s">
        <v>151</v>
      </c>
      <c r="B21" s="196"/>
      <c r="C21" s="196"/>
      <c r="D21" s="196"/>
      <c r="E21" s="196"/>
      <c r="F21" s="278"/>
      <c r="G21" s="274">
        <f t="shared" si="2"/>
        <v>0</v>
      </c>
    </row>
    <row r="22" spans="1:7">
      <c r="A22" s="143" t="s">
        <v>152</v>
      </c>
      <c r="B22" s="197">
        <f>SUM(B17:B21)</f>
        <v>0</v>
      </c>
      <c r="C22" s="197">
        <f t="shared" ref="C22:G22" si="3">SUM(C17:C21)</f>
        <v>0</v>
      </c>
      <c r="D22" s="197">
        <f t="shared" si="3"/>
        <v>0</v>
      </c>
      <c r="E22" s="197">
        <f t="shared" si="3"/>
        <v>0</v>
      </c>
      <c r="F22" s="279"/>
      <c r="G22" s="197">
        <f t="shared" si="3"/>
        <v>0</v>
      </c>
    </row>
    <row r="23" spans="1:7">
      <c r="A23" s="148" t="s">
        <v>97</v>
      </c>
      <c r="B23" s="281">
        <f>B15-B22</f>
        <v>0</v>
      </c>
      <c r="C23" s="281">
        <f t="shared" ref="C23:E23" si="4">C15-C22</f>
        <v>0</v>
      </c>
      <c r="D23" s="281">
        <f t="shared" si="4"/>
        <v>0</v>
      </c>
      <c r="E23" s="281">
        <f t="shared" si="4"/>
        <v>0</v>
      </c>
      <c r="F23" s="282"/>
      <c r="G23" s="281">
        <f>G15-G22</f>
        <v>0</v>
      </c>
    </row>
    <row r="24" spans="1:7">
      <c r="A24" s="1"/>
      <c r="B24" s="283"/>
      <c r="C24" s="283"/>
      <c r="D24" s="283"/>
      <c r="E24" s="283"/>
      <c r="F24" s="283"/>
      <c r="G24" s="283"/>
    </row>
    <row r="25" spans="1:7">
      <c r="A25" s="284"/>
      <c r="B25" s="284"/>
      <c r="C25" s="284"/>
      <c r="D25" s="284"/>
      <c r="E25" s="284"/>
      <c r="F25" s="284"/>
      <c r="G25" s="284"/>
    </row>
    <row r="26" spans="1:7" ht="25.5">
      <c r="A26" s="2" t="s">
        <v>153</v>
      </c>
      <c r="B26" s="21" t="s">
        <v>154</v>
      </c>
      <c r="C26" s="21" t="s">
        <v>85</v>
      </c>
      <c r="D26" s="414"/>
      <c r="E26" s="415"/>
      <c r="F26" s="2" t="s">
        <v>141</v>
      </c>
      <c r="G26" s="2" t="s">
        <v>142</v>
      </c>
    </row>
    <row r="27" spans="1:7">
      <c r="A27" s="3" t="s">
        <v>99</v>
      </c>
      <c r="B27" s="196"/>
      <c r="C27" s="196"/>
      <c r="D27" s="416"/>
      <c r="E27" s="417"/>
      <c r="F27" s="278"/>
      <c r="G27" s="274">
        <f>B27*F27</f>
        <v>0</v>
      </c>
    </row>
    <row r="28" spans="1:7">
      <c r="A28" s="3" t="s">
        <v>101</v>
      </c>
      <c r="B28" s="196"/>
      <c r="C28" s="196"/>
      <c r="D28" s="416"/>
      <c r="E28" s="417"/>
      <c r="F28" s="278"/>
      <c r="G28" s="274">
        <f t="shared" ref="G28:G29" si="5">B28*F28</f>
        <v>0</v>
      </c>
    </row>
    <row r="29" spans="1:7">
      <c r="A29" s="3" t="s">
        <v>102</v>
      </c>
      <c r="B29" s="196"/>
      <c r="C29" s="196"/>
      <c r="D29" s="418"/>
      <c r="E29" s="419"/>
      <c r="F29" s="278"/>
      <c r="G29" s="274">
        <f t="shared" si="5"/>
        <v>0</v>
      </c>
    </row>
    <row r="32" spans="1:7">
      <c r="A32" s="400" t="s">
        <v>155</v>
      </c>
      <c r="B32" s="401"/>
      <c r="C32" s="401"/>
      <c r="D32" s="401"/>
      <c r="E32" s="401"/>
      <c r="F32" s="402"/>
      <c r="G32" s="21" t="s">
        <v>154</v>
      </c>
    </row>
    <row r="33" spans="1:7">
      <c r="A33" s="403" t="s">
        <v>156</v>
      </c>
      <c r="B33" s="404"/>
      <c r="C33" s="404"/>
      <c r="D33" s="404"/>
      <c r="E33" s="404"/>
      <c r="F33" s="405"/>
      <c r="G33" s="196"/>
    </row>
    <row r="34" spans="1:7">
      <c r="A34" s="403" t="s">
        <v>157</v>
      </c>
      <c r="B34" s="404"/>
      <c r="C34" s="404"/>
      <c r="D34" s="404"/>
      <c r="E34" s="404"/>
      <c r="F34" s="405"/>
      <c r="G34" s="196"/>
    </row>
    <row r="35" spans="1:7">
      <c r="A35" s="403" t="s">
        <v>158</v>
      </c>
      <c r="B35" s="404"/>
      <c r="C35" s="404"/>
      <c r="D35" s="404"/>
      <c r="E35" s="404"/>
      <c r="F35" s="405"/>
      <c r="G35" s="196"/>
    </row>
    <row r="36" spans="1:7">
      <c r="A36" s="406" t="s">
        <v>159</v>
      </c>
      <c r="B36" s="407"/>
      <c r="C36" s="407"/>
      <c r="D36" s="407"/>
      <c r="E36" s="407"/>
      <c r="F36" s="408"/>
      <c r="G36" s="285">
        <f>G35/12</f>
        <v>0</v>
      </c>
    </row>
    <row r="39" spans="1:7">
      <c r="A39" s="353" t="s">
        <v>160</v>
      </c>
      <c r="B39" s="353"/>
      <c r="C39" s="353"/>
      <c r="D39" s="353"/>
      <c r="E39" s="353"/>
    </row>
    <row r="40" spans="1:7">
      <c r="A40" s="1"/>
      <c r="B40" s="1"/>
      <c r="C40" s="1"/>
      <c r="D40" s="1"/>
      <c r="E40" s="1"/>
    </row>
    <row r="41" spans="1:7">
      <c r="A41" s="286" t="s">
        <v>161</v>
      </c>
      <c r="B41" s="286" t="s">
        <v>162</v>
      </c>
      <c r="C41" s="286" t="s">
        <v>163</v>
      </c>
      <c r="D41" s="409" t="s">
        <v>164</v>
      </c>
      <c r="E41" s="409"/>
    </row>
    <row r="42" spans="1:7">
      <c r="A42" s="287"/>
      <c r="B42" s="288"/>
      <c r="C42" s="196"/>
      <c r="D42" s="412"/>
      <c r="E42" s="413"/>
    </row>
    <row r="43" spans="1:7">
      <c r="A43" s="287"/>
      <c r="B43" s="288"/>
      <c r="C43" s="196"/>
      <c r="D43" s="412"/>
      <c r="E43" s="413"/>
    </row>
    <row r="44" spans="1:7">
      <c r="A44" s="287"/>
      <c r="B44" s="288"/>
      <c r="C44" s="196"/>
      <c r="D44" s="412"/>
      <c r="E44" s="413"/>
    </row>
    <row r="45" spans="1:7">
      <c r="A45" s="287"/>
      <c r="B45" s="288"/>
      <c r="C45" s="196"/>
      <c r="D45" s="412"/>
      <c r="E45" s="413"/>
    </row>
    <row r="46" spans="1:7">
      <c r="A46" s="287"/>
      <c r="B46" s="288"/>
      <c r="C46" s="196"/>
      <c r="D46" s="412"/>
      <c r="E46" s="413"/>
    </row>
    <row r="47" spans="1:7">
      <c r="A47" s="287"/>
      <c r="B47" s="288"/>
      <c r="C47" s="196"/>
      <c r="D47" s="412"/>
      <c r="E47" s="413"/>
    </row>
    <row r="48" spans="1:7">
      <c r="A48" s="287"/>
      <c r="B48" s="288"/>
      <c r="C48" s="196"/>
      <c r="D48" s="412"/>
      <c r="E48" s="413"/>
    </row>
    <row r="49" spans="1:5">
      <c r="A49" s="287"/>
      <c r="B49" s="288"/>
      <c r="C49" s="196"/>
      <c r="D49" s="412"/>
      <c r="E49" s="413"/>
    </row>
    <row r="50" spans="1:5">
      <c r="A50" s="287"/>
      <c r="B50" s="288"/>
      <c r="C50" s="196"/>
      <c r="D50" s="412"/>
      <c r="E50" s="413"/>
    </row>
    <row r="51" spans="1:5">
      <c r="A51" s="287"/>
      <c r="B51" s="288"/>
      <c r="C51" s="196"/>
      <c r="D51" s="412"/>
      <c r="E51" s="413"/>
    </row>
    <row r="52" spans="1:5">
      <c r="A52" s="287"/>
      <c r="B52" s="288"/>
      <c r="C52" s="196"/>
      <c r="D52" s="412"/>
      <c r="E52" s="413"/>
    </row>
    <row r="53" spans="1:5">
      <c r="A53" s="287"/>
      <c r="B53" s="288"/>
      <c r="C53" s="196"/>
      <c r="D53" s="412"/>
      <c r="E53" s="413"/>
    </row>
  </sheetData>
  <sheetProtection algorithmName="SHA-512" hashValue="ZIAkS9pp4pCLvn9ItFSND8zHh368Bk21AOTqAHAjMfqtsLp+P/xwqbNm4tWBlGo1rNAxSLAr2gshrlCywvpQuQ==" saltValue="hGOE85ahigcEutoxQIMrR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>
      <formula1>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.140625" customWidth="1"/>
    <col min="2" max="2" width="45.28515625" customWidth="1"/>
    <col min="3" max="4" width="5" customWidth="1"/>
    <col min="5" max="5" width="6.5703125" customWidth="1"/>
    <col min="6" max="7" width="5" customWidth="1"/>
    <col min="257" max="257" width="14.140625" customWidth="1"/>
    <col min="258" max="258" width="45.28515625" customWidth="1"/>
    <col min="259" max="263" width="5" customWidth="1"/>
    <col min="513" max="513" width="14.140625" customWidth="1"/>
    <col min="514" max="514" width="45.28515625" customWidth="1"/>
    <col min="515" max="519" width="5" customWidth="1"/>
    <col min="769" max="769" width="14.140625" customWidth="1"/>
    <col min="770" max="770" width="45.28515625" customWidth="1"/>
    <col min="771" max="775" width="5" customWidth="1"/>
    <col min="1025" max="1025" width="14.140625" customWidth="1"/>
    <col min="1026" max="1026" width="45.28515625" customWidth="1"/>
    <col min="1027" max="1031" width="5" customWidth="1"/>
    <col min="1281" max="1281" width="14.140625" customWidth="1"/>
    <col min="1282" max="1282" width="45.28515625" customWidth="1"/>
    <col min="1283" max="1287" width="5" customWidth="1"/>
    <col min="1537" max="1537" width="14.140625" customWidth="1"/>
    <col min="1538" max="1538" width="45.28515625" customWidth="1"/>
    <col min="1539" max="1543" width="5" customWidth="1"/>
    <col min="1793" max="1793" width="14.140625" customWidth="1"/>
    <col min="1794" max="1794" width="45.28515625" customWidth="1"/>
    <col min="1795" max="1799" width="5" customWidth="1"/>
    <col min="2049" max="2049" width="14.140625" customWidth="1"/>
    <col min="2050" max="2050" width="45.28515625" customWidth="1"/>
    <col min="2051" max="2055" width="5" customWidth="1"/>
    <col min="2305" max="2305" width="14.140625" customWidth="1"/>
    <col min="2306" max="2306" width="45.28515625" customWidth="1"/>
    <col min="2307" max="2311" width="5" customWidth="1"/>
    <col min="2561" max="2561" width="14.140625" customWidth="1"/>
    <col min="2562" max="2562" width="45.28515625" customWidth="1"/>
    <col min="2563" max="2567" width="5" customWidth="1"/>
    <col min="2817" max="2817" width="14.140625" customWidth="1"/>
    <col min="2818" max="2818" width="45.28515625" customWidth="1"/>
    <col min="2819" max="2823" width="5" customWidth="1"/>
    <col min="3073" max="3073" width="14.140625" customWidth="1"/>
    <col min="3074" max="3074" width="45.28515625" customWidth="1"/>
    <col min="3075" max="3079" width="5" customWidth="1"/>
    <col min="3329" max="3329" width="14.140625" customWidth="1"/>
    <col min="3330" max="3330" width="45.28515625" customWidth="1"/>
    <col min="3331" max="3335" width="5" customWidth="1"/>
    <col min="3585" max="3585" width="14.140625" customWidth="1"/>
    <col min="3586" max="3586" width="45.28515625" customWidth="1"/>
    <col min="3587" max="3591" width="5" customWidth="1"/>
    <col min="3841" max="3841" width="14.140625" customWidth="1"/>
    <col min="3842" max="3842" width="45.28515625" customWidth="1"/>
    <col min="3843" max="3847" width="5" customWidth="1"/>
    <col min="4097" max="4097" width="14.140625" customWidth="1"/>
    <col min="4098" max="4098" width="45.28515625" customWidth="1"/>
    <col min="4099" max="4103" width="5" customWidth="1"/>
    <col min="4353" max="4353" width="14.140625" customWidth="1"/>
    <col min="4354" max="4354" width="45.28515625" customWidth="1"/>
    <col min="4355" max="4359" width="5" customWidth="1"/>
    <col min="4609" max="4609" width="14.140625" customWidth="1"/>
    <col min="4610" max="4610" width="45.28515625" customWidth="1"/>
    <col min="4611" max="4615" width="5" customWidth="1"/>
    <col min="4865" max="4865" width="14.140625" customWidth="1"/>
    <col min="4866" max="4866" width="45.28515625" customWidth="1"/>
    <col min="4867" max="4871" width="5" customWidth="1"/>
    <col min="5121" max="5121" width="14.140625" customWidth="1"/>
    <col min="5122" max="5122" width="45.28515625" customWidth="1"/>
    <col min="5123" max="5127" width="5" customWidth="1"/>
    <col min="5377" max="5377" width="14.140625" customWidth="1"/>
    <col min="5378" max="5378" width="45.28515625" customWidth="1"/>
    <col min="5379" max="5383" width="5" customWidth="1"/>
    <col min="5633" max="5633" width="14.140625" customWidth="1"/>
    <col min="5634" max="5634" width="45.28515625" customWidth="1"/>
    <col min="5635" max="5639" width="5" customWidth="1"/>
    <col min="5889" max="5889" width="14.140625" customWidth="1"/>
    <col min="5890" max="5890" width="45.28515625" customWidth="1"/>
    <col min="5891" max="5895" width="5" customWidth="1"/>
    <col min="6145" max="6145" width="14.140625" customWidth="1"/>
    <col min="6146" max="6146" width="45.28515625" customWidth="1"/>
    <col min="6147" max="6151" width="5" customWidth="1"/>
    <col min="6401" max="6401" width="14.140625" customWidth="1"/>
    <col min="6402" max="6402" width="45.28515625" customWidth="1"/>
    <col min="6403" max="6407" width="5" customWidth="1"/>
    <col min="6657" max="6657" width="14.140625" customWidth="1"/>
    <col min="6658" max="6658" width="45.28515625" customWidth="1"/>
    <col min="6659" max="6663" width="5" customWidth="1"/>
    <col min="6913" max="6913" width="14.140625" customWidth="1"/>
    <col min="6914" max="6914" width="45.28515625" customWidth="1"/>
    <col min="6915" max="6919" width="5" customWidth="1"/>
    <col min="7169" max="7169" width="14.140625" customWidth="1"/>
    <col min="7170" max="7170" width="45.28515625" customWidth="1"/>
    <col min="7171" max="7175" width="5" customWidth="1"/>
    <col min="7425" max="7425" width="14.140625" customWidth="1"/>
    <col min="7426" max="7426" width="45.28515625" customWidth="1"/>
    <col min="7427" max="7431" width="5" customWidth="1"/>
    <col min="7681" max="7681" width="14.140625" customWidth="1"/>
    <col min="7682" max="7682" width="45.28515625" customWidth="1"/>
    <col min="7683" max="7687" width="5" customWidth="1"/>
    <col min="7937" max="7937" width="14.140625" customWidth="1"/>
    <col min="7938" max="7938" width="45.28515625" customWidth="1"/>
    <col min="7939" max="7943" width="5" customWidth="1"/>
    <col min="8193" max="8193" width="14.140625" customWidth="1"/>
    <col min="8194" max="8194" width="45.28515625" customWidth="1"/>
    <col min="8195" max="8199" width="5" customWidth="1"/>
    <col min="8449" max="8449" width="14.140625" customWidth="1"/>
    <col min="8450" max="8450" width="45.28515625" customWidth="1"/>
    <col min="8451" max="8455" width="5" customWidth="1"/>
    <col min="8705" max="8705" width="14.140625" customWidth="1"/>
    <col min="8706" max="8706" width="45.28515625" customWidth="1"/>
    <col min="8707" max="8711" width="5" customWidth="1"/>
    <col min="8961" max="8961" width="14.140625" customWidth="1"/>
    <col min="8962" max="8962" width="45.28515625" customWidth="1"/>
    <col min="8963" max="8967" width="5" customWidth="1"/>
    <col min="9217" max="9217" width="14.140625" customWidth="1"/>
    <col min="9218" max="9218" width="45.28515625" customWidth="1"/>
    <col min="9219" max="9223" width="5" customWidth="1"/>
    <col min="9473" max="9473" width="14.140625" customWidth="1"/>
    <col min="9474" max="9474" width="45.28515625" customWidth="1"/>
    <col min="9475" max="9479" width="5" customWidth="1"/>
    <col min="9729" max="9729" width="14.140625" customWidth="1"/>
    <col min="9730" max="9730" width="45.28515625" customWidth="1"/>
    <col min="9731" max="9735" width="5" customWidth="1"/>
    <col min="9985" max="9985" width="14.140625" customWidth="1"/>
    <col min="9986" max="9986" width="45.28515625" customWidth="1"/>
    <col min="9987" max="9991" width="5" customWidth="1"/>
    <col min="10241" max="10241" width="14.140625" customWidth="1"/>
    <col min="10242" max="10242" width="45.28515625" customWidth="1"/>
    <col min="10243" max="10247" width="5" customWidth="1"/>
    <col min="10497" max="10497" width="14.140625" customWidth="1"/>
    <col min="10498" max="10498" width="45.28515625" customWidth="1"/>
    <col min="10499" max="10503" width="5" customWidth="1"/>
    <col min="10753" max="10753" width="14.140625" customWidth="1"/>
    <col min="10754" max="10754" width="45.28515625" customWidth="1"/>
    <col min="10755" max="10759" width="5" customWidth="1"/>
    <col min="11009" max="11009" width="14.140625" customWidth="1"/>
    <col min="11010" max="11010" width="45.28515625" customWidth="1"/>
    <col min="11011" max="11015" width="5" customWidth="1"/>
    <col min="11265" max="11265" width="14.140625" customWidth="1"/>
    <col min="11266" max="11266" width="45.28515625" customWidth="1"/>
    <col min="11267" max="11271" width="5" customWidth="1"/>
    <col min="11521" max="11521" width="14.140625" customWidth="1"/>
    <col min="11522" max="11522" width="45.28515625" customWidth="1"/>
    <col min="11523" max="11527" width="5" customWidth="1"/>
    <col min="11777" max="11777" width="14.140625" customWidth="1"/>
    <col min="11778" max="11778" width="45.28515625" customWidth="1"/>
    <col min="11779" max="11783" width="5" customWidth="1"/>
    <col min="12033" max="12033" width="14.140625" customWidth="1"/>
    <col min="12034" max="12034" width="45.28515625" customWidth="1"/>
    <col min="12035" max="12039" width="5" customWidth="1"/>
    <col min="12289" max="12289" width="14.140625" customWidth="1"/>
    <col min="12290" max="12290" width="45.28515625" customWidth="1"/>
    <col min="12291" max="12295" width="5" customWidth="1"/>
    <col min="12545" max="12545" width="14.140625" customWidth="1"/>
    <col min="12546" max="12546" width="45.28515625" customWidth="1"/>
    <col min="12547" max="12551" width="5" customWidth="1"/>
    <col min="12801" max="12801" width="14.140625" customWidth="1"/>
    <col min="12802" max="12802" width="45.28515625" customWidth="1"/>
    <col min="12803" max="12807" width="5" customWidth="1"/>
    <col min="13057" max="13057" width="14.140625" customWidth="1"/>
    <col min="13058" max="13058" width="45.28515625" customWidth="1"/>
    <col min="13059" max="13063" width="5" customWidth="1"/>
    <col min="13313" max="13313" width="14.140625" customWidth="1"/>
    <col min="13314" max="13314" width="45.28515625" customWidth="1"/>
    <col min="13315" max="13319" width="5" customWidth="1"/>
    <col min="13569" max="13569" width="14.140625" customWidth="1"/>
    <col min="13570" max="13570" width="45.28515625" customWidth="1"/>
    <col min="13571" max="13575" width="5" customWidth="1"/>
    <col min="13825" max="13825" width="14.140625" customWidth="1"/>
    <col min="13826" max="13826" width="45.28515625" customWidth="1"/>
    <col min="13827" max="13831" width="5" customWidth="1"/>
    <col min="14081" max="14081" width="14.140625" customWidth="1"/>
    <col min="14082" max="14082" width="45.28515625" customWidth="1"/>
    <col min="14083" max="14087" width="5" customWidth="1"/>
    <col min="14337" max="14337" width="14.140625" customWidth="1"/>
    <col min="14338" max="14338" width="45.28515625" customWidth="1"/>
    <col min="14339" max="14343" width="5" customWidth="1"/>
    <col min="14593" max="14593" width="14.140625" customWidth="1"/>
    <col min="14594" max="14594" width="45.28515625" customWidth="1"/>
    <col min="14595" max="14599" width="5" customWidth="1"/>
    <col min="14849" max="14849" width="14.140625" customWidth="1"/>
    <col min="14850" max="14850" width="45.28515625" customWidth="1"/>
    <col min="14851" max="14855" width="5" customWidth="1"/>
    <col min="15105" max="15105" width="14.140625" customWidth="1"/>
    <col min="15106" max="15106" width="45.28515625" customWidth="1"/>
    <col min="15107" max="15111" width="5" customWidth="1"/>
    <col min="15361" max="15361" width="14.140625" customWidth="1"/>
    <col min="15362" max="15362" width="45.28515625" customWidth="1"/>
    <col min="15363" max="15367" width="5" customWidth="1"/>
    <col min="15617" max="15617" width="14.140625" customWidth="1"/>
    <col min="15618" max="15618" width="45.28515625" customWidth="1"/>
    <col min="15619" max="15623" width="5" customWidth="1"/>
    <col min="15873" max="15873" width="14.140625" customWidth="1"/>
    <col min="15874" max="15874" width="45.28515625" customWidth="1"/>
    <col min="15875" max="15879" width="5" customWidth="1"/>
    <col min="16129" max="16129" width="14.140625" customWidth="1"/>
    <col min="16130" max="16130" width="45.28515625" customWidth="1"/>
    <col min="16131" max="16135" width="5" customWidth="1"/>
  </cols>
  <sheetData>
    <row r="1" spans="1:7">
      <c r="A1" s="275" t="s">
        <v>169</v>
      </c>
      <c r="B1" s="275" t="s">
        <v>170</v>
      </c>
      <c r="C1" s="275">
        <f>E1-2</f>
        <v>2022</v>
      </c>
      <c r="D1" s="275">
        <f>E1-1</f>
        <v>2023</v>
      </c>
      <c r="E1" s="275">
        <f>IF(BasicInput!C1="Prime",IF(Prime1!B7="",2020,Prime1!B7),IF(Afford1!B7="",2020,Afford1!B7))</f>
        <v>2024</v>
      </c>
      <c r="F1" s="275">
        <f>E1+1</f>
        <v>2025</v>
      </c>
      <c r="G1" s="275">
        <f>E1+2</f>
        <v>2026</v>
      </c>
    </row>
    <row r="2" spans="1:7">
      <c r="A2" s="276" t="s">
        <v>171</v>
      </c>
      <c r="B2" s="276" t="s">
        <v>172</v>
      </c>
      <c r="C2" s="277">
        <f>IF(BasicInput!$C$1="Prime",PrimeConsolidated!E8,AffordConsolidated!E9)*100000+'44AD,44ADA,44AEIncome'!D116</f>
        <v>0</v>
      </c>
      <c r="D2" s="277">
        <f>IF(BasicInput!$C$1="Prime",PrimeConsolidated!D8,AffordConsolidated!D9)*100000+'44AD,44ADA,44AEIncome'!C116</f>
        <v>0</v>
      </c>
      <c r="E2" s="277">
        <f>IF(BasicInput!$C$1="Prime",PrimeConsolidated!C8,AffordConsolidated!C9)*100000+'44AD,44ADA,44AEIncome'!B116</f>
        <v>0</v>
      </c>
      <c r="F2" s="277">
        <v>0</v>
      </c>
      <c r="G2" s="277">
        <v>0</v>
      </c>
    </row>
    <row r="3" spans="1:7">
      <c r="A3" s="276" t="s">
        <v>173</v>
      </c>
      <c r="B3" s="276" t="s">
        <v>174</v>
      </c>
      <c r="C3" s="277">
        <f>PrimeConsolidated!E9*100000</f>
        <v>0</v>
      </c>
      <c r="D3" s="277">
        <f>PrimeConsolidated!D9*100000</f>
        <v>0</v>
      </c>
      <c r="E3" s="277">
        <f>PrimeConsolidated!C9*100000</f>
        <v>0</v>
      </c>
      <c r="F3" s="277">
        <v>0</v>
      </c>
      <c r="G3" s="277">
        <v>0</v>
      </c>
    </row>
    <row r="4" spans="1:7">
      <c r="A4" s="276" t="s">
        <v>175</v>
      </c>
      <c r="B4" s="276" t="s">
        <v>176</v>
      </c>
      <c r="C4" s="277">
        <f>AffordConsolidated!E10*100000</f>
        <v>0</v>
      </c>
      <c r="D4" s="277">
        <f>AffordConsolidated!D10*100000</f>
        <v>0</v>
      </c>
      <c r="E4" s="277">
        <f>AffordConsolidated!C10*100000</f>
        <v>0</v>
      </c>
      <c r="F4" s="277">
        <v>0</v>
      </c>
      <c r="G4" s="277">
        <v>0</v>
      </c>
    </row>
    <row r="5" spans="1:7">
      <c r="A5" s="276" t="s">
        <v>177</v>
      </c>
      <c r="B5" s="276" t="s">
        <v>178</v>
      </c>
      <c r="C5" s="277">
        <f>IF(BasicInput!$C$1="Prime",SUM(PrimeConsolidated!E10:E19),AffordConsolidated!E12)*100000</f>
        <v>0</v>
      </c>
      <c r="D5" s="277">
        <f>IF(BasicInput!$C$1="Prime",SUM(PrimeConsolidated!D10:D19),AffordConsolidated!D12)*100000</f>
        <v>0</v>
      </c>
      <c r="E5" s="277">
        <f>IF(BasicInput!$C$1="Prime",SUM(PrimeConsolidated!C10:C19),AffordConsolidated!C12)*100000</f>
        <v>0</v>
      </c>
      <c r="F5" s="277">
        <v>0</v>
      </c>
      <c r="G5" s="277">
        <v>0</v>
      </c>
    </row>
    <row r="6" spans="1:7">
      <c r="A6" s="276" t="s">
        <v>179</v>
      </c>
      <c r="B6" s="276" t="s">
        <v>180</v>
      </c>
      <c r="C6" s="277">
        <v>0</v>
      </c>
      <c r="D6" s="277">
        <v>0</v>
      </c>
      <c r="E6" s="277">
        <v>0</v>
      </c>
      <c r="F6" s="277">
        <v>0</v>
      </c>
      <c r="G6" s="277">
        <v>0</v>
      </c>
    </row>
    <row r="7" spans="1:7">
      <c r="A7" s="276" t="s">
        <v>181</v>
      </c>
      <c r="B7" s="276" t="s">
        <v>182</v>
      </c>
      <c r="C7" s="277">
        <v>0</v>
      </c>
      <c r="D7" s="277">
        <v>0</v>
      </c>
      <c r="E7" s="277">
        <v>0</v>
      </c>
      <c r="F7" s="277">
        <v>0</v>
      </c>
      <c r="G7" s="277">
        <v>0</v>
      </c>
    </row>
    <row r="8" spans="1:7">
      <c r="A8" s="276" t="s">
        <v>183</v>
      </c>
      <c r="B8" s="276" t="s">
        <v>184</v>
      </c>
      <c r="C8" s="277">
        <v>0</v>
      </c>
      <c r="D8" s="277">
        <v>0</v>
      </c>
      <c r="E8" s="277">
        <v>0</v>
      </c>
      <c r="F8" s="277">
        <v>0</v>
      </c>
      <c r="G8" s="277">
        <v>0</v>
      </c>
    </row>
    <row r="9" spans="1:7">
      <c r="A9" s="276" t="s">
        <v>185</v>
      </c>
      <c r="B9" s="276" t="s">
        <v>186</v>
      </c>
      <c r="C9" s="277">
        <v>0</v>
      </c>
      <c r="D9" s="277">
        <v>0</v>
      </c>
      <c r="E9" s="277">
        <v>0</v>
      </c>
      <c r="F9" s="277">
        <v>0</v>
      </c>
      <c r="G9" s="277">
        <v>0</v>
      </c>
    </row>
    <row r="10" spans="1:7">
      <c r="A10" s="276" t="s">
        <v>187</v>
      </c>
      <c r="B10" s="276" t="s">
        <v>188</v>
      </c>
      <c r="C10" s="277">
        <v>0</v>
      </c>
      <c r="D10" s="277">
        <v>0</v>
      </c>
      <c r="E10" s="277">
        <v>0</v>
      </c>
      <c r="F10" s="277">
        <v>0</v>
      </c>
      <c r="G10" s="277">
        <v>0</v>
      </c>
    </row>
    <row r="11" spans="1:7">
      <c r="A11" s="276" t="s">
        <v>189</v>
      </c>
      <c r="B11" s="276" t="s">
        <v>186</v>
      </c>
      <c r="C11" s="277">
        <v>0</v>
      </c>
      <c r="D11" s="277">
        <v>0</v>
      </c>
      <c r="E11" s="277">
        <v>0</v>
      </c>
      <c r="F11" s="277">
        <v>0</v>
      </c>
      <c r="G11" s="277">
        <v>0</v>
      </c>
    </row>
    <row r="12" spans="1:7">
      <c r="A12" s="276" t="s">
        <v>190</v>
      </c>
      <c r="B12" s="276" t="s">
        <v>188</v>
      </c>
      <c r="C12" s="277">
        <v>0</v>
      </c>
      <c r="D12" s="277">
        <v>0</v>
      </c>
      <c r="E12" s="277">
        <v>0</v>
      </c>
      <c r="F12" s="277">
        <v>0</v>
      </c>
      <c r="G12" s="277">
        <v>0</v>
      </c>
    </row>
    <row r="13" spans="1:7">
      <c r="A13" s="276" t="s">
        <v>191</v>
      </c>
      <c r="B13" s="276" t="s">
        <v>192</v>
      </c>
      <c r="C13" s="277">
        <v>0</v>
      </c>
      <c r="D13" s="277">
        <v>0</v>
      </c>
      <c r="E13" s="277">
        <v>0</v>
      </c>
      <c r="F13" s="277">
        <v>0</v>
      </c>
      <c r="G13" s="277">
        <v>0</v>
      </c>
    </row>
    <row r="14" spans="1:7">
      <c r="A14" s="276" t="s">
        <v>193</v>
      </c>
      <c r="B14" s="276" t="s">
        <v>194</v>
      </c>
      <c r="C14" s="277">
        <f>PrimeConsolidated!E28*100000</f>
        <v>0</v>
      </c>
      <c r="D14" s="277">
        <f>PrimeConsolidated!D28*100000</f>
        <v>0</v>
      </c>
      <c r="E14" s="277">
        <f>PrimeConsolidated!C28*100000</f>
        <v>0</v>
      </c>
      <c r="F14" s="277">
        <v>0</v>
      </c>
      <c r="G14" s="277">
        <v>0</v>
      </c>
    </row>
    <row r="15" spans="1:7">
      <c r="A15" s="276" t="s">
        <v>195</v>
      </c>
      <c r="B15" s="276" t="s">
        <v>196</v>
      </c>
      <c r="C15" s="277">
        <f>IF(BasicInput!$C$1="Prime",PrimeConsolidated!E25,AffordConsolidated!E16)*100000</f>
        <v>0</v>
      </c>
      <c r="D15" s="277">
        <f>IF(BasicInput!$C$1="Prime",PrimeConsolidated!D25,AffordConsolidated!D16)*100000</f>
        <v>0</v>
      </c>
      <c r="E15" s="277">
        <f>IF(BasicInput!$C$1="Prime",PrimeConsolidated!C25,AffordConsolidated!C16)*100000</f>
        <v>0</v>
      </c>
      <c r="F15" s="277">
        <v>0</v>
      </c>
      <c r="G15" s="277">
        <v>0</v>
      </c>
    </row>
    <row r="16" spans="1:7">
      <c r="A16" s="276" t="s">
        <v>197</v>
      </c>
      <c r="B16" s="276" t="s">
        <v>198</v>
      </c>
      <c r="C16" s="277">
        <f>IF(BasicInput!$C$1="Prime",PrimeConsolidated!E32,AffordConsolidated!E23)*100000</f>
        <v>0</v>
      </c>
      <c r="D16" s="277">
        <f>IF(BasicInput!$C$1="Prime",PrimeConsolidated!D32,AffordConsolidated!D23)*100000</f>
        <v>0</v>
      </c>
      <c r="E16" s="277">
        <f>IF(BasicInput!$C$1="Prime",PrimeConsolidated!C32,AffordConsolidated!C23)*100000</f>
        <v>0</v>
      </c>
      <c r="F16" s="277">
        <v>0</v>
      </c>
      <c r="G16" s="277">
        <v>0</v>
      </c>
    </row>
    <row r="17" spans="1:7">
      <c r="A17" s="276" t="s">
        <v>199</v>
      </c>
      <c r="B17" s="276" t="s">
        <v>200</v>
      </c>
      <c r="C17" s="277">
        <v>0</v>
      </c>
      <c r="D17" s="277">
        <v>0</v>
      </c>
      <c r="E17" s="277">
        <v>0</v>
      </c>
      <c r="F17" s="277">
        <v>0</v>
      </c>
      <c r="G17" s="277">
        <v>0</v>
      </c>
    </row>
    <row r="18" spans="1:7">
      <c r="A18" s="276" t="s">
        <v>201</v>
      </c>
      <c r="B18" s="276" t="s">
        <v>202</v>
      </c>
      <c r="C18" s="277">
        <f>IF(BasicInput!$C$1="Prime",PrimeConsolidated!E21,AffordConsolidated!E15)*100000</f>
        <v>0</v>
      </c>
      <c r="D18" s="277">
        <f>IF(BasicInput!$C$1="Prime",PrimeConsolidated!D21,AffordConsolidated!D15)*100000</f>
        <v>0</v>
      </c>
      <c r="E18" s="277">
        <f>IF(BasicInput!$C$1="Prime",PrimeConsolidated!C21,AffordConsolidated!C15)*100000</f>
        <v>0</v>
      </c>
      <c r="F18" s="277">
        <v>0</v>
      </c>
      <c r="G18" s="277">
        <v>0</v>
      </c>
    </row>
    <row r="19" spans="1:7">
      <c r="A19" s="276" t="s">
        <v>203</v>
      </c>
      <c r="B19" s="276" t="s">
        <v>204</v>
      </c>
      <c r="C19" s="277">
        <v>0</v>
      </c>
      <c r="D19" s="277">
        <v>0</v>
      </c>
      <c r="E19" s="277">
        <v>0</v>
      </c>
      <c r="F19" s="277">
        <v>0</v>
      </c>
      <c r="G19" s="277">
        <v>0</v>
      </c>
    </row>
    <row r="20" spans="1:7">
      <c r="A20" s="276" t="s">
        <v>205</v>
      </c>
      <c r="B20" s="276" t="s">
        <v>206</v>
      </c>
      <c r="C20" s="277">
        <v>0</v>
      </c>
      <c r="D20" s="277">
        <v>0</v>
      </c>
      <c r="E20" s="277">
        <v>0</v>
      </c>
      <c r="F20" s="277">
        <v>0</v>
      </c>
      <c r="G20" s="277">
        <v>0</v>
      </c>
    </row>
    <row r="21" spans="1:7">
      <c r="A21" s="276" t="s">
        <v>207</v>
      </c>
      <c r="B21" s="276" t="s">
        <v>208</v>
      </c>
      <c r="C21" s="277">
        <v>0</v>
      </c>
      <c r="D21" s="277">
        <v>0</v>
      </c>
      <c r="E21" s="277">
        <v>0</v>
      </c>
      <c r="F21" s="277">
        <v>0</v>
      </c>
      <c r="G21" s="277">
        <v>0</v>
      </c>
    </row>
    <row r="22" spans="1:7">
      <c r="A22" s="276" t="s">
        <v>209</v>
      </c>
      <c r="B22" s="276" t="s">
        <v>210</v>
      </c>
      <c r="C22" s="277">
        <v>0</v>
      </c>
      <c r="D22" s="277">
        <v>0</v>
      </c>
      <c r="E22" s="277">
        <v>0</v>
      </c>
      <c r="F22" s="277">
        <v>0</v>
      </c>
      <c r="G22" s="277">
        <v>0</v>
      </c>
    </row>
    <row r="23" spans="1:7">
      <c r="A23" s="276" t="s">
        <v>211</v>
      </c>
      <c r="B23" s="276" t="s">
        <v>212</v>
      </c>
      <c r="C23" s="277">
        <f>IF(BasicInput!$C$1="Prime",SUM(PrimeConsolidated!E29:E30),AffordConsolidated!E19)*100000+'44AD,44ADA,44AEIncome'!D120</f>
        <v>0</v>
      </c>
      <c r="D23" s="277">
        <f>IF(BasicInput!$C$1="Prime",SUM(PrimeConsolidated!D29:D30),AffordConsolidated!D19)*100000+'44AD,44ADA,44AEIncome'!C120</f>
        <v>0</v>
      </c>
      <c r="E23" s="277">
        <f>IF(BasicInput!$C$1="Prime",SUM(PrimeConsolidated!C29:C30),AffordConsolidated!C19)*100000+'44AD,44ADA,44AEIncome'!B120</f>
        <v>0</v>
      </c>
      <c r="F23" s="277">
        <v>0</v>
      </c>
      <c r="G23" s="277">
        <v>0</v>
      </c>
    </row>
    <row r="24" spans="1:7">
      <c r="A24" s="276" t="s">
        <v>213</v>
      </c>
      <c r="B24" s="276" t="s">
        <v>214</v>
      </c>
      <c r="C24" s="277">
        <f>PrimeConsolidated!E37*100000</f>
        <v>0</v>
      </c>
      <c r="D24" s="277">
        <f>PrimeConsolidated!D37*100000</f>
        <v>0</v>
      </c>
      <c r="E24" s="277">
        <f>PrimeConsolidated!C37*100000</f>
        <v>0</v>
      </c>
      <c r="F24" s="277">
        <v>0</v>
      </c>
      <c r="G24" s="277">
        <v>0</v>
      </c>
    </row>
    <row r="25" spans="1:7">
      <c r="A25" s="276" t="s">
        <v>215</v>
      </c>
      <c r="B25" s="276" t="s">
        <v>216</v>
      </c>
      <c r="C25" s="277">
        <f>IF(BasicInput!$C$1="Prime",PrimeConsolidated!E38,AffordConsolidated!E25)*100000</f>
        <v>0</v>
      </c>
      <c r="D25" s="277">
        <f>IF(BasicInput!$C$1="Prime",PrimeConsolidated!D38,AffordConsolidated!D25)*100000</f>
        <v>0</v>
      </c>
      <c r="E25" s="277">
        <f>IF(BasicInput!$C$1="Prime",PrimeConsolidated!C38,AffordConsolidated!C25)*100000</f>
        <v>0</v>
      </c>
      <c r="F25" s="277">
        <v>0</v>
      </c>
      <c r="G25" s="277">
        <v>0</v>
      </c>
    </row>
    <row r="26" spans="1:7">
      <c r="A26" s="276" t="s">
        <v>217</v>
      </c>
      <c r="B26" s="276" t="s">
        <v>214</v>
      </c>
      <c r="C26" s="277">
        <v>0</v>
      </c>
      <c r="D26" s="277">
        <v>0</v>
      </c>
      <c r="E26" s="277">
        <v>0</v>
      </c>
      <c r="F26" s="277">
        <v>0</v>
      </c>
      <c r="G26" s="277">
        <v>0</v>
      </c>
    </row>
    <row r="27" spans="1:7">
      <c r="A27" s="276" t="s">
        <v>218</v>
      </c>
      <c r="B27" s="276" t="s">
        <v>216</v>
      </c>
      <c r="C27" s="277">
        <f>PrimeConsolidated!E40*100000</f>
        <v>0</v>
      </c>
      <c r="D27" s="277">
        <f>PrimeConsolidated!D40*100000</f>
        <v>0</v>
      </c>
      <c r="E27" s="277">
        <f>PrimeConsolidated!C40*100000</f>
        <v>0</v>
      </c>
      <c r="F27" s="277">
        <v>0</v>
      </c>
      <c r="G27" s="277">
        <v>0</v>
      </c>
    </row>
    <row r="28" spans="1:7">
      <c r="A28" s="276" t="s">
        <v>219</v>
      </c>
      <c r="B28" s="276" t="s">
        <v>220</v>
      </c>
      <c r="C28" s="277">
        <v>0</v>
      </c>
      <c r="D28" s="277">
        <v>0</v>
      </c>
      <c r="E28" s="277">
        <v>0</v>
      </c>
      <c r="F28" s="277">
        <v>0</v>
      </c>
      <c r="G28" s="277">
        <v>0</v>
      </c>
    </row>
    <row r="29" spans="1:7">
      <c r="A29" s="276" t="s">
        <v>221</v>
      </c>
      <c r="B29" s="276" t="s">
        <v>222</v>
      </c>
      <c r="C29" s="277">
        <v>0</v>
      </c>
      <c r="D29" s="277">
        <v>0</v>
      </c>
      <c r="E29" s="277">
        <v>0</v>
      </c>
      <c r="F29" s="277">
        <v>0</v>
      </c>
      <c r="G29" s="277">
        <v>0</v>
      </c>
    </row>
    <row r="30" spans="1:7">
      <c r="A30" s="276" t="s">
        <v>223</v>
      </c>
      <c r="B30" s="276" t="s">
        <v>224</v>
      </c>
      <c r="C30" s="277">
        <v>0</v>
      </c>
      <c r="D30" s="277">
        <v>0</v>
      </c>
      <c r="E30" s="277">
        <v>0</v>
      </c>
      <c r="F30" s="277">
        <v>0</v>
      </c>
      <c r="G30" s="277">
        <v>0</v>
      </c>
    </row>
    <row r="31" spans="1:7">
      <c r="A31" s="276" t="s">
        <v>225</v>
      </c>
      <c r="B31" s="276" t="s">
        <v>226</v>
      </c>
      <c r="C31" s="277">
        <v>0</v>
      </c>
      <c r="D31" s="277">
        <v>0</v>
      </c>
      <c r="E31" s="277">
        <v>0</v>
      </c>
      <c r="F31" s="277">
        <v>0</v>
      </c>
      <c r="G31" s="277">
        <v>0</v>
      </c>
    </row>
    <row r="32" spans="1:7">
      <c r="A32" s="276" t="s">
        <v>227</v>
      </c>
      <c r="B32" s="276" t="s">
        <v>228</v>
      </c>
      <c r="C32" s="277">
        <v>0</v>
      </c>
      <c r="D32" s="277">
        <v>0</v>
      </c>
      <c r="E32" s="277">
        <v>0</v>
      </c>
      <c r="F32" s="277">
        <v>0</v>
      </c>
      <c r="G32" s="277">
        <v>0</v>
      </c>
    </row>
    <row r="33" spans="1:7">
      <c r="A33" s="276" t="s">
        <v>229</v>
      </c>
      <c r="B33" s="276" t="s">
        <v>230</v>
      </c>
      <c r="C33" s="277">
        <v>0</v>
      </c>
      <c r="D33" s="277">
        <v>0</v>
      </c>
      <c r="E33" s="277">
        <v>0</v>
      </c>
      <c r="F33" s="277">
        <v>0</v>
      </c>
      <c r="G33" s="277">
        <v>0</v>
      </c>
    </row>
    <row r="34" spans="1:7">
      <c r="A34" s="276" t="s">
        <v>231</v>
      </c>
      <c r="B34" s="276" t="s">
        <v>232</v>
      </c>
      <c r="C34" s="277">
        <v>0</v>
      </c>
      <c r="D34" s="277">
        <v>0</v>
      </c>
      <c r="E34" s="277">
        <v>0</v>
      </c>
      <c r="F34" s="277">
        <v>0</v>
      </c>
      <c r="G34" s="277">
        <v>0</v>
      </c>
    </row>
    <row r="35" spans="1:7">
      <c r="A35" s="276" t="s">
        <v>233</v>
      </c>
      <c r="B35" s="276" t="s">
        <v>234</v>
      </c>
      <c r="C35" s="277">
        <f>IF(BasicInput!$C$1="Prime",PrimeConsolidated!E27,AffordConsolidated!E27)*100000</f>
        <v>0</v>
      </c>
      <c r="D35" s="277">
        <f>IF(BasicInput!$C$1="Prime",PrimeConsolidated!D27,AffordConsolidated!D27)*100000</f>
        <v>0</v>
      </c>
      <c r="E35" s="277">
        <f>IF(BasicInput!$C$1="Prime",PrimeConsolidated!C27,AffordConsolidated!C27)*100000</f>
        <v>0</v>
      </c>
      <c r="F35" s="277">
        <v>0</v>
      </c>
      <c r="G35" s="277">
        <v>0</v>
      </c>
    </row>
    <row r="36" spans="1:7">
      <c r="A36" s="276" t="s">
        <v>235</v>
      </c>
      <c r="B36" s="276" t="s">
        <v>236</v>
      </c>
      <c r="C36" s="277">
        <v>0</v>
      </c>
      <c r="D36" s="277">
        <v>0</v>
      </c>
      <c r="E36" s="277">
        <v>0</v>
      </c>
      <c r="F36" s="277">
        <v>0</v>
      </c>
      <c r="G36" s="277">
        <v>0</v>
      </c>
    </row>
    <row r="37" spans="1:7">
      <c r="A37" s="276" t="s">
        <v>237</v>
      </c>
      <c r="B37" s="276" t="s">
        <v>238</v>
      </c>
      <c r="C37" s="277">
        <v>0</v>
      </c>
      <c r="D37" s="277">
        <v>0</v>
      </c>
      <c r="E37" s="277">
        <v>0</v>
      </c>
      <c r="F37" s="277">
        <v>0</v>
      </c>
      <c r="G37" s="277">
        <v>0</v>
      </c>
    </row>
    <row r="38" spans="1:7">
      <c r="A38" s="276" t="s">
        <v>239</v>
      </c>
      <c r="B38" s="276" t="s">
        <v>240</v>
      </c>
      <c r="C38" s="277">
        <v>0</v>
      </c>
      <c r="D38" s="277">
        <v>0</v>
      </c>
      <c r="E38" s="277">
        <v>0</v>
      </c>
      <c r="F38" s="277">
        <v>0</v>
      </c>
      <c r="G38" s="277">
        <v>0</v>
      </c>
    </row>
    <row r="39" spans="1:7">
      <c r="A39" s="276" t="s">
        <v>241</v>
      </c>
      <c r="B39" s="276" t="s">
        <v>242</v>
      </c>
      <c r="C39" s="277">
        <v>0</v>
      </c>
      <c r="D39" s="277">
        <v>0</v>
      </c>
      <c r="E39" s="277">
        <v>0</v>
      </c>
      <c r="F39" s="277">
        <v>0</v>
      </c>
      <c r="G39" s="277">
        <v>0</v>
      </c>
    </row>
    <row r="40" spans="1:7">
      <c r="A40" s="276" t="s">
        <v>243</v>
      </c>
      <c r="B40" s="276" t="s">
        <v>244</v>
      </c>
      <c r="C40" s="277">
        <f>PrimeConsolidated!E34*100000</f>
        <v>0</v>
      </c>
      <c r="D40" s="277">
        <f>PrimeConsolidated!D34*100000</f>
        <v>0</v>
      </c>
      <c r="E40" s="277">
        <f>PrimeConsolidated!C34*100000</f>
        <v>0</v>
      </c>
      <c r="F40" s="277">
        <v>0</v>
      </c>
      <c r="G40" s="277">
        <v>0</v>
      </c>
    </row>
    <row r="41" spans="1:7">
      <c r="A41" s="276" t="s">
        <v>245</v>
      </c>
      <c r="B41" s="276" t="s">
        <v>246</v>
      </c>
      <c r="C41" s="277">
        <f>IF(BasicInput!$C$1="Prime",PrimeConsolidated!E35,AffordConsolidated!E28)*100000</f>
        <v>0</v>
      </c>
      <c r="D41" s="277">
        <f>IF(BasicInput!$C$1="Prime",PrimeConsolidated!D35,AffordConsolidated!D28)*100000</f>
        <v>0</v>
      </c>
      <c r="E41" s="277">
        <f>IF(BasicInput!$C$1="Prime",PrimeConsolidated!C35,AffordConsolidated!C28)*100000</f>
        <v>0</v>
      </c>
      <c r="F41" s="277">
        <v>0</v>
      </c>
      <c r="G41" s="277">
        <v>0</v>
      </c>
    </row>
    <row r="42" spans="1:7">
      <c r="A42" s="276" t="s">
        <v>247</v>
      </c>
      <c r="B42" s="276" t="s">
        <v>248</v>
      </c>
      <c r="C42" s="277">
        <f>PrimeConsolidated!E33*100000</f>
        <v>0</v>
      </c>
      <c r="D42" s="277">
        <f>PrimeConsolidated!D33*100000</f>
        <v>0</v>
      </c>
      <c r="E42" s="277">
        <f>PrimeConsolidated!C33*100000</f>
        <v>0</v>
      </c>
      <c r="F42" s="277">
        <v>0</v>
      </c>
      <c r="G42" s="277">
        <v>0</v>
      </c>
    </row>
    <row r="43" spans="1:7">
      <c r="A43" s="276" t="s">
        <v>249</v>
      </c>
      <c r="B43" s="276" t="s">
        <v>250</v>
      </c>
      <c r="C43" s="277">
        <v>0</v>
      </c>
      <c r="D43" s="277">
        <v>0</v>
      </c>
      <c r="E43" s="277">
        <v>0</v>
      </c>
      <c r="F43" s="277">
        <v>0</v>
      </c>
      <c r="G43" s="277">
        <v>0</v>
      </c>
    </row>
    <row r="44" spans="1:7">
      <c r="A44" s="276" t="s">
        <v>251</v>
      </c>
      <c r="B44" s="276" t="s">
        <v>252</v>
      </c>
      <c r="C44" s="277">
        <f>IF(BasicInput!$C$1="Prime",PrimeConsolidated!E43,AffordConsolidated!E30)*100000+'44AD,44ADA,44AEIncome'!D118</f>
        <v>0</v>
      </c>
      <c r="D44" s="277">
        <f>IF(BasicInput!$C$1="Prime",PrimeConsolidated!D43,AffordConsolidated!D30)*100000+'44AD,44ADA,44AEIncome'!C118</f>
        <v>0</v>
      </c>
      <c r="E44" s="277">
        <f>IF(BasicInput!$C$1="Prime",PrimeConsolidated!C43,AffordConsolidated!C30)*100000+'44AD,44ADA,44AEIncome'!B118</f>
        <v>0</v>
      </c>
      <c r="F44" s="277">
        <v>0</v>
      </c>
      <c r="G44" s="277">
        <v>0</v>
      </c>
    </row>
    <row r="45" spans="1:7">
      <c r="A45" s="276" t="s">
        <v>253</v>
      </c>
      <c r="B45" s="276" t="s">
        <v>254</v>
      </c>
      <c r="C45" s="277">
        <v>0</v>
      </c>
      <c r="D45" s="277">
        <v>0</v>
      </c>
      <c r="E45" s="277">
        <v>0</v>
      </c>
      <c r="F45" s="277">
        <v>0</v>
      </c>
      <c r="G45" s="277">
        <v>0</v>
      </c>
    </row>
    <row r="46" spans="1:7">
      <c r="A46" s="276" t="s">
        <v>255</v>
      </c>
      <c r="B46" s="276" t="s">
        <v>256</v>
      </c>
      <c r="C46" s="277">
        <v>0</v>
      </c>
      <c r="D46" s="277">
        <v>0</v>
      </c>
      <c r="E46" s="277">
        <v>0</v>
      </c>
      <c r="F46" s="277">
        <v>0</v>
      </c>
      <c r="G46" s="277">
        <v>0</v>
      </c>
    </row>
    <row r="47" spans="1:7">
      <c r="A47" s="276" t="s">
        <v>257</v>
      </c>
      <c r="B47" s="276" t="s">
        <v>258</v>
      </c>
      <c r="C47" s="277">
        <v>0</v>
      </c>
      <c r="D47" s="277">
        <v>0</v>
      </c>
      <c r="E47" s="277">
        <v>0</v>
      </c>
      <c r="F47" s="277">
        <v>0</v>
      </c>
      <c r="G47" s="277">
        <v>0</v>
      </c>
    </row>
    <row r="48" spans="1:7">
      <c r="A48" s="276" t="s">
        <v>259</v>
      </c>
      <c r="B48" s="276" t="s">
        <v>260</v>
      </c>
      <c r="C48" s="277">
        <v>0</v>
      </c>
      <c r="D48" s="277">
        <v>0</v>
      </c>
      <c r="E48" s="277">
        <v>0</v>
      </c>
      <c r="F48" s="277">
        <v>0</v>
      </c>
      <c r="G48" s="277">
        <v>0</v>
      </c>
    </row>
    <row r="49" spans="1:7">
      <c r="A49" s="276" t="s">
        <v>261</v>
      </c>
      <c r="B49" s="276" t="s">
        <v>262</v>
      </c>
      <c r="C49" s="277">
        <f>IF(BasicInput!$C$1="Prime",PrimeConsolidated!E45,AffordConsolidated!E33)*100000</f>
        <v>0</v>
      </c>
      <c r="D49" s="277">
        <f>IF(BasicInput!$C$1="Prime",PrimeConsolidated!D45,AffordConsolidated!D33)*100000</f>
        <v>0</v>
      </c>
      <c r="E49" s="277">
        <f>IF(BasicInput!$C$1="Prime",PrimeConsolidated!C45,AffordConsolidated!C33)*100000</f>
        <v>0</v>
      </c>
      <c r="F49" s="277">
        <v>0</v>
      </c>
      <c r="G49" s="277">
        <v>0</v>
      </c>
    </row>
    <row r="50" spans="1:7">
      <c r="A50" s="276" t="s">
        <v>263</v>
      </c>
      <c r="B50" s="276" t="s">
        <v>264</v>
      </c>
      <c r="C50" s="277">
        <f>PrimeConsolidated!E46*100000</f>
        <v>0</v>
      </c>
      <c r="D50" s="277">
        <f>PrimeConsolidated!D46*100000</f>
        <v>0</v>
      </c>
      <c r="E50" s="277">
        <f>PrimeConsolidated!C46*100000</f>
        <v>0</v>
      </c>
      <c r="F50" s="277">
        <v>0</v>
      </c>
      <c r="G50" s="277">
        <v>0</v>
      </c>
    </row>
    <row r="51" spans="1:7">
      <c r="A51" s="276" t="s">
        <v>265</v>
      </c>
      <c r="B51" s="276" t="s">
        <v>266</v>
      </c>
      <c r="C51" s="277">
        <v>0</v>
      </c>
      <c r="D51" s="277">
        <v>0</v>
      </c>
      <c r="E51" s="277">
        <v>0</v>
      </c>
      <c r="F51" s="277">
        <v>0</v>
      </c>
      <c r="G51" s="277">
        <v>0</v>
      </c>
    </row>
    <row r="52" spans="1:7">
      <c r="A52" s="276" t="s">
        <v>267</v>
      </c>
      <c r="B52" s="276" t="s">
        <v>268</v>
      </c>
      <c r="C52" s="277">
        <f>IF(BasicInput!$C$1="Prime",(PrimeConsolidated!E39+PrimeConsolidated!E41),(AffordConsolidated!E34+AffordConsolidated!E35))*100000</f>
        <v>0</v>
      </c>
      <c r="D52" s="277">
        <f>IF(BasicInput!$C$1="Prime",(PrimeConsolidated!D39+PrimeConsolidated!D41),(AffordConsolidated!D34+AffordConsolidated!D35))*100000</f>
        <v>0</v>
      </c>
      <c r="E52" s="277">
        <f>IF(BasicInput!$C$1="Prime",(PrimeConsolidated!C39+PrimeConsolidated!C41),(AffordConsolidated!C34+AffordConsolidated!C35))*100000</f>
        <v>0</v>
      </c>
      <c r="F52" s="277">
        <v>0</v>
      </c>
      <c r="G52" s="277">
        <v>0</v>
      </c>
    </row>
    <row r="53" spans="1:7">
      <c r="A53" s="276" t="s">
        <v>269</v>
      </c>
      <c r="B53" s="276" t="s">
        <v>270</v>
      </c>
      <c r="C53" s="277">
        <v>0</v>
      </c>
      <c r="D53" s="277">
        <v>0</v>
      </c>
      <c r="E53" s="277">
        <v>0</v>
      </c>
      <c r="F53" s="277">
        <v>0</v>
      </c>
      <c r="G53" s="277">
        <v>0</v>
      </c>
    </row>
  </sheetData>
  <sheetProtection algorithmName="SHA-512" hashValue="Tfikcfw45Plj9opLbNzZ14JiYMuFp9B38Il4dU256cUFLvMpd7HjdtHuqJeBX/mbRW4nWk/FH9dMXV/cmfAB+w==" saltValue="Qd1241HzcrZPaObVT6kJUA==" spinCount="100000" sheet="1" formatCells="0" formatColumns="0" formatRows="0" autoFilter="0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G94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" customWidth="1"/>
    <col min="2" max="2" width="106.5703125" customWidth="1"/>
    <col min="257" max="257" width="14" customWidth="1"/>
    <col min="258" max="258" width="106.5703125" customWidth="1"/>
    <col min="513" max="513" width="14" customWidth="1"/>
    <col min="514" max="514" width="106.5703125" customWidth="1"/>
    <col min="769" max="769" width="14" customWidth="1"/>
    <col min="770" max="770" width="106.5703125" customWidth="1"/>
    <col min="1025" max="1025" width="14" customWidth="1"/>
    <col min="1026" max="1026" width="106.5703125" customWidth="1"/>
    <col min="1281" max="1281" width="14" customWidth="1"/>
    <col min="1282" max="1282" width="106.5703125" customWidth="1"/>
    <col min="1537" max="1537" width="14" customWidth="1"/>
    <col min="1538" max="1538" width="106.5703125" customWidth="1"/>
    <col min="1793" max="1793" width="14" customWidth="1"/>
    <col min="1794" max="1794" width="106.5703125" customWidth="1"/>
    <col min="2049" max="2049" width="14" customWidth="1"/>
    <col min="2050" max="2050" width="106.5703125" customWidth="1"/>
    <col min="2305" max="2305" width="14" customWidth="1"/>
    <col min="2306" max="2306" width="106.5703125" customWidth="1"/>
    <col min="2561" max="2561" width="14" customWidth="1"/>
    <col min="2562" max="2562" width="106.5703125" customWidth="1"/>
    <col min="2817" max="2817" width="14" customWidth="1"/>
    <col min="2818" max="2818" width="106.5703125" customWidth="1"/>
    <col min="3073" max="3073" width="14" customWidth="1"/>
    <col min="3074" max="3074" width="106.5703125" customWidth="1"/>
    <col min="3329" max="3329" width="14" customWidth="1"/>
    <col min="3330" max="3330" width="106.5703125" customWidth="1"/>
    <col min="3585" max="3585" width="14" customWidth="1"/>
    <col min="3586" max="3586" width="106.5703125" customWidth="1"/>
    <col min="3841" max="3841" width="14" customWidth="1"/>
    <col min="3842" max="3842" width="106.5703125" customWidth="1"/>
    <col min="4097" max="4097" width="14" customWidth="1"/>
    <col min="4098" max="4098" width="106.5703125" customWidth="1"/>
    <col min="4353" max="4353" width="14" customWidth="1"/>
    <col min="4354" max="4354" width="106.5703125" customWidth="1"/>
    <col min="4609" max="4609" width="14" customWidth="1"/>
    <col min="4610" max="4610" width="106.5703125" customWidth="1"/>
    <col min="4865" max="4865" width="14" customWidth="1"/>
    <col min="4866" max="4866" width="106.5703125" customWidth="1"/>
    <col min="5121" max="5121" width="14" customWidth="1"/>
    <col min="5122" max="5122" width="106.5703125" customWidth="1"/>
    <col min="5377" max="5377" width="14" customWidth="1"/>
    <col min="5378" max="5378" width="106.5703125" customWidth="1"/>
    <col min="5633" max="5633" width="14" customWidth="1"/>
    <col min="5634" max="5634" width="106.5703125" customWidth="1"/>
    <col min="5889" max="5889" width="14" customWidth="1"/>
    <col min="5890" max="5890" width="106.5703125" customWidth="1"/>
    <col min="6145" max="6145" width="14" customWidth="1"/>
    <col min="6146" max="6146" width="106.5703125" customWidth="1"/>
    <col min="6401" max="6401" width="14" customWidth="1"/>
    <col min="6402" max="6402" width="106.5703125" customWidth="1"/>
    <col min="6657" max="6657" width="14" customWidth="1"/>
    <col min="6658" max="6658" width="106.5703125" customWidth="1"/>
    <col min="6913" max="6913" width="14" customWidth="1"/>
    <col min="6914" max="6914" width="106.5703125" customWidth="1"/>
    <col min="7169" max="7169" width="14" customWidth="1"/>
    <col min="7170" max="7170" width="106.5703125" customWidth="1"/>
    <col min="7425" max="7425" width="14" customWidth="1"/>
    <col min="7426" max="7426" width="106.5703125" customWidth="1"/>
    <col min="7681" max="7681" width="14" customWidth="1"/>
    <col min="7682" max="7682" width="106.5703125" customWidth="1"/>
    <col min="7937" max="7937" width="14" customWidth="1"/>
    <col min="7938" max="7938" width="106.5703125" customWidth="1"/>
    <col min="8193" max="8193" width="14" customWidth="1"/>
    <col min="8194" max="8194" width="106.5703125" customWidth="1"/>
    <col min="8449" max="8449" width="14" customWidth="1"/>
    <col min="8450" max="8450" width="106.5703125" customWidth="1"/>
    <col min="8705" max="8705" width="14" customWidth="1"/>
    <col min="8706" max="8706" width="106.5703125" customWidth="1"/>
    <col min="8961" max="8961" width="14" customWidth="1"/>
    <col min="8962" max="8962" width="106.5703125" customWidth="1"/>
    <col min="9217" max="9217" width="14" customWidth="1"/>
    <col min="9218" max="9218" width="106.5703125" customWidth="1"/>
    <col min="9473" max="9473" width="14" customWidth="1"/>
    <col min="9474" max="9474" width="106.5703125" customWidth="1"/>
    <col min="9729" max="9729" width="14" customWidth="1"/>
    <col min="9730" max="9730" width="106.5703125" customWidth="1"/>
    <col min="9985" max="9985" width="14" customWidth="1"/>
    <col min="9986" max="9986" width="106.5703125" customWidth="1"/>
    <col min="10241" max="10241" width="14" customWidth="1"/>
    <col min="10242" max="10242" width="106.5703125" customWidth="1"/>
    <col min="10497" max="10497" width="14" customWidth="1"/>
    <col min="10498" max="10498" width="106.5703125" customWidth="1"/>
    <col min="10753" max="10753" width="14" customWidth="1"/>
    <col min="10754" max="10754" width="106.5703125" customWidth="1"/>
    <col min="11009" max="11009" width="14" customWidth="1"/>
    <col min="11010" max="11010" width="106.5703125" customWidth="1"/>
    <col min="11265" max="11265" width="14" customWidth="1"/>
    <col min="11266" max="11266" width="106.5703125" customWidth="1"/>
    <col min="11521" max="11521" width="14" customWidth="1"/>
    <col min="11522" max="11522" width="106.5703125" customWidth="1"/>
    <col min="11777" max="11777" width="14" customWidth="1"/>
    <col min="11778" max="11778" width="106.5703125" customWidth="1"/>
    <col min="12033" max="12033" width="14" customWidth="1"/>
    <col min="12034" max="12034" width="106.5703125" customWidth="1"/>
    <col min="12289" max="12289" width="14" customWidth="1"/>
    <col min="12290" max="12290" width="106.5703125" customWidth="1"/>
    <col min="12545" max="12545" width="14" customWidth="1"/>
    <col min="12546" max="12546" width="106.5703125" customWidth="1"/>
    <col min="12801" max="12801" width="14" customWidth="1"/>
    <col min="12802" max="12802" width="106.5703125" customWidth="1"/>
    <col min="13057" max="13057" width="14" customWidth="1"/>
    <col min="13058" max="13058" width="106.5703125" customWidth="1"/>
    <col min="13313" max="13313" width="14" customWidth="1"/>
    <col min="13314" max="13314" width="106.5703125" customWidth="1"/>
    <col min="13569" max="13569" width="14" customWidth="1"/>
    <col min="13570" max="13570" width="106.5703125" customWidth="1"/>
    <col min="13825" max="13825" width="14" customWidth="1"/>
    <col min="13826" max="13826" width="106.5703125" customWidth="1"/>
    <col min="14081" max="14081" width="14" customWidth="1"/>
    <col min="14082" max="14082" width="106.5703125" customWidth="1"/>
    <col min="14337" max="14337" width="14" customWidth="1"/>
    <col min="14338" max="14338" width="106.5703125" customWidth="1"/>
    <col min="14593" max="14593" width="14" customWidth="1"/>
    <col min="14594" max="14594" width="106.5703125" customWidth="1"/>
    <col min="14849" max="14849" width="14" customWidth="1"/>
    <col min="14850" max="14850" width="106.5703125" customWidth="1"/>
    <col min="15105" max="15105" width="14" customWidth="1"/>
    <col min="15106" max="15106" width="106.5703125" customWidth="1"/>
    <col min="15361" max="15361" width="14" customWidth="1"/>
    <col min="15362" max="15362" width="106.5703125" customWidth="1"/>
    <col min="15617" max="15617" width="14" customWidth="1"/>
    <col min="15618" max="15618" width="106.5703125" customWidth="1"/>
    <col min="15873" max="15873" width="14" customWidth="1"/>
    <col min="15874" max="15874" width="106.5703125" customWidth="1"/>
    <col min="16129" max="16129" width="14" customWidth="1"/>
    <col min="16130" max="16130" width="106.5703125" customWidth="1"/>
  </cols>
  <sheetData>
    <row r="1" spans="1:7">
      <c r="A1" s="275" t="s">
        <v>169</v>
      </c>
      <c r="B1" s="275" t="s">
        <v>170</v>
      </c>
      <c r="C1" s="275">
        <f>E1-2</f>
        <v>2022</v>
      </c>
      <c r="D1" s="275">
        <f>E1-1</f>
        <v>2023</v>
      </c>
      <c r="E1" s="275">
        <f>IF(BasicInput!C1="Prime",IF(Prime1!B7="",2020,Prime1!B7),IF(Afford1!B7="",2020,Afford1!B7))</f>
        <v>2024</v>
      </c>
      <c r="F1" s="275">
        <f>E1+1</f>
        <v>2025</v>
      </c>
      <c r="G1" s="275">
        <f>E1+2</f>
        <v>2026</v>
      </c>
    </row>
    <row r="2" spans="1:7">
      <c r="A2" s="276" t="s">
        <v>271</v>
      </c>
      <c r="B2" s="276" t="s">
        <v>272</v>
      </c>
      <c r="C2" s="277">
        <f>IF(BasicInput!C1="Prime",PrimeConsolidated!E86,AffordConsolidated!E58)*100000</f>
        <v>0</v>
      </c>
      <c r="D2" s="277">
        <f>IF(BasicInput!C1="Prime",PrimeConsolidated!D86,AffordConsolidated!D58)*100000</f>
        <v>0</v>
      </c>
      <c r="E2" s="277">
        <f>IF(BasicInput!C1="Prime",PrimeConsolidated!C86,AffordConsolidated!C58)*100000</f>
        <v>0</v>
      </c>
      <c r="F2" s="277">
        <v>0</v>
      </c>
      <c r="G2" s="277">
        <v>0</v>
      </c>
    </row>
    <row r="3" spans="1:7">
      <c r="A3" s="276" t="s">
        <v>273</v>
      </c>
      <c r="B3" s="276" t="s">
        <v>274</v>
      </c>
      <c r="C3" s="277">
        <f>PrimeConsolidated!E87*100000</f>
        <v>0</v>
      </c>
      <c r="D3" s="277">
        <f>PrimeConsolidated!D87*100000</f>
        <v>0</v>
      </c>
      <c r="E3" s="277">
        <f>PrimeConsolidated!C87*100000</f>
        <v>0</v>
      </c>
      <c r="F3" s="277">
        <v>0</v>
      </c>
      <c r="G3" s="277">
        <v>0</v>
      </c>
    </row>
    <row r="4" spans="1:7">
      <c r="A4" s="276" t="s">
        <v>275</v>
      </c>
      <c r="B4" s="276" t="s">
        <v>276</v>
      </c>
      <c r="C4" s="277">
        <v>0</v>
      </c>
      <c r="D4" s="277">
        <v>0</v>
      </c>
      <c r="E4" s="277">
        <v>0</v>
      </c>
      <c r="F4" s="277">
        <v>0</v>
      </c>
      <c r="G4" s="277">
        <v>0</v>
      </c>
    </row>
    <row r="5" spans="1:7">
      <c r="A5" s="276" t="s">
        <v>277</v>
      </c>
      <c r="B5" s="276" t="s">
        <v>278</v>
      </c>
      <c r="C5" s="277">
        <f>IF(BasicInput!C1="Prime",PrimeConsolidated!E80,AffordConsolidated!E57)*100000</f>
        <v>0</v>
      </c>
      <c r="D5" s="277">
        <f>IF(BasicInput!C1="Prime",PrimeConsolidated!D80,AffordConsolidated!D57)*100000</f>
        <v>0</v>
      </c>
      <c r="E5" s="277">
        <f>IF(BasicInput!C1="Prime",PrimeConsolidated!C80,AffordConsolidated!C57)*100000</f>
        <v>0</v>
      </c>
      <c r="F5" s="277">
        <v>0</v>
      </c>
      <c r="G5" s="277">
        <v>0</v>
      </c>
    </row>
    <row r="6" spans="1:7">
      <c r="A6" s="276" t="s">
        <v>279</v>
      </c>
      <c r="B6" s="276" t="s">
        <v>280</v>
      </c>
      <c r="C6" s="277">
        <f>AffordConsolidated!E56*100000</f>
        <v>0</v>
      </c>
      <c r="D6" s="277">
        <f>AffordConsolidated!D56*100000</f>
        <v>0</v>
      </c>
      <c r="E6" s="277">
        <f>AffordConsolidated!C56*100000</f>
        <v>0</v>
      </c>
      <c r="F6" s="277">
        <v>0</v>
      </c>
      <c r="G6" s="277">
        <v>0</v>
      </c>
    </row>
    <row r="7" spans="1:7">
      <c r="A7" s="276" t="s">
        <v>281</v>
      </c>
      <c r="B7" s="276" t="s">
        <v>282</v>
      </c>
      <c r="C7" s="277">
        <v>0</v>
      </c>
      <c r="D7" s="277">
        <v>0</v>
      </c>
      <c r="E7" s="277">
        <v>0</v>
      </c>
      <c r="F7" s="277">
        <v>0</v>
      </c>
      <c r="G7" s="277">
        <v>0</v>
      </c>
    </row>
    <row r="8" spans="1:7">
      <c r="A8" s="276" t="s">
        <v>283</v>
      </c>
      <c r="B8" s="276" t="s">
        <v>284</v>
      </c>
      <c r="C8" s="277">
        <f>PrimeConsolidated!E88*100000</f>
        <v>0</v>
      </c>
      <c r="D8" s="277">
        <f>PrimeConsolidated!D88*100000</f>
        <v>0</v>
      </c>
      <c r="E8" s="277">
        <f>PrimeConsolidated!C88*100000</f>
        <v>0</v>
      </c>
      <c r="F8" s="277">
        <v>0</v>
      </c>
      <c r="G8" s="277">
        <v>0</v>
      </c>
    </row>
    <row r="9" spans="1:7">
      <c r="A9" s="276" t="s">
        <v>285</v>
      </c>
      <c r="B9" s="276" t="s">
        <v>286</v>
      </c>
      <c r="C9" s="277">
        <f>PrimeConsolidated!E81*100000</f>
        <v>0</v>
      </c>
      <c r="D9" s="277">
        <f>PrimeConsolidated!D81*100000</f>
        <v>0</v>
      </c>
      <c r="E9" s="277">
        <f>PrimeConsolidated!C81*100000</f>
        <v>0</v>
      </c>
      <c r="F9" s="277">
        <v>0</v>
      </c>
      <c r="G9" s="277">
        <v>0</v>
      </c>
    </row>
    <row r="10" spans="1:7">
      <c r="A10" s="276" t="s">
        <v>287</v>
      </c>
      <c r="B10" s="276" t="s">
        <v>288</v>
      </c>
      <c r="C10" s="277">
        <v>0</v>
      </c>
      <c r="D10" s="277">
        <v>0</v>
      </c>
      <c r="E10" s="277">
        <v>0</v>
      </c>
      <c r="F10" s="277">
        <v>0</v>
      </c>
      <c r="G10" s="277">
        <v>0</v>
      </c>
    </row>
    <row r="11" spans="1:7">
      <c r="A11" s="276" t="s">
        <v>289</v>
      </c>
      <c r="B11" s="276" t="s">
        <v>290</v>
      </c>
      <c r="C11" s="277">
        <v>0</v>
      </c>
      <c r="D11" s="277">
        <v>0</v>
      </c>
      <c r="E11" s="277">
        <v>0</v>
      </c>
      <c r="F11" s="277">
        <v>0</v>
      </c>
      <c r="G11" s="277">
        <v>0</v>
      </c>
    </row>
    <row r="12" spans="1:7">
      <c r="A12" s="276" t="s">
        <v>291</v>
      </c>
      <c r="B12" s="276" t="s">
        <v>292</v>
      </c>
      <c r="C12" s="277">
        <v>0</v>
      </c>
      <c r="D12" s="277">
        <v>0</v>
      </c>
      <c r="E12" s="277">
        <v>0</v>
      </c>
      <c r="F12" s="277">
        <v>0</v>
      </c>
      <c r="G12" s="277">
        <v>0</v>
      </c>
    </row>
    <row r="13" spans="1:7">
      <c r="A13" s="276" t="s">
        <v>293</v>
      </c>
      <c r="B13" s="276" t="s">
        <v>294</v>
      </c>
      <c r="C13" s="277">
        <f>AffordConsolidated!E51</f>
        <v>0</v>
      </c>
      <c r="D13" s="277">
        <f>AffordConsolidated!D51</f>
        <v>0</v>
      </c>
      <c r="E13" s="277">
        <f>AffordConsolidated!C51</f>
        <v>0</v>
      </c>
      <c r="F13" s="277">
        <v>0</v>
      </c>
      <c r="G13" s="277">
        <v>0</v>
      </c>
    </row>
    <row r="14" spans="1:7">
      <c r="A14" s="276" t="s">
        <v>295</v>
      </c>
      <c r="B14" s="276" t="s">
        <v>296</v>
      </c>
      <c r="C14" s="277">
        <v>0</v>
      </c>
      <c r="D14" s="277">
        <v>0</v>
      </c>
      <c r="E14" s="277">
        <v>0</v>
      </c>
      <c r="F14" s="277">
        <v>0</v>
      </c>
      <c r="G14" s="277">
        <v>0</v>
      </c>
    </row>
    <row r="15" spans="1:7">
      <c r="A15" s="276" t="s">
        <v>297</v>
      </c>
      <c r="B15" s="276" t="s">
        <v>298</v>
      </c>
      <c r="C15" s="277">
        <v>0</v>
      </c>
      <c r="D15" s="277">
        <v>0</v>
      </c>
      <c r="E15" s="277">
        <v>0</v>
      </c>
      <c r="F15" s="277">
        <v>0</v>
      </c>
      <c r="G15" s="277">
        <v>0</v>
      </c>
    </row>
    <row r="16" spans="1:7">
      <c r="A16" s="276" t="s">
        <v>299</v>
      </c>
      <c r="B16" s="276" t="s">
        <v>300</v>
      </c>
      <c r="C16" s="277">
        <f>IF(BasicInput!C1="Prime",PrimeConsolidated!E83,AffordConsolidated!E59)*100000</f>
        <v>0</v>
      </c>
      <c r="D16" s="277">
        <f>IF(BasicInput!C1="Prime",PrimeConsolidated!D83,AffordConsolidated!D59)*100000</f>
        <v>0</v>
      </c>
      <c r="E16" s="277">
        <f>IF(BasicInput!C1="Prime",PrimeConsolidated!C83,AffordConsolidated!C59)*100000</f>
        <v>0</v>
      </c>
      <c r="F16" s="277">
        <v>0</v>
      </c>
      <c r="G16" s="277">
        <v>0</v>
      </c>
    </row>
    <row r="17" spans="1:7">
      <c r="A17" s="276" t="s">
        <v>301</v>
      </c>
      <c r="B17" s="276" t="s">
        <v>302</v>
      </c>
      <c r="C17" s="277">
        <v>0</v>
      </c>
      <c r="D17" s="277">
        <v>0</v>
      </c>
      <c r="E17" s="277">
        <v>0</v>
      </c>
      <c r="F17" s="277">
        <v>0</v>
      </c>
      <c r="G17" s="277">
        <v>0</v>
      </c>
    </row>
    <row r="18" spans="1:7">
      <c r="A18" s="276" t="s">
        <v>303</v>
      </c>
      <c r="B18" s="276" t="s">
        <v>304</v>
      </c>
      <c r="C18" s="277">
        <v>0</v>
      </c>
      <c r="D18" s="277">
        <v>0</v>
      </c>
      <c r="E18" s="277">
        <v>0</v>
      </c>
      <c r="F18" s="277">
        <v>0</v>
      </c>
      <c r="G18" s="277">
        <v>0</v>
      </c>
    </row>
    <row r="19" spans="1:7">
      <c r="A19" s="276" t="s">
        <v>305</v>
      </c>
      <c r="B19" s="276" t="s">
        <v>306</v>
      </c>
      <c r="C19" s="277">
        <v>0</v>
      </c>
      <c r="D19" s="277">
        <v>0</v>
      </c>
      <c r="E19" s="277">
        <v>0</v>
      </c>
      <c r="F19" s="277">
        <v>0</v>
      </c>
      <c r="G19" s="277">
        <v>0</v>
      </c>
    </row>
    <row r="20" spans="1:7">
      <c r="A20" s="276" t="s">
        <v>307</v>
      </c>
      <c r="B20" s="276" t="s">
        <v>308</v>
      </c>
      <c r="C20" s="277">
        <v>0</v>
      </c>
      <c r="D20" s="277">
        <v>0</v>
      </c>
      <c r="E20" s="277">
        <v>0</v>
      </c>
      <c r="F20" s="277">
        <v>0</v>
      </c>
      <c r="G20" s="277">
        <v>0</v>
      </c>
    </row>
    <row r="21" spans="1:7">
      <c r="A21" s="276" t="s">
        <v>309</v>
      </c>
      <c r="B21" s="276" t="s">
        <v>310</v>
      </c>
      <c r="C21" s="277">
        <f>IF(BasicInput!C1="Prime",PrimeConsolidated!E82,AffordConsolidated!E60)*100000</f>
        <v>0</v>
      </c>
      <c r="D21" s="277">
        <f>IF(BasicInput!C1="Prime",PrimeConsolidated!D82,AffordConsolidated!D60)*100000</f>
        <v>0</v>
      </c>
      <c r="E21" s="277">
        <f>IF(BasicInput!C1="Prime",PrimeConsolidated!C82,AffordConsolidated!C60)*100000</f>
        <v>0</v>
      </c>
      <c r="F21" s="277">
        <v>0</v>
      </c>
      <c r="G21" s="277">
        <v>0</v>
      </c>
    </row>
    <row r="22" spans="1:7">
      <c r="A22" s="276" t="s">
        <v>311</v>
      </c>
      <c r="B22" s="276" t="s">
        <v>312</v>
      </c>
      <c r="C22" s="277">
        <v>0</v>
      </c>
      <c r="D22" s="277">
        <v>0</v>
      </c>
      <c r="E22" s="277">
        <v>0</v>
      </c>
      <c r="F22" s="277">
        <v>0</v>
      </c>
      <c r="G22" s="277">
        <v>0</v>
      </c>
    </row>
    <row r="23" spans="1:7">
      <c r="A23" s="276" t="s">
        <v>313</v>
      </c>
      <c r="B23" s="276" t="s">
        <v>314</v>
      </c>
      <c r="C23" s="277">
        <v>0</v>
      </c>
      <c r="D23" s="277">
        <v>0</v>
      </c>
      <c r="E23" s="277">
        <v>0</v>
      </c>
      <c r="F23" s="277">
        <v>0</v>
      </c>
      <c r="G23" s="277">
        <v>0</v>
      </c>
    </row>
    <row r="24" spans="1:7">
      <c r="A24" s="276" t="s">
        <v>315</v>
      </c>
      <c r="B24" s="276" t="s">
        <v>316</v>
      </c>
      <c r="C24" s="277">
        <v>0</v>
      </c>
      <c r="D24" s="277">
        <v>0</v>
      </c>
      <c r="E24" s="277">
        <v>0</v>
      </c>
      <c r="F24" s="277">
        <v>0</v>
      </c>
      <c r="G24" s="277">
        <v>0</v>
      </c>
    </row>
    <row r="25" spans="1:7">
      <c r="A25" s="276" t="s">
        <v>317</v>
      </c>
      <c r="B25" s="276" t="s">
        <v>318</v>
      </c>
      <c r="C25" s="277">
        <v>0</v>
      </c>
      <c r="D25" s="277">
        <v>0</v>
      </c>
      <c r="E25" s="277">
        <v>0</v>
      </c>
      <c r="F25" s="277">
        <v>0</v>
      </c>
      <c r="G25" s="277">
        <v>0</v>
      </c>
    </row>
    <row r="26" spans="1:7">
      <c r="A26" s="276" t="s">
        <v>319</v>
      </c>
      <c r="B26" s="276" t="s">
        <v>320</v>
      </c>
      <c r="C26" s="277">
        <f>AffordConsolidated!E52</f>
        <v>0</v>
      </c>
      <c r="D26" s="277">
        <f>AffordConsolidated!D52</f>
        <v>0</v>
      </c>
      <c r="E26" s="277">
        <f>AffordConsolidated!C52</f>
        <v>0</v>
      </c>
      <c r="F26" s="277">
        <v>0</v>
      </c>
      <c r="G26" s="277">
        <v>0</v>
      </c>
    </row>
    <row r="27" spans="1:7">
      <c r="A27" s="276" t="s">
        <v>321</v>
      </c>
      <c r="B27" s="276" t="s">
        <v>322</v>
      </c>
      <c r="C27" s="277">
        <f>IF(BasicInput!C1="Prime",PrimeConsolidated!E60,AffordConsolidated!E53)*100000</f>
        <v>0</v>
      </c>
      <c r="D27" s="277">
        <f>IF(BasicInput!C1="Prime",PrimeConsolidated!D60,AffordConsolidated!D53)*100000</f>
        <v>0</v>
      </c>
      <c r="E27" s="277">
        <f>IF(BasicInput!C1="Prime",PrimeConsolidated!C60,AffordConsolidated!C53)*100000</f>
        <v>0</v>
      </c>
      <c r="F27" s="277">
        <v>0</v>
      </c>
      <c r="G27" s="277">
        <v>0</v>
      </c>
    </row>
    <row r="28" spans="1:7">
      <c r="A28" s="276" t="s">
        <v>323</v>
      </c>
      <c r="B28" s="276" t="s">
        <v>324</v>
      </c>
      <c r="C28" s="277">
        <v>0</v>
      </c>
      <c r="D28" s="277">
        <v>0</v>
      </c>
      <c r="E28" s="277">
        <v>0</v>
      </c>
      <c r="F28" s="277">
        <v>0</v>
      </c>
      <c r="G28" s="277">
        <v>0</v>
      </c>
    </row>
    <row r="29" spans="1:7">
      <c r="A29" s="276" t="s">
        <v>325</v>
      </c>
      <c r="B29" s="276" t="s">
        <v>326</v>
      </c>
      <c r="C29" s="277">
        <v>0</v>
      </c>
      <c r="D29" s="277">
        <v>0</v>
      </c>
      <c r="E29" s="277">
        <v>0</v>
      </c>
      <c r="F29" s="277">
        <v>0</v>
      </c>
      <c r="G29" s="277">
        <v>0</v>
      </c>
    </row>
    <row r="30" spans="1:7">
      <c r="A30" s="276" t="s">
        <v>327</v>
      </c>
      <c r="B30" s="276" t="s">
        <v>328</v>
      </c>
      <c r="C30" s="277">
        <f>PrimeConsolidated!E61*100000</f>
        <v>0</v>
      </c>
      <c r="D30" s="277">
        <f>PrimeConsolidated!D61*100000</f>
        <v>0</v>
      </c>
      <c r="E30" s="277">
        <f>PrimeConsolidated!C61*100000</f>
        <v>0</v>
      </c>
      <c r="F30" s="277">
        <v>0</v>
      </c>
      <c r="G30" s="277">
        <v>0</v>
      </c>
    </row>
    <row r="31" spans="1:7">
      <c r="A31" s="276" t="s">
        <v>329</v>
      </c>
      <c r="B31" s="276" t="s">
        <v>330</v>
      </c>
      <c r="C31" s="277">
        <f>IF(BasicInput!C1="Prime",PrimeConsolidated!E57,AffordConsolidated!E50+AffordConsolidated!E42)*100000</f>
        <v>0</v>
      </c>
      <c r="D31" s="277">
        <f>IF(BasicInput!C1="Prime",PrimeConsolidated!D57,AffordConsolidated!D50+AffordConsolidated!D42)*100000</f>
        <v>0</v>
      </c>
      <c r="E31" s="277">
        <f>IF(BasicInput!C1="Prime",PrimeConsolidated!C57,AffordConsolidated!C50+AffordConsolidated!C42)*100000</f>
        <v>0</v>
      </c>
      <c r="F31" s="277">
        <v>0</v>
      </c>
      <c r="G31" s="277">
        <v>0</v>
      </c>
    </row>
    <row r="32" spans="1:7">
      <c r="A32" s="276" t="s">
        <v>331</v>
      </c>
      <c r="B32" s="276" t="s">
        <v>332</v>
      </c>
      <c r="C32" s="277">
        <v>0</v>
      </c>
      <c r="D32" s="277">
        <v>0</v>
      </c>
      <c r="E32" s="277">
        <v>0</v>
      </c>
      <c r="F32" s="277">
        <v>0</v>
      </c>
      <c r="G32" s="277">
        <v>0</v>
      </c>
    </row>
    <row r="33" spans="1:7">
      <c r="A33" s="276" t="s">
        <v>333</v>
      </c>
      <c r="B33" s="276" t="s">
        <v>334</v>
      </c>
      <c r="C33" s="277">
        <v>0</v>
      </c>
      <c r="D33" s="277">
        <v>0</v>
      </c>
      <c r="E33" s="277">
        <v>0</v>
      </c>
      <c r="F33" s="277">
        <v>0</v>
      </c>
      <c r="G33" s="277">
        <v>0</v>
      </c>
    </row>
    <row r="34" spans="1:7">
      <c r="A34" s="276" t="s">
        <v>335</v>
      </c>
      <c r="B34" s="276" t="s">
        <v>336</v>
      </c>
      <c r="C34" s="277">
        <v>0</v>
      </c>
      <c r="D34" s="277">
        <v>0</v>
      </c>
      <c r="E34" s="277">
        <v>0</v>
      </c>
      <c r="F34" s="277">
        <v>0</v>
      </c>
      <c r="G34" s="277">
        <v>0</v>
      </c>
    </row>
    <row r="35" spans="1:7">
      <c r="A35" s="276" t="s">
        <v>337</v>
      </c>
      <c r="B35" s="276" t="s">
        <v>338</v>
      </c>
      <c r="C35" s="277">
        <v>0</v>
      </c>
      <c r="D35" s="277">
        <v>0</v>
      </c>
      <c r="E35" s="277">
        <v>0</v>
      </c>
      <c r="F35" s="277">
        <v>0</v>
      </c>
      <c r="G35" s="277">
        <v>0</v>
      </c>
    </row>
    <row r="36" spans="1:7">
      <c r="A36" s="276" t="s">
        <v>339</v>
      </c>
      <c r="B36" s="276" t="s">
        <v>340</v>
      </c>
      <c r="C36" s="277">
        <v>0</v>
      </c>
      <c r="D36" s="277">
        <v>0</v>
      </c>
      <c r="E36" s="277">
        <v>0</v>
      </c>
      <c r="F36" s="277">
        <v>0</v>
      </c>
      <c r="G36" s="277">
        <v>0</v>
      </c>
    </row>
    <row r="37" spans="1:7">
      <c r="A37" s="276" t="s">
        <v>341</v>
      </c>
      <c r="B37" s="276" t="s">
        <v>342</v>
      </c>
      <c r="C37" s="277">
        <f>PrimeConsolidated!E53*100000</f>
        <v>0</v>
      </c>
      <c r="D37" s="277">
        <f>PrimeConsolidated!D53*100000</f>
        <v>0</v>
      </c>
      <c r="E37" s="277">
        <f>PrimeConsolidated!C53*100000</f>
        <v>0</v>
      </c>
      <c r="F37" s="277">
        <v>0</v>
      </c>
      <c r="G37" s="277">
        <v>0</v>
      </c>
    </row>
    <row r="38" spans="1:7">
      <c r="A38" s="276" t="s">
        <v>343</v>
      </c>
      <c r="B38" s="276" t="s">
        <v>344</v>
      </c>
      <c r="C38" s="277">
        <f>IF(BasicInput!C1="Prime",PrimeConsolidated!E52,AffordConsolidated!E41)*100000</f>
        <v>0</v>
      </c>
      <c r="D38" s="277">
        <f>IF(BasicInput!C1="Prime",PrimeConsolidated!D52,AffordConsolidated!D41)*100000</f>
        <v>0</v>
      </c>
      <c r="E38" s="277">
        <f>IF(BasicInput!C1="Prime",PrimeConsolidated!C52,AffordConsolidated!C41)*100000</f>
        <v>0</v>
      </c>
      <c r="F38" s="277">
        <v>0</v>
      </c>
      <c r="G38" s="277">
        <v>0</v>
      </c>
    </row>
    <row r="39" spans="1:7">
      <c r="A39" s="276" t="s">
        <v>345</v>
      </c>
      <c r="B39" s="276" t="s">
        <v>346</v>
      </c>
      <c r="C39" s="277">
        <v>0</v>
      </c>
      <c r="D39" s="277">
        <v>0</v>
      </c>
      <c r="E39" s="277">
        <v>0</v>
      </c>
      <c r="F39" s="277">
        <v>0</v>
      </c>
      <c r="G39" s="277">
        <v>0</v>
      </c>
    </row>
    <row r="40" spans="1:7">
      <c r="A40" s="276" t="s">
        <v>347</v>
      </c>
      <c r="B40" s="276" t="s">
        <v>348</v>
      </c>
      <c r="C40" s="277">
        <v>0</v>
      </c>
      <c r="D40" s="277">
        <v>0</v>
      </c>
      <c r="E40" s="277">
        <v>0</v>
      </c>
      <c r="F40" s="277">
        <v>0</v>
      </c>
      <c r="G40" s="277">
        <v>0</v>
      </c>
    </row>
    <row r="41" spans="1:7">
      <c r="A41" s="276" t="s">
        <v>349</v>
      </c>
      <c r="B41" s="276" t="s">
        <v>350</v>
      </c>
      <c r="C41" s="277">
        <f>IF(BasicInput!C1="Prime",PrimeConsolidated!E54,AffordConsolidated!E43)*100000</f>
        <v>0</v>
      </c>
      <c r="D41" s="277">
        <f>IF(BasicInput!C1="Prime",PrimeConsolidated!D54,AffordConsolidated!D43)*100000</f>
        <v>0</v>
      </c>
      <c r="E41" s="277">
        <f>IF(BasicInput!C1="Prime",PrimeConsolidated!C54,AffordConsolidated!C43)*100000</f>
        <v>0</v>
      </c>
      <c r="F41" s="277">
        <v>0</v>
      </c>
      <c r="G41" s="277">
        <v>0</v>
      </c>
    </row>
    <row r="42" spans="1:7">
      <c r="A42" s="276" t="s">
        <v>351</v>
      </c>
      <c r="B42" s="276" t="s">
        <v>352</v>
      </c>
      <c r="C42" s="277">
        <f>AffordConsolidated!E45*100000</f>
        <v>0</v>
      </c>
      <c r="D42" s="277">
        <f>AffordConsolidated!D45*100000</f>
        <v>0</v>
      </c>
      <c r="E42" s="277">
        <f>AffordConsolidated!C45*100000</f>
        <v>0</v>
      </c>
      <c r="F42" s="277">
        <v>0</v>
      </c>
      <c r="G42" s="277">
        <v>0</v>
      </c>
    </row>
    <row r="43" spans="1:7">
      <c r="A43" s="276" t="s">
        <v>353</v>
      </c>
      <c r="B43" s="276" t="s">
        <v>354</v>
      </c>
      <c r="C43" s="277">
        <f>AffordConsolidated!E46*100000</f>
        <v>0</v>
      </c>
      <c r="D43" s="277">
        <f>AffordConsolidated!D46*100000</f>
        <v>0</v>
      </c>
      <c r="E43" s="277">
        <f>AffordConsolidated!C46*100000</f>
        <v>0</v>
      </c>
      <c r="F43" s="277">
        <v>0</v>
      </c>
      <c r="G43" s="277">
        <v>0</v>
      </c>
    </row>
    <row r="44" spans="1:7">
      <c r="A44" s="276" t="s">
        <v>355</v>
      </c>
      <c r="B44" s="276" t="s">
        <v>356</v>
      </c>
      <c r="C44" s="277">
        <v>0</v>
      </c>
      <c r="D44" s="277">
        <v>0</v>
      </c>
      <c r="E44" s="277">
        <v>0</v>
      </c>
      <c r="F44" s="277">
        <v>0</v>
      </c>
      <c r="G44" s="277">
        <v>0</v>
      </c>
    </row>
    <row r="45" spans="1:7">
      <c r="A45" s="276" t="s">
        <v>357</v>
      </c>
      <c r="B45" s="276" t="s">
        <v>358</v>
      </c>
      <c r="C45" s="277">
        <v>0</v>
      </c>
      <c r="D45" s="277">
        <v>0</v>
      </c>
      <c r="E45" s="277">
        <v>0</v>
      </c>
      <c r="F45" s="277">
        <v>0</v>
      </c>
      <c r="G45" s="277">
        <v>0</v>
      </c>
    </row>
    <row r="46" spans="1:7">
      <c r="A46" s="276" t="s">
        <v>359</v>
      </c>
      <c r="B46" s="276" t="s">
        <v>360</v>
      </c>
      <c r="C46" s="277">
        <v>0</v>
      </c>
      <c r="D46" s="277">
        <v>0</v>
      </c>
      <c r="E46" s="277">
        <v>0</v>
      </c>
      <c r="F46" s="277">
        <v>0</v>
      </c>
      <c r="G46" s="277">
        <v>0</v>
      </c>
    </row>
    <row r="47" spans="1:7">
      <c r="A47" s="276" t="s">
        <v>361</v>
      </c>
      <c r="B47" s="276" t="s">
        <v>362</v>
      </c>
      <c r="C47" s="277">
        <v>0</v>
      </c>
      <c r="D47" s="277">
        <v>0</v>
      </c>
      <c r="E47" s="277">
        <v>0</v>
      </c>
      <c r="F47" s="277">
        <v>0</v>
      </c>
      <c r="G47" s="277">
        <v>0</v>
      </c>
    </row>
    <row r="48" spans="1:7">
      <c r="A48" s="276" t="s">
        <v>363</v>
      </c>
      <c r="B48" s="276" t="s">
        <v>364</v>
      </c>
      <c r="C48" s="277">
        <v>0</v>
      </c>
      <c r="D48" s="277">
        <v>0</v>
      </c>
      <c r="E48" s="277">
        <v>0</v>
      </c>
      <c r="F48" s="277">
        <v>0</v>
      </c>
      <c r="G48" s="277">
        <v>0</v>
      </c>
    </row>
    <row r="49" spans="1:7">
      <c r="A49" s="276" t="s">
        <v>365</v>
      </c>
      <c r="B49" s="276" t="s">
        <v>366</v>
      </c>
      <c r="C49" s="277">
        <v>0</v>
      </c>
      <c r="D49" s="277">
        <v>0</v>
      </c>
      <c r="E49" s="277">
        <v>0</v>
      </c>
      <c r="F49" s="277">
        <v>0</v>
      </c>
      <c r="G49" s="277">
        <v>0</v>
      </c>
    </row>
    <row r="50" spans="1:7">
      <c r="A50" s="276" t="s">
        <v>367</v>
      </c>
      <c r="B50" s="276" t="s">
        <v>368</v>
      </c>
      <c r="C50" s="277">
        <v>0</v>
      </c>
      <c r="D50" s="277">
        <v>0</v>
      </c>
      <c r="E50" s="277">
        <v>0</v>
      </c>
      <c r="F50" s="277">
        <v>0</v>
      </c>
      <c r="G50" s="277">
        <v>0</v>
      </c>
    </row>
    <row r="51" spans="1:7">
      <c r="A51" s="276" t="s">
        <v>369</v>
      </c>
      <c r="B51" s="276" t="s">
        <v>370</v>
      </c>
      <c r="C51" s="277">
        <v>0</v>
      </c>
      <c r="D51" s="277">
        <v>0</v>
      </c>
      <c r="E51" s="277">
        <v>0</v>
      </c>
      <c r="F51" s="277">
        <v>0</v>
      </c>
      <c r="G51" s="277">
        <v>0</v>
      </c>
    </row>
    <row r="52" spans="1:7">
      <c r="A52" s="276" t="s">
        <v>371</v>
      </c>
      <c r="B52" s="276" t="s">
        <v>372</v>
      </c>
      <c r="C52" s="277">
        <v>0</v>
      </c>
      <c r="D52" s="277">
        <v>0</v>
      </c>
      <c r="E52" s="277">
        <v>0</v>
      </c>
      <c r="F52" s="277">
        <v>0</v>
      </c>
      <c r="G52" s="277">
        <v>0</v>
      </c>
    </row>
    <row r="53" spans="1:7">
      <c r="A53" s="276" t="s">
        <v>373</v>
      </c>
      <c r="B53" s="276" t="s">
        <v>374</v>
      </c>
      <c r="C53" s="277">
        <v>0</v>
      </c>
      <c r="D53" s="277">
        <v>0</v>
      </c>
      <c r="E53" s="277">
        <v>0</v>
      </c>
      <c r="F53" s="277">
        <v>0</v>
      </c>
      <c r="G53" s="277">
        <v>0</v>
      </c>
    </row>
    <row r="54" spans="1:7">
      <c r="A54" s="276" t="s">
        <v>375</v>
      </c>
      <c r="B54" s="276" t="s">
        <v>376</v>
      </c>
      <c r="C54" s="277">
        <v>0</v>
      </c>
      <c r="D54" s="277">
        <v>0</v>
      </c>
      <c r="E54" s="277">
        <v>0</v>
      </c>
      <c r="F54" s="277">
        <v>0</v>
      </c>
      <c r="G54" s="277">
        <v>0</v>
      </c>
    </row>
    <row r="55" spans="1:7">
      <c r="A55" s="276" t="s">
        <v>377</v>
      </c>
      <c r="B55" s="276" t="s">
        <v>378</v>
      </c>
      <c r="C55" s="277">
        <f>IF(BasicInput!C1="Prime",PrimeConsolidated!E77,AffordConsolidated!E77)*100000</f>
        <v>0</v>
      </c>
      <c r="D55" s="277">
        <f>IF(BasicInput!C1="Prime",PrimeConsolidated!D77,AffordConsolidated!D77)*100000</f>
        <v>0</v>
      </c>
      <c r="E55" s="277">
        <f>IF(BasicInput!C1="Prime",PrimeConsolidated!C77,AffordConsolidated!C77)*100000</f>
        <v>0</v>
      </c>
      <c r="F55" s="277">
        <v>0</v>
      </c>
      <c r="G55" s="277">
        <v>0</v>
      </c>
    </row>
    <row r="56" spans="1:7">
      <c r="A56" s="276" t="s">
        <v>379</v>
      </c>
      <c r="B56" s="276" t="s">
        <v>380</v>
      </c>
      <c r="C56" s="277">
        <v>0</v>
      </c>
      <c r="D56" s="277">
        <v>0</v>
      </c>
      <c r="E56" s="277">
        <v>0</v>
      </c>
      <c r="F56" s="277">
        <v>0</v>
      </c>
      <c r="G56" s="277">
        <v>0</v>
      </c>
    </row>
    <row r="57" spans="1:7">
      <c r="A57" s="276" t="s">
        <v>381</v>
      </c>
      <c r="B57" s="276" t="s">
        <v>382</v>
      </c>
      <c r="C57" s="277">
        <v>0</v>
      </c>
      <c r="D57" s="277">
        <v>0</v>
      </c>
      <c r="E57" s="277">
        <v>0</v>
      </c>
      <c r="F57" s="277">
        <v>0</v>
      </c>
      <c r="G57" s="277">
        <v>0</v>
      </c>
    </row>
    <row r="58" spans="1:7">
      <c r="A58" s="276" t="s">
        <v>383</v>
      </c>
      <c r="B58" s="276" t="s">
        <v>384</v>
      </c>
      <c r="C58" s="277">
        <f>IF(BasicInput!C1="Prime",PrimeConsolidated!E66,AffordConsolidated!E70)*100000</f>
        <v>0</v>
      </c>
      <c r="D58" s="277">
        <f>IF(BasicInput!C1="Prime",PrimeConsolidated!D66,AffordConsolidated!D70)*100000</f>
        <v>0</v>
      </c>
      <c r="E58" s="277">
        <f>IF(BasicInput!C1="Prime",PrimeConsolidated!C66,AffordConsolidated!C70)*100000</f>
        <v>0</v>
      </c>
      <c r="F58" s="277">
        <v>0</v>
      </c>
      <c r="G58" s="277">
        <v>0</v>
      </c>
    </row>
    <row r="59" spans="1:7">
      <c r="A59" s="276" t="s">
        <v>385</v>
      </c>
      <c r="B59" s="276" t="s">
        <v>386</v>
      </c>
      <c r="C59" s="277">
        <f>IF(BasicInput!C1="Prime",PrimeConsolidated!E74,AffordConsolidated!E76)*100000</f>
        <v>0</v>
      </c>
      <c r="D59" s="277">
        <f>IF(BasicInput!C1="Prime",PrimeConsolidated!D74,AffordConsolidated!D76)*100000</f>
        <v>0</v>
      </c>
      <c r="E59" s="277">
        <f>IF(BasicInput!C1="Prime",PrimeConsolidated!C74,AffordConsolidated!C76)*100000</f>
        <v>0</v>
      </c>
      <c r="F59" s="277">
        <v>0</v>
      </c>
      <c r="G59" s="277">
        <v>0</v>
      </c>
    </row>
    <row r="60" spans="1:7">
      <c r="A60" s="276" t="s">
        <v>387</v>
      </c>
      <c r="B60" s="276" t="s">
        <v>388</v>
      </c>
      <c r="C60" s="277">
        <v>0</v>
      </c>
      <c r="D60" s="277">
        <v>0</v>
      </c>
      <c r="E60" s="277">
        <v>0</v>
      </c>
      <c r="F60" s="277">
        <v>0</v>
      </c>
      <c r="G60" s="277">
        <v>0</v>
      </c>
    </row>
    <row r="61" spans="1:7">
      <c r="A61" s="276" t="s">
        <v>389</v>
      </c>
      <c r="B61" s="276" t="s">
        <v>390</v>
      </c>
      <c r="C61" s="277">
        <v>0</v>
      </c>
      <c r="D61" s="277">
        <v>0</v>
      </c>
      <c r="E61" s="277">
        <v>0</v>
      </c>
      <c r="F61" s="277">
        <v>0</v>
      </c>
      <c r="G61" s="277">
        <v>0</v>
      </c>
    </row>
    <row r="62" spans="1:7">
      <c r="A62" s="276" t="s">
        <v>391</v>
      </c>
      <c r="B62" s="276" t="s">
        <v>392</v>
      </c>
      <c r="C62" s="277">
        <f>PrimeConsolidated!E69*100000</f>
        <v>0</v>
      </c>
      <c r="D62" s="277">
        <f>PrimeConsolidated!D69*100000</f>
        <v>0</v>
      </c>
      <c r="E62" s="277">
        <f>PrimeConsolidated!C69*100000</f>
        <v>0</v>
      </c>
      <c r="F62" s="277">
        <v>0</v>
      </c>
      <c r="G62" s="277">
        <v>0</v>
      </c>
    </row>
    <row r="63" spans="1:7">
      <c r="A63" s="276" t="s">
        <v>393</v>
      </c>
      <c r="B63" s="276" t="s">
        <v>394</v>
      </c>
      <c r="C63" s="277">
        <v>0</v>
      </c>
      <c r="D63" s="277">
        <v>0</v>
      </c>
      <c r="E63" s="277">
        <v>0</v>
      </c>
      <c r="F63" s="277">
        <v>0</v>
      </c>
      <c r="G63" s="277">
        <v>0</v>
      </c>
    </row>
    <row r="64" spans="1:7">
      <c r="A64" s="276" t="s">
        <v>395</v>
      </c>
      <c r="B64" s="276" t="s">
        <v>396</v>
      </c>
      <c r="C64" s="277">
        <f>PrimeConsolidated!E71*100000</f>
        <v>0</v>
      </c>
      <c r="D64" s="277">
        <f>PrimeConsolidated!D71*100000</f>
        <v>0</v>
      </c>
      <c r="E64" s="277">
        <f>PrimeConsolidated!C71*100000</f>
        <v>0</v>
      </c>
      <c r="F64" s="277">
        <v>0</v>
      </c>
      <c r="G64" s="277">
        <v>0</v>
      </c>
    </row>
    <row r="65" spans="1:7">
      <c r="A65" s="276" t="s">
        <v>397</v>
      </c>
      <c r="B65" s="276" t="s">
        <v>398</v>
      </c>
      <c r="C65" s="277">
        <f>IF(BasicInput!C1="Prime",PrimeConsolidated!E72,AffordConsolidated!E73)*100000</f>
        <v>0</v>
      </c>
      <c r="D65" s="277">
        <f>IF(BasicInput!C1="Prime",PrimeConsolidated!D72,AffordConsolidated!D73)*100000</f>
        <v>0</v>
      </c>
      <c r="E65" s="277">
        <f>IF(BasicInput!C1="Prime",PrimeConsolidated!C72,AffordConsolidated!C73)*100000</f>
        <v>0</v>
      </c>
      <c r="F65" s="277">
        <v>0</v>
      </c>
      <c r="G65" s="277">
        <v>0</v>
      </c>
    </row>
    <row r="66" spans="1:7">
      <c r="A66" s="276" t="s">
        <v>399</v>
      </c>
      <c r="B66" s="276" t="s">
        <v>400</v>
      </c>
      <c r="C66" s="277">
        <f>PrimeConsolidated!E70*100000</f>
        <v>0</v>
      </c>
      <c r="D66" s="277">
        <f>PrimeConsolidated!D70*100000</f>
        <v>0</v>
      </c>
      <c r="E66" s="277">
        <f>PrimeConsolidated!C70*100000</f>
        <v>0</v>
      </c>
      <c r="F66" s="277">
        <v>0</v>
      </c>
      <c r="G66" s="277">
        <v>0</v>
      </c>
    </row>
    <row r="67" spans="1:7">
      <c r="A67" s="276" t="s">
        <v>401</v>
      </c>
      <c r="B67" s="276" t="s">
        <v>402</v>
      </c>
      <c r="C67" s="277">
        <v>0</v>
      </c>
      <c r="D67" s="277">
        <v>0</v>
      </c>
      <c r="E67" s="277">
        <v>0</v>
      </c>
      <c r="F67" s="277">
        <v>0</v>
      </c>
      <c r="G67" s="277">
        <v>0</v>
      </c>
    </row>
    <row r="68" spans="1:7">
      <c r="A68" s="276" t="s">
        <v>403</v>
      </c>
      <c r="B68" s="276" t="s">
        <v>404</v>
      </c>
      <c r="C68" s="277">
        <v>0</v>
      </c>
      <c r="D68" s="277">
        <v>0</v>
      </c>
      <c r="E68" s="277">
        <v>0</v>
      </c>
      <c r="F68" s="277">
        <v>0</v>
      </c>
      <c r="G68" s="277">
        <v>0</v>
      </c>
    </row>
    <row r="69" spans="1:7">
      <c r="A69" s="276" t="s">
        <v>405</v>
      </c>
      <c r="B69" s="276" t="s">
        <v>406</v>
      </c>
      <c r="C69" s="277">
        <v>0</v>
      </c>
      <c r="D69" s="277">
        <v>0</v>
      </c>
      <c r="E69" s="277">
        <v>0</v>
      </c>
      <c r="F69" s="277">
        <v>0</v>
      </c>
      <c r="G69" s="277">
        <v>0</v>
      </c>
    </row>
    <row r="70" spans="1:7">
      <c r="A70" s="276" t="s">
        <v>407</v>
      </c>
      <c r="B70" s="276" t="s">
        <v>408</v>
      </c>
      <c r="C70" s="277">
        <f>PrimeConsolidated!E78*100000</f>
        <v>0</v>
      </c>
      <c r="D70" s="277">
        <f>PrimeConsolidated!D78*100000</f>
        <v>0</v>
      </c>
      <c r="E70" s="277">
        <f>PrimeConsolidated!C78*100000</f>
        <v>0</v>
      </c>
      <c r="F70" s="277">
        <v>0</v>
      </c>
      <c r="G70" s="277">
        <v>0</v>
      </c>
    </row>
    <row r="71" spans="1:7">
      <c r="A71" s="276" t="s">
        <v>409</v>
      </c>
      <c r="B71" s="276" t="s">
        <v>410</v>
      </c>
      <c r="C71" s="277">
        <v>0</v>
      </c>
      <c r="D71" s="277">
        <v>0</v>
      </c>
      <c r="E71" s="277">
        <v>0</v>
      </c>
      <c r="F71" s="277">
        <v>0</v>
      </c>
      <c r="G71" s="277">
        <v>0</v>
      </c>
    </row>
    <row r="72" spans="1:7">
      <c r="A72" s="276" t="s">
        <v>411</v>
      </c>
      <c r="B72" s="276" t="s">
        <v>412</v>
      </c>
      <c r="C72" s="277">
        <f>IF(BasicInput!C1="Prime",PrimeConsolidated!E76,AffordConsolidated!E80)*100000</f>
        <v>0</v>
      </c>
      <c r="D72" s="277">
        <f>IF(BasicInput!C1="Prime",PrimeConsolidated!D76,AffordConsolidated!D80)*100000</f>
        <v>0</v>
      </c>
      <c r="E72" s="277">
        <f>IF(BasicInput!C1="Prime",PrimeConsolidated!C76,AffordConsolidated!C80)*100000</f>
        <v>0</v>
      </c>
      <c r="F72" s="277">
        <v>0</v>
      </c>
      <c r="G72" s="277">
        <v>0</v>
      </c>
    </row>
    <row r="73" spans="1:7">
      <c r="A73" s="276" t="s">
        <v>413</v>
      </c>
      <c r="B73" s="276" t="s">
        <v>414</v>
      </c>
      <c r="C73" s="277">
        <v>0</v>
      </c>
      <c r="D73" s="277">
        <v>0</v>
      </c>
      <c r="E73" s="277">
        <v>0</v>
      </c>
      <c r="F73" s="277">
        <v>0</v>
      </c>
      <c r="G73" s="277">
        <v>0</v>
      </c>
    </row>
    <row r="74" spans="1:7">
      <c r="A74" s="276" t="s">
        <v>415</v>
      </c>
      <c r="B74" s="276" t="s">
        <v>416</v>
      </c>
      <c r="C74" s="277">
        <v>0</v>
      </c>
      <c r="D74" s="277">
        <v>0</v>
      </c>
      <c r="E74" s="277">
        <v>0</v>
      </c>
      <c r="F74" s="277">
        <v>0</v>
      </c>
      <c r="G74" s="277">
        <v>0</v>
      </c>
    </row>
    <row r="75" spans="1:7">
      <c r="A75" s="276" t="s">
        <v>417</v>
      </c>
      <c r="B75" s="276" t="s">
        <v>418</v>
      </c>
      <c r="C75" s="277">
        <v>0</v>
      </c>
      <c r="D75" s="277">
        <v>0</v>
      </c>
      <c r="E75" s="277">
        <v>0</v>
      </c>
      <c r="F75" s="277">
        <v>0</v>
      </c>
      <c r="G75" s="277">
        <v>0</v>
      </c>
    </row>
    <row r="76" spans="1:7">
      <c r="A76" s="276" t="s">
        <v>419</v>
      </c>
      <c r="B76" s="276" t="s">
        <v>420</v>
      </c>
      <c r="C76" s="277">
        <v>0</v>
      </c>
      <c r="D76" s="277">
        <v>0</v>
      </c>
      <c r="E76" s="277">
        <v>0</v>
      </c>
      <c r="F76" s="277">
        <v>0</v>
      </c>
      <c r="G76" s="277">
        <v>0</v>
      </c>
    </row>
    <row r="77" spans="1:7">
      <c r="A77" s="276" t="s">
        <v>421</v>
      </c>
      <c r="B77" s="276" t="s">
        <v>422</v>
      </c>
      <c r="C77" s="277">
        <v>0</v>
      </c>
      <c r="D77" s="277">
        <v>0</v>
      </c>
      <c r="E77" s="277">
        <v>0</v>
      </c>
      <c r="F77" s="277">
        <v>0</v>
      </c>
      <c r="G77" s="277">
        <v>0</v>
      </c>
    </row>
    <row r="78" spans="1:7">
      <c r="A78" s="276" t="s">
        <v>423</v>
      </c>
      <c r="B78" s="276" t="s">
        <v>424</v>
      </c>
      <c r="C78" s="277">
        <v>0</v>
      </c>
      <c r="D78" s="277">
        <v>0</v>
      </c>
      <c r="E78" s="277">
        <v>0</v>
      </c>
      <c r="F78" s="277">
        <v>0</v>
      </c>
      <c r="G78" s="277">
        <v>0</v>
      </c>
    </row>
    <row r="79" spans="1:7">
      <c r="A79" s="276" t="s">
        <v>425</v>
      </c>
      <c r="B79" s="276" t="s">
        <v>426</v>
      </c>
      <c r="C79" s="277">
        <v>0</v>
      </c>
      <c r="D79" s="277">
        <v>0</v>
      </c>
      <c r="E79" s="277">
        <v>0</v>
      </c>
      <c r="F79" s="277">
        <v>0</v>
      </c>
      <c r="G79" s="277">
        <v>0</v>
      </c>
    </row>
    <row r="80" spans="1:7">
      <c r="A80" s="276" t="s">
        <v>427</v>
      </c>
      <c r="B80" s="276" t="s">
        <v>428</v>
      </c>
      <c r="C80" s="277">
        <v>0</v>
      </c>
      <c r="D80" s="277">
        <v>0</v>
      </c>
      <c r="E80" s="277">
        <v>0</v>
      </c>
      <c r="F80" s="277">
        <v>0</v>
      </c>
      <c r="G80" s="277">
        <v>0</v>
      </c>
    </row>
    <row r="81" spans="1:7">
      <c r="A81" s="276" t="s">
        <v>429</v>
      </c>
      <c r="B81" s="276" t="s">
        <v>430</v>
      </c>
      <c r="C81" s="277">
        <f>IF(BasicInput!C1="Prime",PrimeConsolidated!E65,AffordConsolidated!E67)*100000</f>
        <v>0</v>
      </c>
      <c r="D81" s="277">
        <f>IF(BasicInput!C1="Prime",PrimeConsolidated!D65,AffordConsolidated!D67)*100000</f>
        <v>0</v>
      </c>
      <c r="E81" s="277">
        <f>IF(BasicInput!C1="Prime",PrimeConsolidated!C65,AffordConsolidated!C67)*100000</f>
        <v>0</v>
      </c>
      <c r="F81" s="277">
        <v>0</v>
      </c>
      <c r="G81" s="277">
        <v>0</v>
      </c>
    </row>
    <row r="82" spans="1:7">
      <c r="A82" s="276" t="s">
        <v>431</v>
      </c>
      <c r="B82" s="276" t="s">
        <v>432</v>
      </c>
      <c r="C82" s="277">
        <f>AffordConsolidated!E68*100000</f>
        <v>0</v>
      </c>
      <c r="D82" s="277">
        <f>AffordConsolidated!D68*100000</f>
        <v>0</v>
      </c>
      <c r="E82" s="277">
        <f>AffordConsolidated!C68*100000</f>
        <v>0</v>
      </c>
      <c r="F82" s="277">
        <v>0</v>
      </c>
      <c r="G82" s="277">
        <v>0</v>
      </c>
    </row>
    <row r="83" spans="1:7">
      <c r="A83" s="276" t="s">
        <v>433</v>
      </c>
      <c r="B83" s="276" t="s">
        <v>434</v>
      </c>
      <c r="C83" s="277">
        <v>0</v>
      </c>
      <c r="D83" s="277">
        <v>0</v>
      </c>
      <c r="E83" s="277">
        <v>0</v>
      </c>
      <c r="F83" s="277">
        <v>0</v>
      </c>
      <c r="G83" s="277">
        <v>0</v>
      </c>
    </row>
    <row r="84" spans="1:7">
      <c r="A84" s="276" t="s">
        <v>435</v>
      </c>
      <c r="B84" s="276" t="s">
        <v>436</v>
      </c>
      <c r="C84" s="277">
        <f>IF(BasicInput!C1="Prime",PrimeConsolidated!E58,AffordConsolidated!E79)*100000</f>
        <v>0</v>
      </c>
      <c r="D84" s="277">
        <f>IF(BasicInput!C1="Prime",PrimeConsolidated!D58,AffordConsolidated!D79)*100000</f>
        <v>0</v>
      </c>
      <c r="E84" s="277">
        <f>IF(BasicInput!C1="Prime",PrimeConsolidated!C58,AffordConsolidated!C79)*100000</f>
        <v>0</v>
      </c>
      <c r="F84" s="277">
        <v>0</v>
      </c>
      <c r="G84" s="277">
        <v>0</v>
      </c>
    </row>
    <row r="85" spans="1:7">
      <c r="A85" s="276" t="s">
        <v>437</v>
      </c>
      <c r="B85" s="276" t="s">
        <v>438</v>
      </c>
      <c r="C85" s="277">
        <v>0</v>
      </c>
      <c r="D85" s="277">
        <v>0</v>
      </c>
      <c r="E85" s="277">
        <v>0</v>
      </c>
      <c r="F85" s="277">
        <v>0</v>
      </c>
      <c r="G85" s="277">
        <v>0</v>
      </c>
    </row>
    <row r="86" spans="1:7">
      <c r="A86" s="276" t="s">
        <v>439</v>
      </c>
      <c r="B86" s="276" t="s">
        <v>440</v>
      </c>
      <c r="C86" s="277">
        <v>0</v>
      </c>
      <c r="D86" s="277">
        <v>0</v>
      </c>
      <c r="E86" s="277">
        <v>0</v>
      </c>
      <c r="F86" s="277">
        <v>0</v>
      </c>
      <c r="G86" s="277">
        <v>0</v>
      </c>
    </row>
    <row r="87" spans="1:7">
      <c r="A87" s="276" t="s">
        <v>441</v>
      </c>
      <c r="B87" s="276" t="s">
        <v>442</v>
      </c>
      <c r="C87" s="277">
        <v>0</v>
      </c>
      <c r="D87" s="277">
        <v>0</v>
      </c>
      <c r="E87" s="277">
        <v>0</v>
      </c>
      <c r="F87" s="277">
        <v>0</v>
      </c>
      <c r="G87" s="277">
        <v>0</v>
      </c>
    </row>
    <row r="88" spans="1:7">
      <c r="A88" s="276" t="s">
        <v>443</v>
      </c>
      <c r="B88" s="276" t="s">
        <v>444</v>
      </c>
      <c r="C88" s="277">
        <v>0</v>
      </c>
      <c r="D88" s="277">
        <v>0</v>
      </c>
      <c r="E88" s="277">
        <v>0</v>
      </c>
      <c r="F88" s="277">
        <v>0</v>
      </c>
      <c r="G88" s="277">
        <v>0</v>
      </c>
    </row>
    <row r="89" spans="1:7">
      <c r="A89" s="276" t="s">
        <v>445</v>
      </c>
      <c r="B89" s="276" t="s">
        <v>446</v>
      </c>
      <c r="C89" s="277">
        <f>IF(BasicInput!C1="Prime",PrimeConsolidated!E75,AffordConsolidated!E75)*100000</f>
        <v>0</v>
      </c>
      <c r="D89" s="277">
        <f>IF(BasicInput!C1="Prime",PrimeConsolidated!D75,AffordConsolidated!D75)*100000</f>
        <v>0</v>
      </c>
      <c r="E89" s="277">
        <f>IF(BasicInput!C1="Prime",PrimeConsolidated!C75,AffordConsolidated!C75)*100000</f>
        <v>0</v>
      </c>
      <c r="F89" s="277">
        <v>0</v>
      </c>
      <c r="G89" s="277">
        <v>0</v>
      </c>
    </row>
    <row r="90" spans="1:7">
      <c r="A90" s="276" t="s">
        <v>447</v>
      </c>
      <c r="B90" s="276" t="s">
        <v>448</v>
      </c>
      <c r="C90" s="277">
        <v>0</v>
      </c>
      <c r="D90" s="277">
        <v>0</v>
      </c>
      <c r="E90" s="277">
        <v>0</v>
      </c>
      <c r="F90" s="277">
        <v>0</v>
      </c>
      <c r="G90" s="277">
        <v>0</v>
      </c>
    </row>
    <row r="91" spans="1:7">
      <c r="A91" s="276" t="s">
        <v>449</v>
      </c>
      <c r="B91" s="276" t="s">
        <v>450</v>
      </c>
      <c r="C91" s="277">
        <f>AffordConsolidated!E69*100000</f>
        <v>0</v>
      </c>
      <c r="D91" s="277">
        <f>AffordConsolidated!D69*100000</f>
        <v>0</v>
      </c>
      <c r="E91" s="277">
        <f>AffordConsolidated!C69*100000</f>
        <v>0</v>
      </c>
      <c r="F91" s="277">
        <v>0</v>
      </c>
      <c r="G91" s="277">
        <v>0</v>
      </c>
    </row>
    <row r="92" spans="1:7">
      <c r="A92" s="276" t="s">
        <v>451</v>
      </c>
      <c r="B92" s="276" t="s">
        <v>452</v>
      </c>
      <c r="C92" s="277">
        <v>0</v>
      </c>
      <c r="D92" s="277">
        <v>0</v>
      </c>
      <c r="E92" s="277">
        <v>0</v>
      </c>
      <c r="F92" s="277">
        <v>0</v>
      </c>
      <c r="G92" s="277">
        <v>0</v>
      </c>
    </row>
    <row r="93" spans="1:7">
      <c r="A93" s="276" t="s">
        <v>453</v>
      </c>
      <c r="B93" s="276" t="s">
        <v>454</v>
      </c>
      <c r="C93" s="277">
        <f>IF(BasicInput!C1="Prime",PrimeConsolidated!E55,AffordConsolidated!E47)*100000</f>
        <v>0</v>
      </c>
      <c r="D93" s="277">
        <f>IF(BasicInput!C1="Prime",PrimeConsolidated!D55,AffordConsolidated!D47)*100000</f>
        <v>0</v>
      </c>
      <c r="E93" s="277">
        <f>IF(BasicInput!C1="Prime",PrimeConsolidated!C55,AffordConsolidated!C47)*100000</f>
        <v>0</v>
      </c>
      <c r="F93" s="277">
        <v>0</v>
      </c>
      <c r="G93" s="277">
        <v>0</v>
      </c>
    </row>
    <row r="94" spans="1:7">
      <c r="A94" s="276" t="s">
        <v>455</v>
      </c>
      <c r="B94" s="276" t="s">
        <v>456</v>
      </c>
      <c r="C94" s="277">
        <f>IF(BasicInput!C1="Prime",PrimeConsolidated!E90,AffordConsolidated!E72)*100000</f>
        <v>0</v>
      </c>
      <c r="D94" s="277">
        <f>IF(BasicInput!C1="Prime",PrimeConsolidated!D90,AffordConsolidated!D72)*100000</f>
        <v>0</v>
      </c>
      <c r="E94" s="277">
        <f>IF(BasicInput!C1="Prime",PrimeConsolidated!C90,AffordConsolidated!C72)*100000</f>
        <v>0</v>
      </c>
      <c r="F94" s="277">
        <v>0</v>
      </c>
      <c r="G94" s="277">
        <v>0</v>
      </c>
    </row>
  </sheetData>
  <sheetProtection algorithmName="SHA-512" hashValue="fqmICE4/OxoCXziRzSp4f2JIxRUy8dvHMV/36m6534TD9w6bC0/koQwwFMmmTUVVVBCWhe2CfrqNYm9HhyGSMg==" saltValue="dNFV/n71qq10G6l3NFTtaQ==" spinCount="100000" sheet="1" formatCells="0" formatColumns="0" formatRows="0" autoFilter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E125"/>
  <sheetViews>
    <sheetView workbookViewId="0">
      <selection activeCell="B1" sqref="B1:D2"/>
    </sheetView>
  </sheetViews>
  <sheetFormatPr defaultColWidth="0" defaultRowHeight="12.75" zeroHeight="1"/>
  <cols>
    <col min="1" max="1" width="37.28515625" style="1" customWidth="1"/>
    <col min="2" max="2" width="17.42578125" style="1" customWidth="1"/>
    <col min="3" max="4" width="16.140625" style="1" customWidth="1"/>
    <col min="5" max="5" width="9.140625" style="44" customWidth="1"/>
    <col min="6" max="16384" width="9.140625" style="1" hidden="1"/>
  </cols>
  <sheetData>
    <row r="1" spans="1:4">
      <c r="A1" s="171" t="s">
        <v>457</v>
      </c>
      <c r="B1" s="420"/>
      <c r="C1" s="420"/>
      <c r="D1" s="420"/>
    </row>
    <row r="2" spans="1:4">
      <c r="A2" s="171" t="s">
        <v>458</v>
      </c>
      <c r="B2" s="420"/>
      <c r="C2" s="420"/>
      <c r="D2" s="420"/>
    </row>
    <row r="3" spans="1:4"/>
    <row r="4" spans="1:4">
      <c r="A4" s="421" t="s">
        <v>58</v>
      </c>
      <c r="B4" s="421" t="s">
        <v>459</v>
      </c>
      <c r="C4" s="421"/>
      <c r="D4" s="421"/>
    </row>
    <row r="5" spans="1:4">
      <c r="A5" s="421"/>
      <c r="B5" s="21" t="s">
        <v>460</v>
      </c>
      <c r="C5" s="21" t="s">
        <v>461</v>
      </c>
      <c r="D5" s="21" t="s">
        <v>462</v>
      </c>
    </row>
    <row r="6" spans="1:4">
      <c r="A6" s="272" t="s">
        <v>463</v>
      </c>
      <c r="B6" s="184"/>
      <c r="C6" s="184"/>
      <c r="D6" s="184"/>
    </row>
    <row r="7" spans="1:4">
      <c r="A7" s="272" t="s">
        <v>464</v>
      </c>
      <c r="B7" s="273"/>
      <c r="C7" s="273"/>
      <c r="D7" s="273"/>
    </row>
    <row r="8" spans="1:4">
      <c r="A8" s="3" t="s">
        <v>465</v>
      </c>
      <c r="B8" s="196"/>
      <c r="C8" s="196"/>
      <c r="D8" s="196"/>
    </row>
    <row r="9" spans="1:4">
      <c r="A9" s="3" t="s">
        <v>466</v>
      </c>
      <c r="B9" s="196"/>
      <c r="C9" s="196"/>
      <c r="D9" s="196"/>
    </row>
    <row r="10" spans="1:4">
      <c r="A10" s="3" t="s">
        <v>467</v>
      </c>
      <c r="B10" s="196">
        <v>0</v>
      </c>
      <c r="C10" s="196">
        <v>0</v>
      </c>
      <c r="D10" s="196"/>
    </row>
    <row r="11" spans="1:4">
      <c r="A11" s="3" t="s">
        <v>468</v>
      </c>
      <c r="B11" s="196">
        <v>0</v>
      </c>
      <c r="C11" s="196">
        <v>0</v>
      </c>
      <c r="D11" s="196"/>
    </row>
    <row r="12" spans="1:4">
      <c r="A12" s="3" t="s">
        <v>469</v>
      </c>
      <c r="B12" s="196">
        <v>0</v>
      </c>
      <c r="C12" s="196">
        <v>0</v>
      </c>
      <c r="D12" s="196"/>
    </row>
    <row r="13" spans="1:4">
      <c r="A13" s="3" t="s">
        <v>470</v>
      </c>
      <c r="B13" s="196">
        <v>0</v>
      </c>
      <c r="C13" s="196">
        <v>0</v>
      </c>
      <c r="D13" s="196"/>
    </row>
    <row r="14" spans="1:4">
      <c r="A14" s="143" t="s">
        <v>471</v>
      </c>
      <c r="B14" s="197">
        <f>B8+B10+B12</f>
        <v>0</v>
      </c>
      <c r="C14" s="197">
        <f t="shared" ref="C14:D14" si="0">C8+C10+C12</f>
        <v>0</v>
      </c>
      <c r="D14" s="197">
        <f t="shared" si="0"/>
        <v>0</v>
      </c>
    </row>
    <row r="15" spans="1:4">
      <c r="A15" s="143" t="s">
        <v>472</v>
      </c>
      <c r="B15" s="197">
        <f>B9+B11+B13</f>
        <v>0</v>
      </c>
      <c r="C15" s="197">
        <f t="shared" ref="C15:D15" si="1">C9+C11+C13</f>
        <v>0</v>
      </c>
      <c r="D15" s="197">
        <f t="shared" si="1"/>
        <v>0</v>
      </c>
    </row>
    <row r="16" spans="1:4">
      <c r="A16" s="3" t="s">
        <v>473</v>
      </c>
      <c r="B16" s="196"/>
      <c r="C16" s="196"/>
      <c r="D16" s="196"/>
    </row>
    <row r="17" spans="1:4">
      <c r="A17" s="143" t="s">
        <v>474</v>
      </c>
      <c r="B17" s="197">
        <f>B15-B16</f>
        <v>0</v>
      </c>
      <c r="C17" s="197">
        <f t="shared" ref="C17:D17" si="2">C15-C16</f>
        <v>0</v>
      </c>
      <c r="D17" s="197">
        <f t="shared" si="2"/>
        <v>0</v>
      </c>
    </row>
    <row r="18" spans="1:4"/>
    <row r="19" spans="1:4"/>
    <row r="20" spans="1:4"/>
    <row r="21" spans="1:4"/>
    <row r="22" spans="1:4">
      <c r="A22" s="171" t="s">
        <v>457</v>
      </c>
      <c r="B22" s="420"/>
      <c r="C22" s="420"/>
      <c r="D22" s="420"/>
    </row>
    <row r="23" spans="1:4">
      <c r="A23" s="171" t="s">
        <v>458</v>
      </c>
      <c r="B23" s="420"/>
      <c r="C23" s="420"/>
      <c r="D23" s="420"/>
    </row>
    <row r="24" spans="1:4"/>
    <row r="25" spans="1:4">
      <c r="A25" s="421" t="s">
        <v>58</v>
      </c>
      <c r="B25" s="421" t="s">
        <v>459</v>
      </c>
      <c r="C25" s="421"/>
      <c r="D25" s="421"/>
    </row>
    <row r="26" spans="1:4">
      <c r="A26" s="421"/>
      <c r="B26" s="21" t="s">
        <v>460</v>
      </c>
      <c r="C26" s="21" t="s">
        <v>461</v>
      </c>
      <c r="D26" s="21" t="s">
        <v>462</v>
      </c>
    </row>
    <row r="27" spans="1:4">
      <c r="A27" s="272" t="s">
        <v>463</v>
      </c>
      <c r="B27" s="184"/>
      <c r="C27" s="184"/>
      <c r="D27" s="184"/>
    </row>
    <row r="28" spans="1:4">
      <c r="A28" s="272" t="s">
        <v>464</v>
      </c>
      <c r="B28" s="273"/>
      <c r="C28" s="273"/>
      <c r="D28" s="273"/>
    </row>
    <row r="29" spans="1:4">
      <c r="A29" s="3" t="s">
        <v>465</v>
      </c>
      <c r="B29" s="196"/>
      <c r="C29" s="196"/>
      <c r="D29" s="196"/>
    </row>
    <row r="30" spans="1:4">
      <c r="A30" s="3" t="s">
        <v>466</v>
      </c>
      <c r="B30" s="196"/>
      <c r="C30" s="196"/>
      <c r="D30" s="196"/>
    </row>
    <row r="31" spans="1:4">
      <c r="A31" s="3" t="s">
        <v>467</v>
      </c>
      <c r="B31" s="196"/>
      <c r="C31" s="196"/>
      <c r="D31" s="196"/>
    </row>
    <row r="32" spans="1:4">
      <c r="A32" s="3" t="s">
        <v>468</v>
      </c>
      <c r="B32" s="196"/>
      <c r="C32" s="196"/>
      <c r="D32" s="196"/>
    </row>
    <row r="33" spans="1:4">
      <c r="A33" s="3" t="s">
        <v>469</v>
      </c>
      <c r="B33" s="196"/>
      <c r="C33" s="196"/>
      <c r="D33" s="196"/>
    </row>
    <row r="34" spans="1:4">
      <c r="A34" s="3" t="s">
        <v>470</v>
      </c>
      <c r="B34" s="196"/>
      <c r="C34" s="196"/>
      <c r="D34" s="196"/>
    </row>
    <row r="35" spans="1:4">
      <c r="A35" s="143" t="s">
        <v>471</v>
      </c>
      <c r="B35" s="197">
        <f>B29+B31+B33</f>
        <v>0</v>
      </c>
      <c r="C35" s="197">
        <f t="shared" ref="C35:D35" si="3">C29+C31+C33</f>
        <v>0</v>
      </c>
      <c r="D35" s="197">
        <f t="shared" si="3"/>
        <v>0</v>
      </c>
    </row>
    <row r="36" spans="1:4">
      <c r="A36" s="143" t="s">
        <v>472</v>
      </c>
      <c r="B36" s="197">
        <f>B30+B32+B34</f>
        <v>0</v>
      </c>
      <c r="C36" s="197">
        <f t="shared" ref="C36:D36" si="4">C30+C32+C34</f>
        <v>0</v>
      </c>
      <c r="D36" s="197">
        <f t="shared" si="4"/>
        <v>0</v>
      </c>
    </row>
    <row r="37" spans="1:4">
      <c r="A37" s="3" t="s">
        <v>473</v>
      </c>
      <c r="B37" s="196"/>
      <c r="C37" s="196"/>
      <c r="D37" s="196"/>
    </row>
    <row r="38" spans="1:4">
      <c r="A38" s="143" t="s">
        <v>474</v>
      </c>
      <c r="B38" s="197">
        <f>B36-B37</f>
        <v>0</v>
      </c>
      <c r="C38" s="197">
        <f t="shared" ref="C38" si="5">C36-C37</f>
        <v>0</v>
      </c>
      <c r="D38" s="197">
        <f t="shared" ref="D38" si="6">D36-D37</f>
        <v>0</v>
      </c>
    </row>
    <row r="39" spans="1:4"/>
    <row r="40" spans="1:4"/>
    <row r="41" spans="1:4"/>
    <row r="42" spans="1:4"/>
    <row r="43" spans="1:4">
      <c r="A43" s="171" t="s">
        <v>457</v>
      </c>
      <c r="B43" s="420"/>
      <c r="C43" s="420"/>
      <c r="D43" s="420"/>
    </row>
    <row r="44" spans="1:4">
      <c r="A44" s="171" t="s">
        <v>458</v>
      </c>
      <c r="B44" s="420"/>
      <c r="C44" s="420"/>
      <c r="D44" s="420"/>
    </row>
    <row r="45" spans="1:4"/>
    <row r="46" spans="1:4">
      <c r="A46" s="421" t="s">
        <v>58</v>
      </c>
      <c r="B46" s="421" t="s">
        <v>459</v>
      </c>
      <c r="C46" s="421"/>
      <c r="D46" s="421"/>
    </row>
    <row r="47" spans="1:4">
      <c r="A47" s="421"/>
      <c r="B47" s="21" t="s">
        <v>475</v>
      </c>
      <c r="C47" s="21" t="s">
        <v>476</v>
      </c>
      <c r="D47" s="21" t="s">
        <v>477</v>
      </c>
    </row>
    <row r="48" spans="1:4">
      <c r="A48" s="272" t="s">
        <v>463</v>
      </c>
      <c r="B48" s="184"/>
      <c r="C48" s="184"/>
      <c r="D48" s="184"/>
    </row>
    <row r="49" spans="1:4">
      <c r="A49" s="272" t="s">
        <v>464</v>
      </c>
      <c r="B49" s="273"/>
      <c r="C49" s="273"/>
      <c r="D49" s="273"/>
    </row>
    <row r="50" spans="1:4">
      <c r="A50" s="3" t="s">
        <v>465</v>
      </c>
      <c r="B50" s="196"/>
      <c r="C50" s="196"/>
      <c r="D50" s="196"/>
    </row>
    <row r="51" spans="1:4">
      <c r="A51" s="3" t="s">
        <v>466</v>
      </c>
      <c r="B51" s="196"/>
      <c r="C51" s="196"/>
      <c r="D51" s="196"/>
    </row>
    <row r="52" spans="1:4">
      <c r="A52" s="3" t="s">
        <v>467</v>
      </c>
      <c r="B52" s="196"/>
      <c r="C52" s="196"/>
      <c r="D52" s="196"/>
    </row>
    <row r="53" spans="1:4">
      <c r="A53" s="3" t="s">
        <v>468</v>
      </c>
      <c r="B53" s="196"/>
      <c r="C53" s="196"/>
      <c r="D53" s="196"/>
    </row>
    <row r="54" spans="1:4">
      <c r="A54" s="3" t="s">
        <v>469</v>
      </c>
      <c r="B54" s="196"/>
      <c r="C54" s="196"/>
      <c r="D54" s="196"/>
    </row>
    <row r="55" spans="1:4">
      <c r="A55" s="3" t="s">
        <v>470</v>
      </c>
      <c r="B55" s="196"/>
      <c r="C55" s="196"/>
      <c r="D55" s="196"/>
    </row>
    <row r="56" spans="1:4">
      <c r="A56" s="143" t="s">
        <v>471</v>
      </c>
      <c r="B56" s="197">
        <f>B50+B52+B54</f>
        <v>0</v>
      </c>
      <c r="C56" s="197">
        <f t="shared" ref="C56:D56" si="7">C50+C52+C54</f>
        <v>0</v>
      </c>
      <c r="D56" s="197">
        <f t="shared" si="7"/>
        <v>0</v>
      </c>
    </row>
    <row r="57" spans="1:4">
      <c r="A57" s="143" t="s">
        <v>472</v>
      </c>
      <c r="B57" s="197">
        <f>B51+B53+B55</f>
        <v>0</v>
      </c>
      <c r="C57" s="197">
        <f t="shared" ref="C57:D57" si="8">C51+C53+C55</f>
        <v>0</v>
      </c>
      <c r="D57" s="197">
        <f t="shared" si="8"/>
        <v>0</v>
      </c>
    </row>
    <row r="58" spans="1:4">
      <c r="A58" s="3" t="s">
        <v>473</v>
      </c>
      <c r="B58" s="196"/>
      <c r="C58" s="196"/>
      <c r="D58" s="196"/>
    </row>
    <row r="59" spans="1:4">
      <c r="A59" s="143" t="s">
        <v>474</v>
      </c>
      <c r="B59" s="197">
        <f>B57-B58</f>
        <v>0</v>
      </c>
      <c r="C59" s="197">
        <f t="shared" ref="C59" si="9">C57-C58</f>
        <v>0</v>
      </c>
      <c r="D59" s="197">
        <f t="shared" ref="D59" si="10">D57-D58</f>
        <v>0</v>
      </c>
    </row>
    <row r="60" spans="1:4"/>
    <row r="61" spans="1:4"/>
    <row r="62" spans="1:4"/>
    <row r="63" spans="1:4"/>
    <row r="64" spans="1:4">
      <c r="A64" s="171" t="s">
        <v>457</v>
      </c>
      <c r="B64" s="420"/>
      <c r="C64" s="420"/>
      <c r="D64" s="420"/>
    </row>
    <row r="65" spans="1:4">
      <c r="A65" s="171" t="s">
        <v>458</v>
      </c>
      <c r="B65" s="420"/>
      <c r="C65" s="420"/>
      <c r="D65" s="420"/>
    </row>
    <row r="66" spans="1:4"/>
    <row r="67" spans="1:4">
      <c r="A67" s="421" t="s">
        <v>58</v>
      </c>
      <c r="B67" s="421" t="s">
        <v>459</v>
      </c>
      <c r="C67" s="421"/>
      <c r="D67" s="421"/>
    </row>
    <row r="68" spans="1:4">
      <c r="A68" s="421"/>
      <c r="B68" s="21" t="s">
        <v>475</v>
      </c>
      <c r="C68" s="21" t="s">
        <v>476</v>
      </c>
      <c r="D68" s="21" t="s">
        <v>477</v>
      </c>
    </row>
    <row r="69" spans="1:4">
      <c r="A69" s="272" t="s">
        <v>463</v>
      </c>
      <c r="B69" s="184"/>
      <c r="C69" s="184"/>
      <c r="D69" s="184"/>
    </row>
    <row r="70" spans="1:4">
      <c r="A70" s="272" t="s">
        <v>464</v>
      </c>
      <c r="B70" s="273"/>
      <c r="C70" s="273"/>
      <c r="D70" s="273"/>
    </row>
    <row r="71" spans="1:4">
      <c r="A71" s="3" t="s">
        <v>465</v>
      </c>
      <c r="B71" s="196"/>
      <c r="C71" s="196"/>
      <c r="D71" s="196"/>
    </row>
    <row r="72" spans="1:4">
      <c r="A72" s="3" t="s">
        <v>466</v>
      </c>
      <c r="B72" s="196"/>
      <c r="C72" s="196"/>
      <c r="D72" s="196"/>
    </row>
    <row r="73" spans="1:4">
      <c r="A73" s="3" t="s">
        <v>467</v>
      </c>
      <c r="B73" s="196"/>
      <c r="C73" s="196"/>
      <c r="D73" s="196"/>
    </row>
    <row r="74" spans="1:4">
      <c r="A74" s="3" t="s">
        <v>468</v>
      </c>
      <c r="B74" s="196"/>
      <c r="C74" s="196"/>
      <c r="D74" s="196"/>
    </row>
    <row r="75" spans="1:4">
      <c r="A75" s="3" t="s">
        <v>469</v>
      </c>
      <c r="B75" s="196"/>
      <c r="C75" s="196"/>
      <c r="D75" s="196"/>
    </row>
    <row r="76" spans="1:4">
      <c r="A76" s="3" t="s">
        <v>470</v>
      </c>
      <c r="B76" s="196"/>
      <c r="C76" s="196"/>
      <c r="D76" s="196"/>
    </row>
    <row r="77" spans="1:4">
      <c r="A77" s="143" t="s">
        <v>471</v>
      </c>
      <c r="B77" s="197">
        <f>B71+B73+B75</f>
        <v>0</v>
      </c>
      <c r="C77" s="197">
        <f t="shared" ref="C77:D77" si="11">C71+C73+C75</f>
        <v>0</v>
      </c>
      <c r="D77" s="197">
        <f t="shared" si="11"/>
        <v>0</v>
      </c>
    </row>
    <row r="78" spans="1:4">
      <c r="A78" s="143" t="s">
        <v>472</v>
      </c>
      <c r="B78" s="197">
        <f>B72+B74+B76</f>
        <v>0</v>
      </c>
      <c r="C78" s="197">
        <f t="shared" ref="C78:D78" si="12">C72+C74+C76</f>
        <v>0</v>
      </c>
      <c r="D78" s="197">
        <f t="shared" si="12"/>
        <v>0</v>
      </c>
    </row>
    <row r="79" spans="1:4">
      <c r="A79" s="3" t="s">
        <v>473</v>
      </c>
      <c r="B79" s="196"/>
      <c r="C79" s="196"/>
      <c r="D79" s="196"/>
    </row>
    <row r="80" spans="1:4">
      <c r="A80" s="143" t="s">
        <v>474</v>
      </c>
      <c r="B80" s="197">
        <f>B78-B79</f>
        <v>0</v>
      </c>
      <c r="C80" s="197">
        <f t="shared" ref="C80" si="13">C78-C79</f>
        <v>0</v>
      </c>
      <c r="D80" s="197">
        <f t="shared" ref="D80" si="14">D78-D79</f>
        <v>0</v>
      </c>
    </row>
    <row r="81" spans="1:4"/>
    <row r="82" spans="1:4"/>
    <row r="83" spans="1:4"/>
    <row r="84" spans="1:4"/>
    <row r="85" spans="1:4">
      <c r="A85" s="171" t="s">
        <v>457</v>
      </c>
      <c r="B85" s="420"/>
      <c r="C85" s="420"/>
      <c r="D85" s="420"/>
    </row>
    <row r="86" spans="1:4">
      <c r="A86" s="171" t="s">
        <v>458</v>
      </c>
      <c r="B86" s="420"/>
      <c r="C86" s="420"/>
      <c r="D86" s="420"/>
    </row>
    <row r="87" spans="1:4"/>
    <row r="88" spans="1:4">
      <c r="A88" s="421" t="s">
        <v>58</v>
      </c>
      <c r="B88" s="421" t="s">
        <v>459</v>
      </c>
      <c r="C88" s="421"/>
      <c r="D88" s="421"/>
    </row>
    <row r="89" spans="1:4">
      <c r="A89" s="421"/>
      <c r="B89" s="21" t="s">
        <v>475</v>
      </c>
      <c r="C89" s="21" t="s">
        <v>476</v>
      </c>
      <c r="D89" s="21" t="s">
        <v>477</v>
      </c>
    </row>
    <row r="90" spans="1:4">
      <c r="A90" s="272" t="s">
        <v>463</v>
      </c>
      <c r="B90" s="184"/>
      <c r="C90" s="184"/>
      <c r="D90" s="184"/>
    </row>
    <row r="91" spans="1:4">
      <c r="A91" s="272" t="s">
        <v>464</v>
      </c>
      <c r="B91" s="273"/>
      <c r="C91" s="273"/>
      <c r="D91" s="273"/>
    </row>
    <row r="92" spans="1:4">
      <c r="A92" s="3" t="s">
        <v>465</v>
      </c>
      <c r="B92" s="196"/>
      <c r="C92" s="196"/>
      <c r="D92" s="196"/>
    </row>
    <row r="93" spans="1:4">
      <c r="A93" s="3" t="s">
        <v>466</v>
      </c>
      <c r="B93" s="196"/>
      <c r="C93" s="196"/>
      <c r="D93" s="196"/>
    </row>
    <row r="94" spans="1:4">
      <c r="A94" s="3" t="s">
        <v>467</v>
      </c>
      <c r="B94" s="196"/>
      <c r="C94" s="196"/>
      <c r="D94" s="196"/>
    </row>
    <row r="95" spans="1:4">
      <c r="A95" s="3" t="s">
        <v>468</v>
      </c>
      <c r="B95" s="196"/>
      <c r="C95" s="196"/>
      <c r="D95" s="196"/>
    </row>
    <row r="96" spans="1:4">
      <c r="A96" s="3" t="s">
        <v>469</v>
      </c>
      <c r="B96" s="196"/>
      <c r="C96" s="196"/>
      <c r="D96" s="196"/>
    </row>
    <row r="97" spans="1:4">
      <c r="A97" s="3" t="s">
        <v>470</v>
      </c>
      <c r="B97" s="196"/>
      <c r="C97" s="196"/>
      <c r="D97" s="196"/>
    </row>
    <row r="98" spans="1:4">
      <c r="A98" s="143" t="s">
        <v>471</v>
      </c>
      <c r="B98" s="197">
        <f>B92+B94+B96</f>
        <v>0</v>
      </c>
      <c r="C98" s="197">
        <f t="shared" ref="C98:D98" si="15">C92+C94+C96</f>
        <v>0</v>
      </c>
      <c r="D98" s="197">
        <f t="shared" si="15"/>
        <v>0</v>
      </c>
    </row>
    <row r="99" spans="1:4">
      <c r="A99" s="143" t="s">
        <v>472</v>
      </c>
      <c r="B99" s="197">
        <f>B93+B95+B97</f>
        <v>0</v>
      </c>
      <c r="C99" s="197">
        <f t="shared" ref="C99:D99" si="16">C93+C95+C97</f>
        <v>0</v>
      </c>
      <c r="D99" s="197">
        <f t="shared" si="16"/>
        <v>0</v>
      </c>
    </row>
    <row r="100" spans="1:4">
      <c r="A100" s="3" t="s">
        <v>473</v>
      </c>
      <c r="B100" s="196"/>
      <c r="C100" s="196"/>
      <c r="D100" s="196"/>
    </row>
    <row r="101" spans="1:4">
      <c r="A101" s="143" t="s">
        <v>474</v>
      </c>
      <c r="B101" s="197">
        <f>B99-B100</f>
        <v>0</v>
      </c>
      <c r="C101" s="197">
        <f t="shared" ref="C101" si="17">C99-C100</f>
        <v>0</v>
      </c>
      <c r="D101" s="197">
        <f t="shared" ref="D101" si="18">D99-D100</f>
        <v>0</v>
      </c>
    </row>
    <row r="102" spans="1:4"/>
    <row r="103" spans="1:4"/>
    <row r="104" spans="1:4"/>
    <row r="105" spans="1:4"/>
    <row r="106" spans="1:4"/>
    <row r="107" spans="1:4">
      <c r="A107" s="422" t="s">
        <v>478</v>
      </c>
      <c r="B107" s="422"/>
      <c r="C107" s="422"/>
      <c r="D107" s="422"/>
    </row>
    <row r="108" spans="1:4">
      <c r="A108" s="421" t="s">
        <v>58</v>
      </c>
      <c r="B108" s="421" t="s">
        <v>459</v>
      </c>
      <c r="C108" s="421"/>
      <c r="D108" s="421"/>
    </row>
    <row r="109" spans="1:4">
      <c r="A109" s="421"/>
      <c r="B109" s="10" t="str">
        <f>$B$5</f>
        <v>2023-24</v>
      </c>
      <c r="C109" s="10" t="str">
        <f>$C$5</f>
        <v>2022-23</v>
      </c>
      <c r="D109" s="10" t="str">
        <f>$D$5</f>
        <v>2021-22</v>
      </c>
    </row>
    <row r="110" spans="1:4">
      <c r="A110" s="3" t="s">
        <v>465</v>
      </c>
      <c r="B110" s="274">
        <f>B8+B29+B50+B71+B92</f>
        <v>0</v>
      </c>
      <c r="C110" s="274">
        <f t="shared" ref="C110:D110" si="19">C8+C29+C50+C71+C92</f>
        <v>0</v>
      </c>
      <c r="D110" s="274">
        <f t="shared" si="19"/>
        <v>0</v>
      </c>
    </row>
    <row r="111" spans="1:4">
      <c r="A111" s="3" t="s">
        <v>466</v>
      </c>
      <c r="B111" s="274">
        <f t="shared" ref="B111:D111" si="20">B9+B30+B51+B72+B93</f>
        <v>0</v>
      </c>
      <c r="C111" s="274">
        <f t="shared" si="20"/>
        <v>0</v>
      </c>
      <c r="D111" s="274">
        <f t="shared" si="20"/>
        <v>0</v>
      </c>
    </row>
    <row r="112" spans="1:4">
      <c r="A112" s="3" t="s">
        <v>467</v>
      </c>
      <c r="B112" s="274">
        <f t="shared" ref="B112:D112" si="21">B10+B31+B52+B73+B94</f>
        <v>0</v>
      </c>
      <c r="C112" s="274">
        <f t="shared" si="21"/>
        <v>0</v>
      </c>
      <c r="D112" s="274">
        <f t="shared" si="21"/>
        <v>0</v>
      </c>
    </row>
    <row r="113" spans="1:4">
      <c r="A113" s="3" t="s">
        <v>468</v>
      </c>
      <c r="B113" s="274">
        <f t="shared" ref="B113:D113" si="22">B11+B32+B53+B74+B95</f>
        <v>0</v>
      </c>
      <c r="C113" s="274">
        <f t="shared" si="22"/>
        <v>0</v>
      </c>
      <c r="D113" s="274">
        <f t="shared" si="22"/>
        <v>0</v>
      </c>
    </row>
    <row r="114" spans="1:4">
      <c r="A114" s="3" t="s">
        <v>469</v>
      </c>
      <c r="B114" s="274">
        <f t="shared" ref="B114:D114" si="23">B12+B33+B54+B75+B96</f>
        <v>0</v>
      </c>
      <c r="C114" s="274">
        <f t="shared" si="23"/>
        <v>0</v>
      </c>
      <c r="D114" s="274">
        <f t="shared" si="23"/>
        <v>0</v>
      </c>
    </row>
    <row r="115" spans="1:4">
      <c r="A115" s="3" t="s">
        <v>470</v>
      </c>
      <c r="B115" s="274">
        <f t="shared" ref="B115:D115" si="24">B13+B34+B55+B76+B97</f>
        <v>0</v>
      </c>
      <c r="C115" s="274">
        <f t="shared" si="24"/>
        <v>0</v>
      </c>
      <c r="D115" s="274">
        <f t="shared" si="24"/>
        <v>0</v>
      </c>
    </row>
    <row r="116" spans="1:4">
      <c r="A116" s="143" t="s">
        <v>471</v>
      </c>
      <c r="B116" s="197">
        <f>B110+B112+B114</f>
        <v>0</v>
      </c>
      <c r="C116" s="197">
        <f t="shared" ref="C116:D116" si="25">C110+C112+C114</f>
        <v>0</v>
      </c>
      <c r="D116" s="197">
        <f t="shared" si="25"/>
        <v>0</v>
      </c>
    </row>
    <row r="117" spans="1:4">
      <c r="A117" s="143" t="s">
        <v>472</v>
      </c>
      <c r="B117" s="197">
        <f>B111+B113+B115</f>
        <v>0</v>
      </c>
      <c r="C117" s="197">
        <f t="shared" ref="C117:D117" si="26">C111+C113+C115</f>
        <v>0</v>
      </c>
      <c r="D117" s="197">
        <f t="shared" si="26"/>
        <v>0</v>
      </c>
    </row>
    <row r="118" spans="1:4">
      <c r="A118" s="3" t="s">
        <v>473</v>
      </c>
      <c r="B118" s="274">
        <f t="shared" ref="B118:D118" si="27">B16+B37+B58+B79+B100</f>
        <v>0</v>
      </c>
      <c r="C118" s="274">
        <f t="shared" si="27"/>
        <v>0</v>
      </c>
      <c r="D118" s="274">
        <f t="shared" si="27"/>
        <v>0</v>
      </c>
    </row>
    <row r="119" spans="1:4">
      <c r="A119" s="143" t="s">
        <v>474</v>
      </c>
      <c r="B119" s="197">
        <f>B117-B118</f>
        <v>0</v>
      </c>
      <c r="C119" s="197">
        <f t="shared" ref="C119" si="28">C117-C118</f>
        <v>0</v>
      </c>
      <c r="D119" s="197">
        <f t="shared" ref="D119" si="29">D117-D118</f>
        <v>0</v>
      </c>
    </row>
    <row r="120" spans="1:4">
      <c r="A120" s="3" t="s">
        <v>479</v>
      </c>
      <c r="B120" s="274">
        <f>B116-B117</f>
        <v>0</v>
      </c>
      <c r="C120" s="274">
        <f t="shared" ref="C120:D120" si="30">C116-C117</f>
        <v>0</v>
      </c>
      <c r="D120" s="274">
        <f t="shared" si="30"/>
        <v>0</v>
      </c>
    </row>
    <row r="121" spans="1:4"/>
    <row r="122" spans="1:4"/>
    <row r="123" spans="1:4"/>
    <row r="124" spans="1:4"/>
    <row r="125" spans="1:4"/>
  </sheetData>
  <sheetProtection algorithmName="SHA-512" hashValue="JCACdQx/JQHgqI9B+OYtS2N+Y74AeztKBBvEROu3GDabPauW98PsYDl9zXW0x+SOUeMgLF2mWK3cwtD9+JY19g==" saltValue="xP5TIZ+zVs4UdguhjLCIoQ==" spinCount="100000" sheet="1" formatCells="0" formatColumns="0" formatRows="0" insertColumns="0" insertRows="0" autoFilter="0"/>
  <mergeCells count="23">
    <mergeCell ref="A107:D107"/>
    <mergeCell ref="B108:D108"/>
    <mergeCell ref="A4:A5"/>
    <mergeCell ref="A25:A26"/>
    <mergeCell ref="A46:A47"/>
    <mergeCell ref="A67:A68"/>
    <mergeCell ref="A88:A89"/>
    <mergeCell ref="A108:A109"/>
    <mergeCell ref="B65:D65"/>
    <mergeCell ref="B67:D67"/>
    <mergeCell ref="B85:D85"/>
    <mergeCell ref="B86:D86"/>
    <mergeCell ref="B88:D88"/>
    <mergeCell ref="B25:D25"/>
    <mergeCell ref="B43:D43"/>
    <mergeCell ref="B44:D44"/>
    <mergeCell ref="B46:D46"/>
    <mergeCell ref="B64:D64"/>
    <mergeCell ref="B1:D1"/>
    <mergeCell ref="B2:D2"/>
    <mergeCell ref="B4:D4"/>
    <mergeCell ref="B22:D22"/>
    <mergeCell ref="B23:D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E55"/>
  <sheetViews>
    <sheetView workbookViewId="0"/>
  </sheetViews>
  <sheetFormatPr defaultColWidth="9.140625" defaultRowHeight="12.75"/>
  <cols>
    <col min="1" max="1" width="12" style="44" customWidth="1"/>
    <col min="2" max="2" width="57.5703125" style="44" customWidth="1"/>
    <col min="3" max="3" width="11.85546875" style="44" customWidth="1"/>
    <col min="4" max="4" width="16.5703125" style="44" customWidth="1"/>
    <col min="5" max="5" width="11.5703125" style="44" customWidth="1"/>
    <col min="6" max="16384" width="9.140625" style="44"/>
  </cols>
  <sheetData>
    <row r="1" spans="1:5" ht="25.5">
      <c r="A1" s="171" t="s">
        <v>480</v>
      </c>
      <c r="B1" s="423"/>
      <c r="C1" s="424"/>
      <c r="D1" s="424"/>
      <c r="E1" s="425"/>
    </row>
    <row r="2" spans="1:5" ht="12.75" customHeight="1">
      <c r="A2" s="171" t="s">
        <v>481</v>
      </c>
      <c r="B2" s="412"/>
      <c r="C2" s="426"/>
      <c r="D2" s="426"/>
      <c r="E2" s="413"/>
    </row>
    <row r="4" spans="1:5" ht="25.5">
      <c r="A4" s="269" t="s">
        <v>5</v>
      </c>
      <c r="B4" s="269" t="s">
        <v>482</v>
      </c>
      <c r="C4" s="269" t="s">
        <v>483</v>
      </c>
      <c r="D4" s="269" t="s">
        <v>484</v>
      </c>
      <c r="E4" s="269" t="s">
        <v>485</v>
      </c>
    </row>
    <row r="5" spans="1:5">
      <c r="A5" s="270">
        <v>1</v>
      </c>
      <c r="B5" s="195"/>
      <c r="C5" s="184"/>
      <c r="D5" s="196"/>
      <c r="E5" s="196"/>
    </row>
    <row r="6" spans="1:5">
      <c r="A6" s="270">
        <v>2</v>
      </c>
      <c r="B6" s="195"/>
      <c r="C6" s="184"/>
      <c r="D6" s="196"/>
      <c r="E6" s="196"/>
    </row>
    <row r="7" spans="1:5">
      <c r="A7" s="270">
        <v>3</v>
      </c>
      <c r="B7" s="195"/>
      <c r="C7" s="184"/>
      <c r="D7" s="196"/>
      <c r="E7" s="196"/>
    </row>
    <row r="8" spans="1:5">
      <c r="A8" s="270">
        <v>4</v>
      </c>
      <c r="B8" s="195"/>
      <c r="C8" s="184"/>
      <c r="D8" s="196"/>
      <c r="E8" s="196"/>
    </row>
    <row r="9" spans="1:5">
      <c r="A9" s="270">
        <v>5</v>
      </c>
      <c r="B9" s="195"/>
      <c r="C9" s="184"/>
      <c r="D9" s="196"/>
      <c r="E9" s="196"/>
    </row>
    <row r="10" spans="1:5">
      <c r="A10" s="270">
        <v>6</v>
      </c>
      <c r="B10" s="195"/>
      <c r="C10" s="184"/>
      <c r="D10" s="196"/>
      <c r="E10" s="196"/>
    </row>
    <row r="11" spans="1:5">
      <c r="A11" s="270">
        <v>7</v>
      </c>
      <c r="B11" s="195"/>
      <c r="C11" s="184"/>
      <c r="D11" s="196"/>
      <c r="E11" s="196"/>
    </row>
    <row r="12" spans="1:5">
      <c r="A12" s="270">
        <v>8</v>
      </c>
      <c r="B12" s="195"/>
      <c r="C12" s="184"/>
      <c r="D12" s="196"/>
      <c r="E12" s="196"/>
    </row>
    <row r="13" spans="1:5">
      <c r="A13" s="270">
        <v>9</v>
      </c>
      <c r="B13" s="195"/>
      <c r="C13" s="184"/>
      <c r="D13" s="196"/>
      <c r="E13" s="196"/>
    </row>
    <row r="14" spans="1:5">
      <c r="A14" s="270">
        <v>10</v>
      </c>
      <c r="B14" s="195"/>
      <c r="C14" s="184"/>
      <c r="D14" s="196"/>
      <c r="E14" s="196"/>
    </row>
    <row r="15" spans="1:5">
      <c r="A15" s="270">
        <v>11</v>
      </c>
      <c r="B15" s="195"/>
      <c r="C15" s="184"/>
      <c r="D15" s="196"/>
      <c r="E15" s="196"/>
    </row>
    <row r="16" spans="1:5">
      <c r="A16" s="270">
        <v>12</v>
      </c>
      <c r="B16" s="195"/>
      <c r="C16" s="184"/>
      <c r="D16" s="196"/>
      <c r="E16" s="196"/>
    </row>
    <row r="17" spans="1:5">
      <c r="A17" s="270">
        <v>13</v>
      </c>
      <c r="B17" s="195"/>
      <c r="C17" s="184"/>
      <c r="D17" s="196"/>
      <c r="E17" s="196"/>
    </row>
    <row r="18" spans="1:5">
      <c r="A18" s="270">
        <v>14</v>
      </c>
      <c r="B18" s="195"/>
      <c r="C18" s="184"/>
      <c r="D18" s="196"/>
      <c r="E18" s="196"/>
    </row>
    <row r="19" spans="1:5">
      <c r="A19" s="270">
        <v>15</v>
      </c>
      <c r="B19" s="195"/>
      <c r="C19" s="184"/>
      <c r="D19" s="196"/>
      <c r="E19" s="196"/>
    </row>
    <row r="20" spans="1:5">
      <c r="A20" s="270">
        <v>16</v>
      </c>
      <c r="B20" s="195"/>
      <c r="C20" s="184"/>
      <c r="D20" s="196"/>
      <c r="E20" s="196"/>
    </row>
    <row r="21" spans="1:5">
      <c r="A21" s="270">
        <v>17</v>
      </c>
      <c r="B21" s="195"/>
      <c r="C21" s="184"/>
      <c r="D21" s="196"/>
      <c r="E21" s="196"/>
    </row>
    <row r="22" spans="1:5">
      <c r="A22" s="270">
        <v>18</v>
      </c>
      <c r="B22" s="195"/>
      <c r="C22" s="184"/>
      <c r="D22" s="196"/>
      <c r="E22" s="196"/>
    </row>
    <row r="23" spans="1:5">
      <c r="A23" s="270">
        <v>19</v>
      </c>
      <c r="B23" s="195"/>
      <c r="C23" s="184"/>
      <c r="D23" s="196"/>
      <c r="E23" s="196"/>
    </row>
    <row r="24" spans="1:5">
      <c r="A24" s="270">
        <v>20</v>
      </c>
      <c r="B24" s="195"/>
      <c r="C24" s="184"/>
      <c r="D24" s="196"/>
      <c r="E24" s="196"/>
    </row>
    <row r="25" spans="1:5">
      <c r="A25" s="270">
        <v>21</v>
      </c>
      <c r="B25" s="195"/>
      <c r="C25" s="184"/>
      <c r="D25" s="196"/>
      <c r="E25" s="196"/>
    </row>
    <row r="26" spans="1:5">
      <c r="A26" s="270">
        <v>22</v>
      </c>
      <c r="B26" s="195"/>
      <c r="C26" s="184"/>
      <c r="D26" s="196"/>
      <c r="E26" s="196"/>
    </row>
    <row r="27" spans="1:5">
      <c r="A27" s="270">
        <v>23</v>
      </c>
      <c r="B27" s="195"/>
      <c r="C27" s="184"/>
      <c r="D27" s="196"/>
      <c r="E27" s="196"/>
    </row>
    <row r="28" spans="1:5">
      <c r="A28" s="270">
        <v>24</v>
      </c>
      <c r="B28" s="195"/>
      <c r="C28" s="184"/>
      <c r="D28" s="196"/>
      <c r="E28" s="196"/>
    </row>
    <row r="29" spans="1:5">
      <c r="A29" s="270">
        <v>25</v>
      </c>
      <c r="B29" s="195"/>
      <c r="C29" s="184"/>
      <c r="D29" s="196"/>
      <c r="E29" s="196"/>
    </row>
    <row r="30" spans="1:5">
      <c r="A30" s="270">
        <v>26</v>
      </c>
      <c r="B30" s="195"/>
      <c r="C30" s="184"/>
      <c r="D30" s="196"/>
      <c r="E30" s="196"/>
    </row>
    <row r="31" spans="1:5">
      <c r="A31" s="270">
        <v>27</v>
      </c>
      <c r="B31" s="195"/>
      <c r="C31" s="184"/>
      <c r="D31" s="196"/>
      <c r="E31" s="196"/>
    </row>
    <row r="32" spans="1:5">
      <c r="A32" s="270">
        <v>28</v>
      </c>
      <c r="B32" s="195"/>
      <c r="C32" s="184"/>
      <c r="D32" s="196"/>
      <c r="E32" s="196"/>
    </row>
    <row r="33" spans="1:5">
      <c r="A33" s="270">
        <v>29</v>
      </c>
      <c r="B33" s="195"/>
      <c r="C33" s="184"/>
      <c r="D33" s="196"/>
      <c r="E33" s="196"/>
    </row>
    <row r="34" spans="1:5">
      <c r="A34" s="270">
        <v>30</v>
      </c>
      <c r="B34" s="195"/>
      <c r="C34" s="184"/>
      <c r="D34" s="196"/>
      <c r="E34" s="196"/>
    </row>
    <row r="35" spans="1:5">
      <c r="A35" s="270">
        <v>31</v>
      </c>
      <c r="B35" s="195"/>
      <c r="C35" s="184"/>
      <c r="D35" s="196"/>
      <c r="E35" s="196"/>
    </row>
    <row r="36" spans="1:5">
      <c r="A36" s="270">
        <v>32</v>
      </c>
      <c r="B36" s="195"/>
      <c r="C36" s="184"/>
      <c r="D36" s="196"/>
      <c r="E36" s="196"/>
    </row>
    <row r="37" spans="1:5">
      <c r="A37" s="270">
        <v>33</v>
      </c>
      <c r="B37" s="195"/>
      <c r="C37" s="184"/>
      <c r="D37" s="196"/>
      <c r="E37" s="196"/>
    </row>
    <row r="38" spans="1:5">
      <c r="A38" s="270">
        <v>34</v>
      </c>
      <c r="B38" s="195"/>
      <c r="C38" s="184"/>
      <c r="D38" s="196"/>
      <c r="E38" s="196"/>
    </row>
    <row r="39" spans="1:5">
      <c r="A39" s="270">
        <v>35</v>
      </c>
      <c r="B39" s="195"/>
      <c r="C39" s="184"/>
      <c r="D39" s="196"/>
      <c r="E39" s="196"/>
    </row>
    <row r="40" spans="1:5">
      <c r="A40" s="270">
        <v>36</v>
      </c>
      <c r="B40" s="195"/>
      <c r="C40" s="184"/>
      <c r="D40" s="196"/>
      <c r="E40" s="196"/>
    </row>
    <row r="41" spans="1:5">
      <c r="A41" s="270">
        <v>37</v>
      </c>
      <c r="B41" s="195"/>
      <c r="C41" s="184"/>
      <c r="D41" s="196"/>
      <c r="E41" s="196"/>
    </row>
    <row r="42" spans="1:5">
      <c r="A42" s="270">
        <v>38</v>
      </c>
      <c r="B42" s="195"/>
      <c r="C42" s="184"/>
      <c r="D42" s="196"/>
      <c r="E42" s="196"/>
    </row>
    <row r="43" spans="1:5">
      <c r="A43" s="270">
        <v>39</v>
      </c>
      <c r="B43" s="195"/>
      <c r="C43" s="184"/>
      <c r="D43" s="196"/>
      <c r="E43" s="196"/>
    </row>
    <row r="44" spans="1:5">
      <c r="A44" s="270">
        <v>40</v>
      </c>
      <c r="B44" s="195"/>
      <c r="C44" s="184"/>
      <c r="D44" s="196"/>
      <c r="E44" s="196"/>
    </row>
    <row r="45" spans="1:5">
      <c r="A45" s="270">
        <v>41</v>
      </c>
      <c r="B45" s="195"/>
      <c r="C45" s="184"/>
      <c r="D45" s="196"/>
      <c r="E45" s="196"/>
    </row>
    <row r="46" spans="1:5">
      <c r="A46" s="270">
        <v>42</v>
      </c>
      <c r="B46" s="195"/>
      <c r="C46" s="184"/>
      <c r="D46" s="196"/>
      <c r="E46" s="196"/>
    </row>
    <row r="47" spans="1:5">
      <c r="A47" s="270">
        <v>43</v>
      </c>
      <c r="B47" s="195"/>
      <c r="C47" s="184"/>
      <c r="D47" s="196"/>
      <c r="E47" s="196"/>
    </row>
    <row r="48" spans="1:5">
      <c r="A48" s="270">
        <v>44</v>
      </c>
      <c r="B48" s="195"/>
      <c r="C48" s="184"/>
      <c r="D48" s="196"/>
      <c r="E48" s="196"/>
    </row>
    <row r="49" spans="1:5">
      <c r="A49" s="270">
        <v>45</v>
      </c>
      <c r="B49" s="195"/>
      <c r="C49" s="184"/>
      <c r="D49" s="196"/>
      <c r="E49" s="196"/>
    </row>
    <row r="50" spans="1:5">
      <c r="A50" s="270">
        <v>46</v>
      </c>
      <c r="B50" s="195"/>
      <c r="C50" s="184"/>
      <c r="D50" s="196"/>
      <c r="E50" s="196"/>
    </row>
    <row r="51" spans="1:5">
      <c r="A51" s="270">
        <v>47</v>
      </c>
      <c r="B51" s="195"/>
      <c r="C51" s="184"/>
      <c r="D51" s="196"/>
      <c r="E51" s="196"/>
    </row>
    <row r="52" spans="1:5">
      <c r="A52" s="270">
        <v>48</v>
      </c>
      <c r="B52" s="195"/>
      <c r="C52" s="184"/>
      <c r="D52" s="196"/>
      <c r="E52" s="196"/>
    </row>
    <row r="53" spans="1:5">
      <c r="A53" s="270">
        <v>49</v>
      </c>
      <c r="B53" s="195"/>
      <c r="C53" s="184"/>
      <c r="D53" s="196"/>
      <c r="E53" s="196"/>
    </row>
    <row r="54" spans="1:5">
      <c r="A54" s="270">
        <v>50</v>
      </c>
      <c r="B54" s="195"/>
      <c r="C54" s="184"/>
      <c r="D54" s="196"/>
      <c r="E54" s="196"/>
    </row>
    <row r="55" spans="1:5">
      <c r="A55" s="427" t="s">
        <v>39</v>
      </c>
      <c r="B55" s="428"/>
      <c r="C55" s="429"/>
      <c r="D55" s="271">
        <f>SUM(D27:D54)</f>
        <v>0</v>
      </c>
      <c r="E55" s="271">
        <f>SUM(E27:E54)</f>
        <v>0</v>
      </c>
    </row>
  </sheetData>
  <sheetProtection algorithmName="SHA-512" hashValue="YZ5tEK7kS/AzWY76UaLNKj5w52RtpDdUhQlmLTjaniv3jcxCM8CASa6C+7/gbG1SCMzA26eMLKAy8E+bkG9QSA==" saltValue="4ZA3Zo4j9w5C9KeMAGhgrQ==" spinCount="100000" sheet="1" formatCells="0" formatColumns="0" formatRows="0" insertColumns="0" insertRows="0" sort="0" autoFilter="0"/>
  <mergeCells count="3">
    <mergeCell ref="B1:E1"/>
    <mergeCell ref="B2:E2"/>
    <mergeCell ref="A55:C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F16"/>
  <sheetViews>
    <sheetView workbookViewId="0"/>
  </sheetViews>
  <sheetFormatPr defaultColWidth="9.140625" defaultRowHeight="12.75"/>
  <cols>
    <col min="1" max="1" width="24.42578125" style="264" customWidth="1"/>
    <col min="2" max="2" width="17.7109375" style="264" customWidth="1"/>
    <col min="3" max="3" width="9.7109375" style="264" customWidth="1"/>
    <col min="4" max="4" width="16.42578125" style="264" customWidth="1"/>
    <col min="5" max="5" width="10" style="264" customWidth="1"/>
    <col min="6" max="6" width="15.7109375" style="264" customWidth="1"/>
    <col min="7" max="7" width="12.7109375" style="264" customWidth="1"/>
    <col min="8" max="8" width="15.42578125" style="264" customWidth="1"/>
    <col min="9" max="16384" width="9.140625" style="264"/>
  </cols>
  <sheetData>
    <row r="1" spans="1:6" ht="25.5">
      <c r="A1" s="265" t="s">
        <v>486</v>
      </c>
      <c r="B1" s="265" t="s">
        <v>487</v>
      </c>
      <c r="C1" s="265" t="s">
        <v>488</v>
      </c>
      <c r="D1" s="265" t="s">
        <v>489</v>
      </c>
      <c r="E1" s="265" t="s">
        <v>161</v>
      </c>
      <c r="F1" s="265" t="s">
        <v>490</v>
      </c>
    </row>
    <row r="2" spans="1:6">
      <c r="A2" s="431"/>
      <c r="B2" s="431"/>
      <c r="C2" s="431"/>
      <c r="D2" s="431"/>
      <c r="E2" s="129" t="s">
        <v>491</v>
      </c>
      <c r="F2" s="266"/>
    </row>
    <row r="3" spans="1:6">
      <c r="A3" s="431"/>
      <c r="B3" s="431"/>
      <c r="C3" s="431"/>
      <c r="D3" s="431"/>
      <c r="E3" s="129" t="s">
        <v>492</v>
      </c>
      <c r="F3" s="266"/>
    </row>
    <row r="4" spans="1:6">
      <c r="A4" s="431"/>
      <c r="B4" s="431"/>
      <c r="C4" s="431"/>
      <c r="D4" s="431"/>
      <c r="E4" s="129" t="s">
        <v>493</v>
      </c>
      <c r="F4" s="266"/>
    </row>
    <row r="5" spans="1:6">
      <c r="A5" s="431"/>
      <c r="B5" s="431"/>
      <c r="C5" s="431"/>
      <c r="D5" s="431"/>
      <c r="E5" s="129" t="s">
        <v>494</v>
      </c>
      <c r="F5" s="266"/>
    </row>
    <row r="6" spans="1:6">
      <c r="A6" s="431"/>
      <c r="B6" s="431"/>
      <c r="C6" s="431"/>
      <c r="D6" s="431"/>
      <c r="E6" s="129" t="s">
        <v>495</v>
      </c>
      <c r="F6" s="266"/>
    </row>
    <row r="7" spans="1:6">
      <c r="A7" s="431"/>
      <c r="B7" s="431"/>
      <c r="C7" s="431"/>
      <c r="D7" s="431"/>
      <c r="E7" s="129" t="s">
        <v>496</v>
      </c>
      <c r="F7" s="266"/>
    </row>
    <row r="8" spans="1:6">
      <c r="A8" s="431"/>
      <c r="B8" s="431"/>
      <c r="C8" s="431"/>
      <c r="D8" s="431"/>
      <c r="E8" s="129" t="s">
        <v>497</v>
      </c>
      <c r="F8" s="266"/>
    </row>
    <row r="9" spans="1:6">
      <c r="A9" s="431"/>
      <c r="B9" s="431"/>
      <c r="C9" s="431"/>
      <c r="D9" s="431"/>
      <c r="E9" s="129" t="s">
        <v>498</v>
      </c>
      <c r="F9" s="266"/>
    </row>
    <row r="10" spans="1:6">
      <c r="A10" s="431"/>
      <c r="B10" s="431"/>
      <c r="C10" s="431"/>
      <c r="D10" s="431"/>
      <c r="E10" s="129" t="s">
        <v>499</v>
      </c>
      <c r="F10" s="266"/>
    </row>
    <row r="11" spans="1:6">
      <c r="A11" s="431"/>
      <c r="B11" s="431"/>
      <c r="C11" s="431"/>
      <c r="D11" s="431"/>
      <c r="E11" s="129" t="s">
        <v>500</v>
      </c>
      <c r="F11" s="266"/>
    </row>
    <row r="12" spans="1:6">
      <c r="A12" s="431"/>
      <c r="B12" s="431"/>
      <c r="C12" s="431"/>
      <c r="D12" s="431"/>
      <c r="E12" s="129" t="s">
        <v>501</v>
      </c>
      <c r="F12" s="266"/>
    </row>
    <row r="13" spans="1:6">
      <c r="A13" s="431"/>
      <c r="B13" s="431"/>
      <c r="C13" s="431"/>
      <c r="D13" s="431"/>
      <c r="E13" s="129" t="s">
        <v>502</v>
      </c>
      <c r="F13" s="266"/>
    </row>
    <row r="14" spans="1:6">
      <c r="A14" s="430" t="s">
        <v>503</v>
      </c>
      <c r="B14" s="430"/>
      <c r="C14" s="430"/>
      <c r="D14" s="430"/>
      <c r="E14" s="430"/>
      <c r="F14" s="267">
        <f>SUM(F2:F13)</f>
        <v>0</v>
      </c>
    </row>
    <row r="16" spans="1:6">
      <c r="F16" s="268"/>
    </row>
  </sheetData>
  <sheetProtection algorithmName="SHA-512" hashValue="qUEaIdEQ9tvciFHNy8lfPGhzfYwQXqtS+cp4iCldPw2s26YjXqHr5oQ1Ecy/Ggkq9B2w1UfgUIZlHNdaPC7oVA==" saltValue="ZOoFod/uqKZoelLzL6tyrQ==" spinCount="100000" sheet="1" formatCells="0" formatColumns="0" formatRows="0" insertColumns="0" insertRows="0" autoFilter="0"/>
  <mergeCells count="5">
    <mergeCell ref="A14:E14"/>
    <mergeCell ref="A2:A13"/>
    <mergeCell ref="B2:B13"/>
    <mergeCell ref="C2:C13"/>
    <mergeCell ref="D2:D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N505"/>
  <sheetViews>
    <sheetView topLeftCell="A25" workbookViewId="0">
      <selection activeCell="A23" sqref="A23:I40"/>
    </sheetView>
  </sheetViews>
  <sheetFormatPr defaultColWidth="0" defaultRowHeight="12.75" zeroHeight="1"/>
  <cols>
    <col min="1" max="1" width="8.7109375" style="44" customWidth="1"/>
    <col min="2" max="7" width="11" style="44" customWidth="1"/>
    <col min="8" max="9" width="10" style="44" customWidth="1"/>
    <col min="10" max="10" width="11" style="44" customWidth="1"/>
    <col min="11" max="13" width="10" style="44" customWidth="1"/>
    <col min="14" max="14" width="9" style="44" customWidth="1"/>
    <col min="15" max="15" width="10" style="44" customWidth="1"/>
    <col min="16" max="16" width="9.140625" style="44" customWidth="1"/>
    <col min="17" max="18" width="6.42578125" style="44" customWidth="1"/>
    <col min="19" max="19" width="7.42578125" style="44" customWidth="1"/>
    <col min="20" max="20" width="6.42578125" style="44" customWidth="1"/>
    <col min="21" max="21" width="11.140625" style="44" customWidth="1"/>
    <col min="22" max="22" width="13.140625" style="44" customWidth="1"/>
    <col min="23" max="23" width="14.42578125" style="44" customWidth="1"/>
    <col min="24" max="26" width="9.140625" style="44" hidden="1" customWidth="1"/>
    <col min="27" max="40" width="0" style="44" hidden="1" customWidth="1"/>
    <col min="41" max="16384" width="9.140625" style="44" hidden="1"/>
  </cols>
  <sheetData>
    <row r="1" spans="1:22">
      <c r="A1" s="432" t="s">
        <v>504</v>
      </c>
      <c r="B1" s="432"/>
      <c r="C1" s="433" t="str">
        <f>IF(PrimeConsolidated!B3="","",CONCATENATE(PrimeConsolidated!B3," (Consolidated Banking in Rs. Lacs)"))</f>
        <v>NARENDRA KUMAR VYAS &amp; Group (Consolidated Banking in Rs. Lacs)</v>
      </c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257"/>
      <c r="V1" s="257"/>
    </row>
    <row r="2" spans="1:22" ht="51">
      <c r="A2" s="239" t="s">
        <v>504</v>
      </c>
      <c r="B2" s="434" t="s">
        <v>505</v>
      </c>
      <c r="C2" s="434"/>
      <c r="D2" s="434"/>
      <c r="E2" s="240" t="s">
        <v>506</v>
      </c>
      <c r="F2" s="240" t="s">
        <v>507</v>
      </c>
      <c r="G2" s="239" t="s">
        <v>508</v>
      </c>
      <c r="H2" s="239" t="s">
        <v>509</v>
      </c>
      <c r="I2" s="239" t="s">
        <v>510</v>
      </c>
      <c r="J2" s="240" t="s">
        <v>511</v>
      </c>
      <c r="K2" s="240" t="s">
        <v>512</v>
      </c>
      <c r="L2" s="435" t="s">
        <v>513</v>
      </c>
      <c r="M2" s="436"/>
      <c r="N2" s="435" t="s">
        <v>514</v>
      </c>
      <c r="O2" s="436"/>
      <c r="P2" s="239" t="s">
        <v>515</v>
      </c>
      <c r="Q2" s="239" t="s">
        <v>516</v>
      </c>
      <c r="R2" s="239" t="s">
        <v>517</v>
      </c>
      <c r="S2" s="239" t="s">
        <v>518</v>
      </c>
      <c r="T2" s="239" t="s">
        <v>519</v>
      </c>
      <c r="U2" s="239" t="s">
        <v>520</v>
      </c>
      <c r="V2" s="239" t="s">
        <v>521</v>
      </c>
    </row>
    <row r="3" spans="1:22">
      <c r="A3" s="239"/>
      <c r="B3" s="239">
        <v>10</v>
      </c>
      <c r="C3" s="239">
        <v>20</v>
      </c>
      <c r="D3" s="239">
        <v>30</v>
      </c>
      <c r="E3" s="239"/>
      <c r="F3" s="239"/>
      <c r="G3" s="239"/>
      <c r="H3" s="239"/>
      <c r="I3" s="239"/>
      <c r="J3" s="239"/>
      <c r="K3" s="239"/>
      <c r="L3" s="239" t="s">
        <v>522</v>
      </c>
      <c r="M3" s="239" t="s">
        <v>523</v>
      </c>
      <c r="N3" s="239" t="s">
        <v>522</v>
      </c>
      <c r="O3" s="239" t="s">
        <v>523</v>
      </c>
      <c r="P3" s="239"/>
      <c r="Q3" s="239"/>
      <c r="R3" s="239"/>
      <c r="S3" s="239"/>
      <c r="T3" s="239"/>
      <c r="U3" s="239"/>
      <c r="V3" s="239"/>
    </row>
    <row r="4" spans="1:22">
      <c r="A4" s="241">
        <f>IF($A$27="","",$A$27)</f>
        <v>44986</v>
      </c>
      <c r="B4" s="242">
        <f>(B27+B50+B73+B96+B119+B142+B165+B188+B211+B234+B257+B280+B303+B326+B349+B372+B395+B418+B441+B464)/100000</f>
        <v>0</v>
      </c>
      <c r="C4" s="242">
        <f t="shared" ref="C4:F4" si="0">(C27+C50+C73+C96+C119+C142+C165+C188+C211+C234+C257+C280+C303+C326+C349+C372+C395+C418+C441+C464)/100000</f>
        <v>0</v>
      </c>
      <c r="D4" s="242">
        <f t="shared" si="0"/>
        <v>0</v>
      </c>
      <c r="E4" s="243">
        <f t="shared" si="0"/>
        <v>0</v>
      </c>
      <c r="F4" s="243">
        <f t="shared" si="0"/>
        <v>0</v>
      </c>
      <c r="G4" s="244">
        <f t="shared" ref="G4:G15" si="1">AVERAGE(B4:D4)</f>
        <v>0</v>
      </c>
      <c r="H4" s="242">
        <f t="shared" ref="H4:P15" si="2">(H27+H50+H73+H96+H119+H142+H165+H188+H211+H234+H257+H280+H303+H326+H349+H372+H395+H418+H441+H464)/100000</f>
        <v>0</v>
      </c>
      <c r="I4" s="242">
        <f t="shared" si="2"/>
        <v>0</v>
      </c>
      <c r="J4" s="243">
        <f t="shared" si="2"/>
        <v>0</v>
      </c>
      <c r="K4" s="242">
        <f t="shared" si="2"/>
        <v>0</v>
      </c>
      <c r="L4" s="243">
        <f t="shared" si="2"/>
        <v>0</v>
      </c>
      <c r="M4" s="243">
        <f t="shared" si="2"/>
        <v>0</v>
      </c>
      <c r="N4" s="243">
        <f t="shared" si="2"/>
        <v>0</v>
      </c>
      <c r="O4" s="243">
        <f t="shared" si="2"/>
        <v>0</v>
      </c>
      <c r="P4" s="243">
        <f t="shared" si="2"/>
        <v>0</v>
      </c>
      <c r="Q4" s="258">
        <f>(Q27+Q50+Q73+Q96+Q119+Q142+Q165+Q188+Q211+Q234+Q257+Q280+Q303+Q326+Q349+Q372+Q395+Q418+Q441+Q464)</f>
        <v>0</v>
      </c>
      <c r="R4" s="258">
        <f t="shared" ref="R4:T4" si="3">(R27+R50+R73+R96+R119+R142+R165+R188+R211+R234+R257+R280+R303+R326+R349+R372+R395+R418+R441+R464)</f>
        <v>0</v>
      </c>
      <c r="S4" s="258">
        <f t="shared" si="3"/>
        <v>0</v>
      </c>
      <c r="T4" s="258">
        <f t="shared" si="3"/>
        <v>0</v>
      </c>
      <c r="U4" s="246">
        <f t="shared" ref="U4:V15" si="4">(U27+U50+U73+U96+U119+U142+U165+U188+U211+U234+U257+U280+U303+U326+U349+U372+U395+U418+U441+U464)/100000</f>
        <v>0</v>
      </c>
      <c r="V4" s="246">
        <f t="shared" si="4"/>
        <v>0</v>
      </c>
    </row>
    <row r="5" spans="1:22">
      <c r="A5" s="241">
        <f>IF($A$28="","",$A$28)</f>
        <v>45017</v>
      </c>
      <c r="B5" s="242">
        <f t="shared" ref="B5:F15" si="5">(B28+B51+B74+B97+B120+B143+B166+B189+B212+B235+B258+B281+B304+B327+B350+B373+B396+B419+B442+B465)/100000</f>
        <v>0</v>
      </c>
      <c r="C5" s="242">
        <f t="shared" si="5"/>
        <v>0</v>
      </c>
      <c r="D5" s="242">
        <f t="shared" si="5"/>
        <v>0</v>
      </c>
      <c r="E5" s="243">
        <f t="shared" si="5"/>
        <v>0</v>
      </c>
      <c r="F5" s="243">
        <f t="shared" si="5"/>
        <v>0</v>
      </c>
      <c r="G5" s="244">
        <f t="shared" si="1"/>
        <v>0</v>
      </c>
      <c r="H5" s="242">
        <f t="shared" si="2"/>
        <v>0</v>
      </c>
      <c r="I5" s="242">
        <f t="shared" si="2"/>
        <v>0</v>
      </c>
      <c r="J5" s="243">
        <f t="shared" si="2"/>
        <v>0</v>
      </c>
      <c r="K5" s="242">
        <f t="shared" si="2"/>
        <v>0</v>
      </c>
      <c r="L5" s="243">
        <f t="shared" si="2"/>
        <v>0</v>
      </c>
      <c r="M5" s="243">
        <f t="shared" si="2"/>
        <v>0</v>
      </c>
      <c r="N5" s="243">
        <f t="shared" si="2"/>
        <v>0</v>
      </c>
      <c r="O5" s="243">
        <f t="shared" si="2"/>
        <v>0</v>
      </c>
      <c r="P5" s="243">
        <f t="shared" si="2"/>
        <v>0</v>
      </c>
      <c r="Q5" s="258">
        <f t="shared" ref="Q5:T15" si="6">(Q28+Q51+Q74+Q97+Q120+Q143+Q166+Q189+Q212+Q235+Q258+Q281+Q304+Q327+Q350+Q373+Q396+Q419+Q442+Q465)</f>
        <v>0</v>
      </c>
      <c r="R5" s="258">
        <f t="shared" si="6"/>
        <v>0</v>
      </c>
      <c r="S5" s="258">
        <f t="shared" si="6"/>
        <v>0</v>
      </c>
      <c r="T5" s="258">
        <f t="shared" si="6"/>
        <v>0</v>
      </c>
      <c r="U5" s="246">
        <f t="shared" si="4"/>
        <v>0</v>
      </c>
      <c r="V5" s="246">
        <f t="shared" si="4"/>
        <v>0</v>
      </c>
    </row>
    <row r="6" spans="1:22">
      <c r="A6" s="241">
        <f>IF($A$29="","",$A$29)</f>
        <v>45047</v>
      </c>
      <c r="B6" s="242">
        <f t="shared" si="5"/>
        <v>0</v>
      </c>
      <c r="C6" s="242">
        <f t="shared" si="5"/>
        <v>0</v>
      </c>
      <c r="D6" s="242">
        <f t="shared" si="5"/>
        <v>0</v>
      </c>
      <c r="E6" s="243">
        <f t="shared" si="5"/>
        <v>0</v>
      </c>
      <c r="F6" s="243">
        <f t="shared" si="5"/>
        <v>0</v>
      </c>
      <c r="G6" s="244">
        <f t="shared" si="1"/>
        <v>0</v>
      </c>
      <c r="H6" s="242">
        <f t="shared" si="2"/>
        <v>0</v>
      </c>
      <c r="I6" s="242">
        <f t="shared" si="2"/>
        <v>0</v>
      </c>
      <c r="J6" s="243">
        <f t="shared" si="2"/>
        <v>0</v>
      </c>
      <c r="K6" s="242">
        <f t="shared" si="2"/>
        <v>0</v>
      </c>
      <c r="L6" s="243">
        <f t="shared" si="2"/>
        <v>0</v>
      </c>
      <c r="M6" s="243">
        <f t="shared" si="2"/>
        <v>0</v>
      </c>
      <c r="N6" s="243">
        <f t="shared" si="2"/>
        <v>0</v>
      </c>
      <c r="O6" s="243">
        <f t="shared" si="2"/>
        <v>0</v>
      </c>
      <c r="P6" s="243">
        <f t="shared" si="2"/>
        <v>0</v>
      </c>
      <c r="Q6" s="258">
        <f t="shared" si="6"/>
        <v>0</v>
      </c>
      <c r="R6" s="258">
        <f t="shared" si="6"/>
        <v>0</v>
      </c>
      <c r="S6" s="258">
        <f t="shared" si="6"/>
        <v>0</v>
      </c>
      <c r="T6" s="258">
        <f t="shared" si="6"/>
        <v>0</v>
      </c>
      <c r="U6" s="246">
        <f t="shared" si="4"/>
        <v>0</v>
      </c>
      <c r="V6" s="246">
        <f t="shared" si="4"/>
        <v>0</v>
      </c>
    </row>
    <row r="7" spans="1:22">
      <c r="A7" s="241">
        <f>IF($A$30="","",$A$30)</f>
        <v>45078</v>
      </c>
      <c r="B7" s="242">
        <f t="shared" si="5"/>
        <v>0</v>
      </c>
      <c r="C7" s="242">
        <f t="shared" si="5"/>
        <v>0</v>
      </c>
      <c r="D7" s="242">
        <f t="shared" si="5"/>
        <v>0</v>
      </c>
      <c r="E7" s="243">
        <f t="shared" si="5"/>
        <v>0</v>
      </c>
      <c r="F7" s="243">
        <f t="shared" si="5"/>
        <v>0</v>
      </c>
      <c r="G7" s="244">
        <f t="shared" si="1"/>
        <v>0</v>
      </c>
      <c r="H7" s="242">
        <f t="shared" si="2"/>
        <v>0</v>
      </c>
      <c r="I7" s="242">
        <f t="shared" si="2"/>
        <v>0</v>
      </c>
      <c r="J7" s="243">
        <f t="shared" si="2"/>
        <v>0</v>
      </c>
      <c r="K7" s="242">
        <f t="shared" si="2"/>
        <v>0</v>
      </c>
      <c r="L7" s="243">
        <f t="shared" si="2"/>
        <v>0</v>
      </c>
      <c r="M7" s="243">
        <f t="shared" si="2"/>
        <v>0</v>
      </c>
      <c r="N7" s="243">
        <f t="shared" si="2"/>
        <v>0</v>
      </c>
      <c r="O7" s="243">
        <f t="shared" si="2"/>
        <v>0</v>
      </c>
      <c r="P7" s="243">
        <f t="shared" si="2"/>
        <v>0</v>
      </c>
      <c r="Q7" s="258">
        <f t="shared" si="6"/>
        <v>0</v>
      </c>
      <c r="R7" s="258">
        <f t="shared" si="6"/>
        <v>0</v>
      </c>
      <c r="S7" s="258">
        <f t="shared" si="6"/>
        <v>0</v>
      </c>
      <c r="T7" s="258">
        <f t="shared" si="6"/>
        <v>0</v>
      </c>
      <c r="U7" s="246">
        <f t="shared" si="4"/>
        <v>0</v>
      </c>
      <c r="V7" s="246">
        <f t="shared" si="4"/>
        <v>0</v>
      </c>
    </row>
    <row r="8" spans="1:22">
      <c r="A8" s="241">
        <f>IF($A$31="","",$A$31)</f>
        <v>45108</v>
      </c>
      <c r="B8" s="242">
        <f t="shared" si="5"/>
        <v>0</v>
      </c>
      <c r="C8" s="242">
        <f t="shared" si="5"/>
        <v>0</v>
      </c>
      <c r="D8" s="242">
        <f t="shared" si="5"/>
        <v>0</v>
      </c>
      <c r="E8" s="243">
        <f t="shared" si="5"/>
        <v>0</v>
      </c>
      <c r="F8" s="243">
        <f t="shared" si="5"/>
        <v>0</v>
      </c>
      <c r="G8" s="244">
        <f t="shared" si="1"/>
        <v>0</v>
      </c>
      <c r="H8" s="242">
        <f t="shared" si="2"/>
        <v>0</v>
      </c>
      <c r="I8" s="242">
        <f t="shared" si="2"/>
        <v>0</v>
      </c>
      <c r="J8" s="243">
        <f t="shared" si="2"/>
        <v>0</v>
      </c>
      <c r="K8" s="242">
        <f t="shared" si="2"/>
        <v>0</v>
      </c>
      <c r="L8" s="243">
        <f t="shared" si="2"/>
        <v>0</v>
      </c>
      <c r="M8" s="243">
        <f t="shared" si="2"/>
        <v>0</v>
      </c>
      <c r="N8" s="243">
        <f t="shared" si="2"/>
        <v>0</v>
      </c>
      <c r="O8" s="243">
        <f t="shared" si="2"/>
        <v>0</v>
      </c>
      <c r="P8" s="243">
        <f t="shared" si="2"/>
        <v>0</v>
      </c>
      <c r="Q8" s="258">
        <f t="shared" si="6"/>
        <v>0</v>
      </c>
      <c r="R8" s="258">
        <f t="shared" si="6"/>
        <v>0</v>
      </c>
      <c r="S8" s="258">
        <f t="shared" si="6"/>
        <v>0</v>
      </c>
      <c r="T8" s="258">
        <f t="shared" si="6"/>
        <v>0</v>
      </c>
      <c r="U8" s="246">
        <f t="shared" si="4"/>
        <v>0</v>
      </c>
      <c r="V8" s="246">
        <f t="shared" si="4"/>
        <v>0</v>
      </c>
    </row>
    <row r="9" spans="1:22">
      <c r="A9" s="241">
        <f>IF($A$32="","",$A$32)</f>
        <v>45139</v>
      </c>
      <c r="B9" s="242">
        <f t="shared" si="5"/>
        <v>0</v>
      </c>
      <c r="C9" s="242">
        <f t="shared" si="5"/>
        <v>0</v>
      </c>
      <c r="D9" s="242">
        <f t="shared" si="5"/>
        <v>0</v>
      </c>
      <c r="E9" s="243">
        <f t="shared" si="5"/>
        <v>0</v>
      </c>
      <c r="F9" s="243">
        <f t="shared" si="5"/>
        <v>0</v>
      </c>
      <c r="G9" s="244">
        <f t="shared" si="1"/>
        <v>0</v>
      </c>
      <c r="H9" s="242">
        <f t="shared" si="2"/>
        <v>0</v>
      </c>
      <c r="I9" s="242">
        <f t="shared" si="2"/>
        <v>0</v>
      </c>
      <c r="J9" s="243">
        <f t="shared" si="2"/>
        <v>0</v>
      </c>
      <c r="K9" s="242">
        <f t="shared" si="2"/>
        <v>0</v>
      </c>
      <c r="L9" s="243">
        <f t="shared" si="2"/>
        <v>0</v>
      </c>
      <c r="M9" s="243">
        <f t="shared" si="2"/>
        <v>0</v>
      </c>
      <c r="N9" s="243">
        <f t="shared" si="2"/>
        <v>0</v>
      </c>
      <c r="O9" s="243">
        <f t="shared" si="2"/>
        <v>0</v>
      </c>
      <c r="P9" s="243">
        <f t="shared" si="2"/>
        <v>0</v>
      </c>
      <c r="Q9" s="258">
        <f t="shared" si="6"/>
        <v>0</v>
      </c>
      <c r="R9" s="258">
        <f t="shared" si="6"/>
        <v>0</v>
      </c>
      <c r="S9" s="258">
        <f t="shared" si="6"/>
        <v>0</v>
      </c>
      <c r="T9" s="258">
        <f t="shared" si="6"/>
        <v>0</v>
      </c>
      <c r="U9" s="246">
        <f t="shared" si="4"/>
        <v>0</v>
      </c>
      <c r="V9" s="246">
        <f t="shared" si="4"/>
        <v>0</v>
      </c>
    </row>
    <row r="10" spans="1:22">
      <c r="A10" s="241">
        <f>IF($A$33="","",$A$33)</f>
        <v>45170</v>
      </c>
      <c r="B10" s="242">
        <f t="shared" si="5"/>
        <v>0.30118</v>
      </c>
      <c r="C10" s="242">
        <f t="shared" si="5"/>
        <v>0.12604000000000001</v>
      </c>
      <c r="D10" s="242">
        <f t="shared" si="5"/>
        <v>0.10440000000000001</v>
      </c>
      <c r="E10" s="243">
        <f t="shared" si="5"/>
        <v>0.10439</v>
      </c>
      <c r="F10" s="243">
        <f t="shared" si="5"/>
        <v>0.39767999999999998</v>
      </c>
      <c r="G10" s="244">
        <f t="shared" si="1"/>
        <v>0.17720666666666671</v>
      </c>
      <c r="H10" s="242">
        <f t="shared" si="2"/>
        <v>6.5599999999999999E-3</v>
      </c>
      <c r="I10" s="242">
        <f t="shared" si="2"/>
        <v>0.25945000000000001</v>
      </c>
      <c r="J10" s="243">
        <f t="shared" si="2"/>
        <v>0</v>
      </c>
      <c r="K10" s="242">
        <f t="shared" si="2"/>
        <v>0</v>
      </c>
      <c r="L10" s="243">
        <f t="shared" si="2"/>
        <v>0</v>
      </c>
      <c r="M10" s="243">
        <f t="shared" si="2"/>
        <v>0</v>
      </c>
      <c r="N10" s="243">
        <f t="shared" si="2"/>
        <v>0</v>
      </c>
      <c r="O10" s="243">
        <f t="shared" si="2"/>
        <v>0</v>
      </c>
      <c r="P10" s="243">
        <f t="shared" si="2"/>
        <v>-0.25289</v>
      </c>
      <c r="Q10" s="258">
        <f t="shared" si="6"/>
        <v>0</v>
      </c>
      <c r="R10" s="258">
        <f t="shared" si="6"/>
        <v>0</v>
      </c>
      <c r="S10" s="258">
        <f t="shared" si="6"/>
        <v>1</v>
      </c>
      <c r="T10" s="258">
        <f t="shared" si="6"/>
        <v>69</v>
      </c>
      <c r="U10" s="246">
        <f t="shared" si="4"/>
        <v>6.5599999999999999E-3</v>
      </c>
      <c r="V10" s="246">
        <f t="shared" si="4"/>
        <v>0.25945000000000001</v>
      </c>
    </row>
    <row r="11" spans="1:22">
      <c r="A11" s="241">
        <f>IF($A$34="","",$A$34)</f>
        <v>45200</v>
      </c>
      <c r="B11" s="242">
        <f t="shared" si="5"/>
        <v>0.12128</v>
      </c>
      <c r="C11" s="242">
        <f t="shared" si="5"/>
        <v>1.6820000000000002E-2</v>
      </c>
      <c r="D11" s="242">
        <f t="shared" si="5"/>
        <v>1.58E-3</v>
      </c>
      <c r="E11" s="243">
        <f t="shared" si="5"/>
        <v>8.4999999999999995E-4</v>
      </c>
      <c r="F11" s="243">
        <f t="shared" si="5"/>
        <v>0.12531999999999999</v>
      </c>
      <c r="G11" s="244">
        <f t="shared" si="1"/>
        <v>4.6559999999999997E-2</v>
      </c>
      <c r="H11" s="242">
        <f t="shared" si="2"/>
        <v>0.125</v>
      </c>
      <c r="I11" s="242">
        <f t="shared" si="2"/>
        <v>0.39638000000000001</v>
      </c>
      <c r="J11" s="243">
        <f t="shared" si="2"/>
        <v>0</v>
      </c>
      <c r="K11" s="242">
        <f t="shared" si="2"/>
        <v>0</v>
      </c>
      <c r="L11" s="243">
        <f t="shared" si="2"/>
        <v>0</v>
      </c>
      <c r="M11" s="243">
        <f t="shared" si="2"/>
        <v>0</v>
      </c>
      <c r="N11" s="243">
        <f t="shared" si="2"/>
        <v>0</v>
      </c>
      <c r="O11" s="243">
        <f t="shared" si="2"/>
        <v>0</v>
      </c>
      <c r="P11" s="243">
        <f t="shared" si="2"/>
        <v>-0.27138000000000001</v>
      </c>
      <c r="Q11" s="258">
        <f t="shared" si="6"/>
        <v>0</v>
      </c>
      <c r="R11" s="258">
        <f t="shared" si="6"/>
        <v>0</v>
      </c>
      <c r="S11" s="258">
        <f t="shared" si="6"/>
        <v>6</v>
      </c>
      <c r="T11" s="258">
        <f t="shared" si="6"/>
        <v>95</v>
      </c>
      <c r="U11" s="246">
        <f t="shared" si="4"/>
        <v>0.125</v>
      </c>
      <c r="V11" s="246">
        <f t="shared" si="4"/>
        <v>0.39638000000000001</v>
      </c>
    </row>
    <row r="12" spans="1:22">
      <c r="A12" s="241">
        <f>IF($A$35="","",$A$35)</f>
        <v>45231</v>
      </c>
      <c r="B12" s="242">
        <f t="shared" si="5"/>
        <v>1.6580000000000001E-2</v>
      </c>
      <c r="C12" s="242">
        <f t="shared" si="5"/>
        <v>1.1867099999999999</v>
      </c>
      <c r="D12" s="242">
        <f t="shared" si="5"/>
        <v>0.68286000000000002</v>
      </c>
      <c r="E12" s="243">
        <f t="shared" si="5"/>
        <v>1.0019999999999999E-2</v>
      </c>
      <c r="F12" s="243">
        <f t="shared" si="5"/>
        <v>1.1887000000000001</v>
      </c>
      <c r="G12" s="244">
        <f t="shared" si="1"/>
        <v>0.6287166666666667</v>
      </c>
      <c r="H12" s="242">
        <f t="shared" si="2"/>
        <v>1.29518</v>
      </c>
      <c r="I12" s="242">
        <f t="shared" si="2"/>
        <v>0.61370000000000002</v>
      </c>
      <c r="J12" s="243">
        <f t="shared" si="2"/>
        <v>0</v>
      </c>
      <c r="K12" s="242">
        <f t="shared" si="2"/>
        <v>0</v>
      </c>
      <c r="L12" s="243">
        <f t="shared" si="2"/>
        <v>0</v>
      </c>
      <c r="M12" s="243">
        <f t="shared" si="2"/>
        <v>0</v>
      </c>
      <c r="N12" s="243">
        <f t="shared" si="2"/>
        <v>0</v>
      </c>
      <c r="O12" s="243">
        <f t="shared" si="2"/>
        <v>0</v>
      </c>
      <c r="P12" s="243">
        <f t="shared" si="2"/>
        <v>0.68147999999999997</v>
      </c>
      <c r="Q12" s="258">
        <f t="shared" si="6"/>
        <v>0</v>
      </c>
      <c r="R12" s="258">
        <f t="shared" si="6"/>
        <v>0</v>
      </c>
      <c r="S12" s="258">
        <f t="shared" si="6"/>
        <v>4</v>
      </c>
      <c r="T12" s="258">
        <f t="shared" si="6"/>
        <v>39</v>
      </c>
      <c r="U12" s="246">
        <f t="shared" si="4"/>
        <v>1.29518</v>
      </c>
      <c r="V12" s="246">
        <f t="shared" si="4"/>
        <v>0.61370000000000002</v>
      </c>
    </row>
    <row r="13" spans="1:22">
      <c r="A13" s="241">
        <f>IF($A$36="","",$A$36)</f>
        <v>45261</v>
      </c>
      <c r="B13" s="242">
        <f t="shared" si="5"/>
        <v>0.28661999999999999</v>
      </c>
      <c r="C13" s="242">
        <f t="shared" si="5"/>
        <v>0.11742</v>
      </c>
      <c r="D13" s="242">
        <f t="shared" si="5"/>
        <v>1.0339499999999999</v>
      </c>
      <c r="E13" s="243">
        <f t="shared" si="5"/>
        <v>9.2230000000000006E-2</v>
      </c>
      <c r="F13" s="243">
        <f t="shared" si="5"/>
        <v>1.0391300000000001</v>
      </c>
      <c r="G13" s="244">
        <f t="shared" si="1"/>
        <v>0.47932999999999998</v>
      </c>
      <c r="H13" s="242">
        <f t="shared" si="2"/>
        <v>0.51236000000000004</v>
      </c>
      <c r="I13" s="242">
        <f t="shared" si="2"/>
        <v>0.66342000000000001</v>
      </c>
      <c r="J13" s="243">
        <f t="shared" si="2"/>
        <v>0</v>
      </c>
      <c r="K13" s="242">
        <f t="shared" si="2"/>
        <v>0</v>
      </c>
      <c r="L13" s="243">
        <f t="shared" si="2"/>
        <v>0</v>
      </c>
      <c r="M13" s="243">
        <f t="shared" si="2"/>
        <v>0</v>
      </c>
      <c r="N13" s="243">
        <f t="shared" si="2"/>
        <v>0</v>
      </c>
      <c r="O13" s="243">
        <f t="shared" si="2"/>
        <v>0</v>
      </c>
      <c r="P13" s="243">
        <f t="shared" si="2"/>
        <v>-0.15106</v>
      </c>
      <c r="Q13" s="258">
        <f t="shared" si="6"/>
        <v>0</v>
      </c>
      <c r="R13" s="258">
        <f t="shared" si="6"/>
        <v>0</v>
      </c>
      <c r="S13" s="258">
        <f t="shared" si="6"/>
        <v>5</v>
      </c>
      <c r="T13" s="258">
        <f t="shared" si="6"/>
        <v>80</v>
      </c>
      <c r="U13" s="246">
        <f t="shared" si="4"/>
        <v>0.51236000000000004</v>
      </c>
      <c r="V13" s="246">
        <f t="shared" si="4"/>
        <v>0.66342000000000001</v>
      </c>
    </row>
    <row r="14" spans="1:22">
      <c r="A14" s="241">
        <f>IF($A$37="","",$A$37)</f>
        <v>45292</v>
      </c>
      <c r="B14" s="242">
        <f t="shared" si="5"/>
        <v>0.97387999999999997</v>
      </c>
      <c r="C14" s="242">
        <f t="shared" si="5"/>
        <v>11.102550000000001</v>
      </c>
      <c r="D14" s="242">
        <f t="shared" si="5"/>
        <v>9.9872899999999998</v>
      </c>
      <c r="E14" s="243">
        <f t="shared" si="5"/>
        <v>8.2500000000000004E-3</v>
      </c>
      <c r="F14" s="243">
        <f t="shared" si="5"/>
        <v>1.5200591000000001</v>
      </c>
      <c r="G14" s="244">
        <f t="shared" si="1"/>
        <v>7.3545733333333336</v>
      </c>
      <c r="H14" s="242">
        <f t="shared" si="2"/>
        <v>13.73901</v>
      </c>
      <c r="I14" s="242">
        <f t="shared" si="2"/>
        <v>2.7215699999999998</v>
      </c>
      <c r="J14" s="243">
        <f t="shared" si="2"/>
        <v>0</v>
      </c>
      <c r="K14" s="242">
        <f t="shared" si="2"/>
        <v>0</v>
      </c>
      <c r="L14" s="243">
        <f t="shared" si="2"/>
        <v>0</v>
      </c>
      <c r="M14" s="243">
        <f t="shared" si="2"/>
        <v>0</v>
      </c>
      <c r="N14" s="243">
        <f t="shared" si="2"/>
        <v>0</v>
      </c>
      <c r="O14" s="243">
        <f t="shared" si="2"/>
        <v>0</v>
      </c>
      <c r="P14" s="243">
        <f t="shared" si="2"/>
        <v>11.017440000000001</v>
      </c>
      <c r="Q14" s="258">
        <f t="shared" si="6"/>
        <v>0</v>
      </c>
      <c r="R14" s="258">
        <f t="shared" si="6"/>
        <v>0</v>
      </c>
      <c r="S14" s="258">
        <f t="shared" si="6"/>
        <v>15</v>
      </c>
      <c r="T14" s="258">
        <f t="shared" si="6"/>
        <v>55</v>
      </c>
      <c r="U14" s="246">
        <f t="shared" si="4"/>
        <v>13.73901</v>
      </c>
      <c r="V14" s="246">
        <f t="shared" si="4"/>
        <v>2.7215699999999998</v>
      </c>
    </row>
    <row r="15" spans="1:22">
      <c r="A15" s="241">
        <f>IF($A$38="","",$A$38)</f>
        <v>45323</v>
      </c>
      <c r="B15" s="242">
        <f t="shared" si="5"/>
        <v>9.6970500000000008</v>
      </c>
      <c r="C15" s="242">
        <f t="shared" si="5"/>
        <v>9.6034000000000006</v>
      </c>
      <c r="D15" s="242">
        <f t="shared" si="5"/>
        <v>8.9354700000000005</v>
      </c>
      <c r="E15" s="243">
        <f t="shared" si="5"/>
        <v>8.7152499999999993</v>
      </c>
      <c r="F15" s="243">
        <f t="shared" si="5"/>
        <v>10.0235521</v>
      </c>
      <c r="G15" s="244">
        <f t="shared" si="1"/>
        <v>9.411973333333334</v>
      </c>
      <c r="H15" s="242">
        <f t="shared" si="2"/>
        <v>1.09551</v>
      </c>
      <c r="I15" s="242">
        <f t="shared" si="2"/>
        <v>2.2285400000000002</v>
      </c>
      <c r="J15" s="243">
        <f t="shared" si="2"/>
        <v>0</v>
      </c>
      <c r="K15" s="242">
        <f t="shared" si="2"/>
        <v>0</v>
      </c>
      <c r="L15" s="243">
        <f t="shared" si="2"/>
        <v>0</v>
      </c>
      <c r="M15" s="243">
        <f t="shared" si="2"/>
        <v>0</v>
      </c>
      <c r="N15" s="243">
        <f t="shared" si="2"/>
        <v>0</v>
      </c>
      <c r="O15" s="243">
        <f t="shared" si="2"/>
        <v>0</v>
      </c>
      <c r="P15" s="243">
        <f t="shared" si="2"/>
        <v>-1.13303</v>
      </c>
      <c r="Q15" s="258">
        <f t="shared" si="6"/>
        <v>0</v>
      </c>
      <c r="R15" s="258">
        <f t="shared" si="6"/>
        <v>0</v>
      </c>
      <c r="S15" s="258">
        <f t="shared" si="6"/>
        <v>7</v>
      </c>
      <c r="T15" s="258">
        <f t="shared" si="6"/>
        <v>49</v>
      </c>
      <c r="U15" s="246">
        <f t="shared" si="4"/>
        <v>1.09551</v>
      </c>
      <c r="V15" s="246">
        <f t="shared" si="4"/>
        <v>2.2285400000000002</v>
      </c>
    </row>
    <row r="16" spans="1:22">
      <c r="A16" s="245" t="s">
        <v>524</v>
      </c>
      <c r="B16" s="246">
        <f t="shared" ref="B16:V16" si="7">+SUM(B4:B15)</f>
        <v>11.39659</v>
      </c>
      <c r="C16" s="246">
        <f t="shared" si="7"/>
        <v>22.152940000000001</v>
      </c>
      <c r="D16" s="246">
        <f t="shared" si="7"/>
        <v>20.745550000000001</v>
      </c>
      <c r="E16" s="246">
        <f t="shared" ref="E16:F16" si="8">+SUM(E4:E15)</f>
        <v>8.9309899999999995</v>
      </c>
      <c r="F16" s="246">
        <f t="shared" si="8"/>
        <v>14.2944412</v>
      </c>
      <c r="G16" s="246">
        <f t="shared" si="7"/>
        <v>18.09836</v>
      </c>
      <c r="H16" s="246">
        <f t="shared" si="7"/>
        <v>16.773620000000001</v>
      </c>
      <c r="I16" s="246">
        <f t="shared" si="7"/>
        <v>6.8830600000000004</v>
      </c>
      <c r="J16" s="246">
        <f t="shared" ref="J16:P16" si="9">+SUM(J4:J15)</f>
        <v>0</v>
      </c>
      <c r="K16" s="246">
        <f t="shared" si="9"/>
        <v>0</v>
      </c>
      <c r="L16" s="246">
        <f t="shared" si="9"/>
        <v>0</v>
      </c>
      <c r="M16" s="246">
        <f t="shared" si="9"/>
        <v>0</v>
      </c>
      <c r="N16" s="246">
        <f t="shared" si="9"/>
        <v>0</v>
      </c>
      <c r="O16" s="246">
        <f t="shared" si="9"/>
        <v>0</v>
      </c>
      <c r="P16" s="246">
        <f t="shared" si="9"/>
        <v>9.8905600000000007</v>
      </c>
      <c r="Q16" s="254">
        <f t="shared" si="7"/>
        <v>0</v>
      </c>
      <c r="R16" s="254">
        <f t="shared" si="7"/>
        <v>0</v>
      </c>
      <c r="S16" s="254">
        <f t="shared" si="7"/>
        <v>38</v>
      </c>
      <c r="T16" s="254">
        <f t="shared" si="7"/>
        <v>387</v>
      </c>
      <c r="U16" s="246">
        <f t="shared" si="7"/>
        <v>16.773620000000001</v>
      </c>
      <c r="V16" s="246">
        <f t="shared" si="7"/>
        <v>6.8830600000000004</v>
      </c>
    </row>
    <row r="17" spans="1:22">
      <c r="A17" s="245" t="s">
        <v>525</v>
      </c>
      <c r="B17" s="246">
        <f>IFERROR(B16/(COUNTA(A4:A15)-COUNTIF(A4:A15,"")),0)</f>
        <v>0.94971583333333331</v>
      </c>
      <c r="C17" s="246">
        <f>IFERROR(C16/(COUNTA(A4:A15)-COUNTIF(A4:A15,"")),0)</f>
        <v>1.8460783333333335</v>
      </c>
      <c r="D17" s="246">
        <f>IFERROR(D16/(COUNTA(A4:A15)-COUNTIF(A4:A15,"")),0)</f>
        <v>1.7287958333333335</v>
      </c>
      <c r="E17" s="246">
        <f>IFERROR(E16/(COUNTA(A4:A15)-COUNTIF(A4:A15,"")),0)</f>
        <v>0.74424916666666663</v>
      </c>
      <c r="F17" s="246">
        <f>IFERROR(F16/(COUNTA(A4:A15)-COUNTIF(A4:A15,"")),0)</f>
        <v>1.1912034333333332</v>
      </c>
      <c r="G17" s="246">
        <f>IFERROR(G16/(COUNTA(A4:A15)-COUNTIF(A4:A15,"")),0)</f>
        <v>1.5081966666666666</v>
      </c>
      <c r="H17" s="246">
        <f>IFERROR(H16/(COUNTA(A4:A15)-COUNTIF(A4:A15,"")),0)</f>
        <v>1.3978016666666668</v>
      </c>
      <c r="I17" s="246">
        <f>IFERROR(I16/(COUNTA(A4:A15)-COUNTIF(A4:A15,"")),0)</f>
        <v>0.57358833333333337</v>
      </c>
      <c r="J17" s="246">
        <f>IFERROR(J16/(COUNTA(A4:A15)-COUNTIF(A4:A15,"")),0)</f>
        <v>0</v>
      </c>
      <c r="K17" s="246">
        <f>IFERROR(K16/(COUNTA(A4:A15)-COUNTIF(A4:A15,"")),0)</f>
        <v>0</v>
      </c>
      <c r="L17" s="246">
        <f>IFERROR(L16/(COUNTA(A4:A15)-COUNTIF(A4:A15,"")),0)</f>
        <v>0</v>
      </c>
      <c r="M17" s="246">
        <f>IFERROR(M16/(COUNTA(A4:A15)-COUNTIF(A4:A15,"")),0)</f>
        <v>0</v>
      </c>
      <c r="N17" s="246">
        <f>IFERROR(N16/(COUNTA(A4:A15)-COUNTIF(A4:A15,"")),0)</f>
        <v>0</v>
      </c>
      <c r="O17" s="246">
        <f>IFERROR(O16/(COUNTA(A4:A15)-COUNTIF(A4:A15,"")),0)</f>
        <v>0</v>
      </c>
      <c r="P17" s="246">
        <f>IFERROR(P16/(COUNTA(A4:A15)-COUNTIF(A4:A15,"")),0)</f>
        <v>0.82421333333333335</v>
      </c>
      <c r="Q17" s="259"/>
      <c r="R17" s="259"/>
      <c r="S17" s="246">
        <f>IFERROR(R16/S16*100,0)</f>
        <v>0</v>
      </c>
      <c r="T17" s="246">
        <f>IFERROR(Q16/T16*100,0)</f>
        <v>0</v>
      </c>
      <c r="U17" s="246">
        <f>IFERROR(U16/(COUNTA(A4:A15)-COUNTIF(A4:A15,"")),0)</f>
        <v>1.3978016666666668</v>
      </c>
      <c r="V17" s="246">
        <f>IFERROR(V16/(COUNTA(A4:A15)-COUNTIF(A4:A15,"")),0)</f>
        <v>0.57358833333333337</v>
      </c>
    </row>
    <row r="18" spans="1:22" ht="38.25">
      <c r="A18" s="245" t="s">
        <v>526</v>
      </c>
      <c r="B18" s="246">
        <f>IFERROR((B41+B64+B87+B110+B133+B156+B179+B202+B225+B248+B271+B294+B317+B340+B363+B386+B409+B432+B455+B478)/100000,0)</f>
        <v>0.94971583333333331</v>
      </c>
      <c r="C18" s="246">
        <f t="shared" ref="C18:G18" si="10">IFERROR((C41+C64+C87+C110+C133+C156+C179+C202+C225+C248+C271+C294+C317+C340+C363+C386+C409+C432+C455+C478)/100000,0)</f>
        <v>1.8460783333333335</v>
      </c>
      <c r="D18" s="246">
        <f t="shared" si="10"/>
        <v>1.7287958333333335</v>
      </c>
      <c r="E18" s="246"/>
      <c r="F18" s="246"/>
      <c r="G18" s="246">
        <f t="shared" si="10"/>
        <v>1.5081966666666666</v>
      </c>
      <c r="H18" s="246"/>
      <c r="I18" s="246"/>
      <c r="J18" s="246"/>
      <c r="K18" s="246"/>
      <c r="L18" s="246"/>
      <c r="M18" s="246"/>
      <c r="N18" s="246"/>
      <c r="O18" s="246"/>
      <c r="P18" s="246"/>
      <c r="Q18" s="259"/>
      <c r="R18" s="259"/>
      <c r="S18" s="260" t="s">
        <v>527</v>
      </c>
      <c r="T18" s="260" t="s">
        <v>528</v>
      </c>
      <c r="U18" s="260"/>
      <c r="V18" s="260"/>
    </row>
    <row r="19" spans="1:22"/>
    <row r="20" spans="1:22"/>
    <row r="21" spans="1:22"/>
    <row r="22" spans="1:22">
      <c r="A22" s="432" t="s">
        <v>504</v>
      </c>
      <c r="B22" s="432"/>
      <c r="C22" s="437" t="s">
        <v>529</v>
      </c>
      <c r="D22" s="438"/>
      <c r="E22" s="438"/>
      <c r="F22" s="438"/>
      <c r="G22" s="438"/>
      <c r="H22" s="438"/>
      <c r="I22" s="438"/>
      <c r="J22" s="438"/>
      <c r="K22" s="438"/>
      <c r="L22" s="438"/>
      <c r="M22" s="438"/>
      <c r="N22" s="438"/>
      <c r="O22" s="438"/>
      <c r="P22" s="438"/>
      <c r="Q22" s="438"/>
      <c r="R22" s="438"/>
      <c r="S22" s="438"/>
      <c r="T22" s="439"/>
      <c r="U22" s="247"/>
      <c r="V22" s="247"/>
    </row>
    <row r="23" spans="1:22">
      <c r="A23" s="432" t="s">
        <v>530</v>
      </c>
      <c r="B23" s="432"/>
      <c r="C23" s="440" t="s">
        <v>531</v>
      </c>
      <c r="D23" s="440"/>
      <c r="E23" s="440"/>
      <c r="F23" s="440"/>
      <c r="G23" s="440"/>
      <c r="H23" s="441" t="s">
        <v>532</v>
      </c>
      <c r="I23" s="441"/>
      <c r="J23" s="440"/>
      <c r="K23" s="440"/>
      <c r="L23" s="440"/>
      <c r="M23" s="440"/>
      <c r="N23" s="440"/>
      <c r="O23" s="440"/>
      <c r="P23" s="440"/>
      <c r="Q23" s="440"/>
      <c r="R23" s="440"/>
      <c r="S23" s="440"/>
      <c r="T23" s="440"/>
      <c r="U23" s="247"/>
      <c r="V23" s="247"/>
    </row>
    <row r="24" spans="1:22" ht="25.5">
      <c r="A24" s="432" t="s">
        <v>533</v>
      </c>
      <c r="B24" s="432"/>
      <c r="C24" s="437" t="s">
        <v>534</v>
      </c>
      <c r="D24" s="439"/>
      <c r="E24" s="249" t="s">
        <v>535</v>
      </c>
      <c r="F24" s="442" t="s">
        <v>536</v>
      </c>
      <c r="G24" s="443"/>
      <c r="H24" s="443"/>
      <c r="I24" s="444"/>
      <c r="J24" s="249" t="s">
        <v>537</v>
      </c>
      <c r="K24" s="442"/>
      <c r="L24" s="443"/>
      <c r="M24" s="444"/>
      <c r="N24" s="248" t="s">
        <v>538</v>
      </c>
      <c r="O24" s="445"/>
      <c r="P24" s="446"/>
      <c r="Q24" s="446"/>
      <c r="R24" s="446"/>
      <c r="S24" s="446"/>
      <c r="T24" s="447"/>
      <c r="U24" s="261"/>
      <c r="V24" s="261"/>
    </row>
    <row r="25" spans="1:22" ht="51">
      <c r="A25" s="239" t="s">
        <v>161</v>
      </c>
      <c r="B25" s="434" t="s">
        <v>539</v>
      </c>
      <c r="C25" s="434"/>
      <c r="D25" s="434"/>
      <c r="E25" s="240" t="s">
        <v>540</v>
      </c>
      <c r="F25" s="240" t="s">
        <v>541</v>
      </c>
      <c r="G25" s="239" t="s">
        <v>542</v>
      </c>
      <c r="H25" s="239" t="s">
        <v>543</v>
      </c>
      <c r="I25" s="239" t="s">
        <v>544</v>
      </c>
      <c r="J25" s="240" t="s">
        <v>545</v>
      </c>
      <c r="K25" s="240" t="s">
        <v>546</v>
      </c>
      <c r="L25" s="435" t="s">
        <v>547</v>
      </c>
      <c r="M25" s="436"/>
      <c r="N25" s="435" t="s">
        <v>548</v>
      </c>
      <c r="O25" s="436"/>
      <c r="P25" s="239" t="s">
        <v>549</v>
      </c>
      <c r="Q25" s="239" t="s">
        <v>516</v>
      </c>
      <c r="R25" s="239" t="s">
        <v>517</v>
      </c>
      <c r="S25" s="239" t="s">
        <v>518</v>
      </c>
      <c r="T25" s="239" t="s">
        <v>519</v>
      </c>
      <c r="U25" s="239" t="s">
        <v>550</v>
      </c>
      <c r="V25" s="239" t="s">
        <v>551</v>
      </c>
    </row>
    <row r="26" spans="1:22">
      <c r="A26" s="239"/>
      <c r="B26" s="239">
        <v>10</v>
      </c>
      <c r="C26" s="239">
        <v>20</v>
      </c>
      <c r="D26" s="239">
        <v>30</v>
      </c>
      <c r="E26" s="239"/>
      <c r="F26" s="239"/>
      <c r="G26" s="239"/>
      <c r="H26" s="239"/>
      <c r="I26" s="239"/>
      <c r="J26" s="239"/>
      <c r="K26" s="239"/>
      <c r="L26" s="239" t="s">
        <v>522</v>
      </c>
      <c r="M26" s="239" t="s">
        <v>523</v>
      </c>
      <c r="N26" s="239" t="s">
        <v>522</v>
      </c>
      <c r="O26" s="239" t="s">
        <v>523</v>
      </c>
      <c r="P26" s="239"/>
      <c r="Q26" s="239"/>
      <c r="R26" s="239"/>
      <c r="S26" s="239"/>
      <c r="T26" s="239"/>
      <c r="U26" s="239"/>
      <c r="V26" s="239"/>
    </row>
    <row r="27" spans="1:22">
      <c r="A27" s="250">
        <v>44986</v>
      </c>
      <c r="B27" s="251"/>
      <c r="C27" s="251"/>
      <c r="D27" s="251"/>
      <c r="E27" s="251"/>
      <c r="F27" s="251"/>
      <c r="G27" s="252">
        <f>IFERROR(AVERAGE(B27:D27),0)</f>
        <v>0</v>
      </c>
      <c r="H27" s="251"/>
      <c r="I27" s="251"/>
      <c r="J27" s="251"/>
      <c r="K27" s="251"/>
      <c r="L27" s="251"/>
      <c r="M27" s="251"/>
      <c r="N27" s="251"/>
      <c r="O27" s="251"/>
      <c r="P27" s="256">
        <f>+H27-I27-J27-M27+L27</f>
        <v>0</v>
      </c>
      <c r="Q27" s="262"/>
      <c r="R27" s="262"/>
      <c r="S27" s="262"/>
      <c r="T27" s="262"/>
      <c r="U27" s="254">
        <f>H27-J27-M27</f>
        <v>0</v>
      </c>
      <c r="V27" s="254">
        <f>I27-L27</f>
        <v>0</v>
      </c>
    </row>
    <row r="28" spans="1:22">
      <c r="A28" s="250">
        <v>45017</v>
      </c>
      <c r="B28" s="251"/>
      <c r="C28" s="251"/>
      <c r="D28" s="251"/>
      <c r="E28" s="251"/>
      <c r="F28" s="251"/>
      <c r="G28" s="252">
        <f t="shared" ref="G28:G38" si="11">IFERROR(AVERAGE(B28:D28),0)</f>
        <v>0</v>
      </c>
      <c r="H28" s="251"/>
      <c r="I28" s="251"/>
      <c r="J28" s="251"/>
      <c r="K28" s="251"/>
      <c r="L28" s="251"/>
      <c r="M28" s="251"/>
      <c r="N28" s="251"/>
      <c r="O28" s="251"/>
      <c r="P28" s="256">
        <f t="shared" ref="P28:P38" si="12">+H28-I28-J28-M28+L28</f>
        <v>0</v>
      </c>
      <c r="Q28" s="262"/>
      <c r="R28" s="262"/>
      <c r="S28" s="262"/>
      <c r="T28" s="262"/>
      <c r="U28" s="254">
        <f t="shared" ref="U28:U38" si="13">H28-J28-M28</f>
        <v>0</v>
      </c>
      <c r="V28" s="254">
        <f t="shared" ref="V28:V38" si="14">I28-L28</f>
        <v>0</v>
      </c>
    </row>
    <row r="29" spans="1:22">
      <c r="A29" s="250">
        <v>45047</v>
      </c>
      <c r="B29" s="251"/>
      <c r="C29" s="251"/>
      <c r="D29" s="251"/>
      <c r="E29" s="251"/>
      <c r="F29" s="251"/>
      <c r="G29" s="252">
        <f t="shared" si="11"/>
        <v>0</v>
      </c>
      <c r="H29" s="251"/>
      <c r="I29" s="251"/>
      <c r="J29" s="251"/>
      <c r="K29" s="251"/>
      <c r="L29" s="251"/>
      <c r="M29" s="251"/>
      <c r="N29" s="251"/>
      <c r="O29" s="251"/>
      <c r="P29" s="256">
        <f t="shared" si="12"/>
        <v>0</v>
      </c>
      <c r="Q29" s="262"/>
      <c r="R29" s="262"/>
      <c r="S29" s="262"/>
      <c r="T29" s="262"/>
      <c r="U29" s="254">
        <f t="shared" si="13"/>
        <v>0</v>
      </c>
      <c r="V29" s="254">
        <f t="shared" si="14"/>
        <v>0</v>
      </c>
    </row>
    <row r="30" spans="1:22">
      <c r="A30" s="250">
        <v>45078</v>
      </c>
      <c r="B30" s="251"/>
      <c r="C30" s="251"/>
      <c r="D30" s="251"/>
      <c r="E30" s="251"/>
      <c r="F30" s="251"/>
      <c r="G30" s="252">
        <f t="shared" si="11"/>
        <v>0</v>
      </c>
      <c r="H30" s="251"/>
      <c r="I30" s="251"/>
      <c r="J30" s="251"/>
      <c r="K30" s="251"/>
      <c r="L30" s="251"/>
      <c r="M30" s="251"/>
      <c r="N30" s="251"/>
      <c r="O30" s="251"/>
      <c r="P30" s="256">
        <f t="shared" si="12"/>
        <v>0</v>
      </c>
      <c r="Q30" s="262"/>
      <c r="R30" s="262"/>
      <c r="S30" s="262"/>
      <c r="T30" s="262"/>
      <c r="U30" s="254">
        <f t="shared" si="13"/>
        <v>0</v>
      </c>
      <c r="V30" s="254">
        <f t="shared" si="14"/>
        <v>0</v>
      </c>
    </row>
    <row r="31" spans="1:22">
      <c r="A31" s="250">
        <v>45108</v>
      </c>
      <c r="B31" s="251"/>
      <c r="C31" s="251"/>
      <c r="D31" s="251"/>
      <c r="E31" s="251"/>
      <c r="F31" s="251"/>
      <c r="G31" s="252">
        <f t="shared" si="11"/>
        <v>0</v>
      </c>
      <c r="H31" s="251"/>
      <c r="I31" s="251"/>
      <c r="J31" s="251"/>
      <c r="K31" s="251"/>
      <c r="L31" s="251"/>
      <c r="M31" s="251"/>
      <c r="N31" s="251"/>
      <c r="O31" s="251"/>
      <c r="P31" s="256">
        <f t="shared" si="12"/>
        <v>0</v>
      </c>
      <c r="Q31" s="262"/>
      <c r="R31" s="262"/>
      <c r="S31" s="262"/>
      <c r="T31" s="262"/>
      <c r="U31" s="254">
        <f t="shared" si="13"/>
        <v>0</v>
      </c>
      <c r="V31" s="254">
        <f t="shared" si="14"/>
        <v>0</v>
      </c>
    </row>
    <row r="32" spans="1:22">
      <c r="A32" s="250">
        <v>45139</v>
      </c>
      <c r="B32" s="251"/>
      <c r="C32" s="251"/>
      <c r="D32" s="251"/>
      <c r="E32" s="251"/>
      <c r="F32" s="251"/>
      <c r="G32" s="252">
        <f t="shared" si="11"/>
        <v>0</v>
      </c>
      <c r="H32" s="253"/>
      <c r="I32" s="251"/>
      <c r="J32" s="251"/>
      <c r="K32" s="251"/>
      <c r="L32" s="251"/>
      <c r="M32" s="251"/>
      <c r="N32" s="251"/>
      <c r="O32" s="251"/>
      <c r="P32" s="256">
        <f t="shared" si="12"/>
        <v>0</v>
      </c>
      <c r="Q32" s="262"/>
      <c r="R32" s="262"/>
      <c r="S32" s="263"/>
      <c r="T32" s="263"/>
      <c r="U32" s="254">
        <f t="shared" si="13"/>
        <v>0</v>
      </c>
      <c r="V32" s="254">
        <f t="shared" si="14"/>
        <v>0</v>
      </c>
    </row>
    <row r="33" spans="1:22">
      <c r="A33" s="250">
        <v>45170</v>
      </c>
      <c r="B33" s="251">
        <v>30118</v>
      </c>
      <c r="C33" s="251">
        <v>12604</v>
      </c>
      <c r="D33" s="251">
        <v>10440</v>
      </c>
      <c r="E33" s="251">
        <v>10439</v>
      </c>
      <c r="F33" s="251">
        <v>39768</v>
      </c>
      <c r="G33" s="252">
        <f t="shared" si="11"/>
        <v>17720.666666666668</v>
      </c>
      <c r="H33" s="253">
        <f>656</f>
        <v>656</v>
      </c>
      <c r="I33" s="253">
        <f>2000+19+140+323+10+180+100+181+70+80+100+3000+312+125+120+70+52+50+180+40+19+105+35+100+200+700+90+30+40+60+1400+4600+160+80+120+130+320+70+90+160+200+200+150+50+700+75+70+70+100+110+140+298+100+200+5000+320+80+20+800+19+185+323+120+104+100+100+350+200+100</f>
        <v>25945</v>
      </c>
      <c r="J33" s="251"/>
      <c r="K33" s="251"/>
      <c r="L33" s="251"/>
      <c r="M33" s="251"/>
      <c r="N33" s="251"/>
      <c r="O33" s="251"/>
      <c r="P33" s="256">
        <f t="shared" si="12"/>
        <v>-25289</v>
      </c>
      <c r="Q33" s="262"/>
      <c r="R33" s="262"/>
      <c r="S33" s="251">
        <v>1</v>
      </c>
      <c r="T33" s="251">
        <v>69</v>
      </c>
      <c r="U33" s="254">
        <f t="shared" si="13"/>
        <v>656</v>
      </c>
      <c r="V33" s="254">
        <f t="shared" si="14"/>
        <v>25945</v>
      </c>
    </row>
    <row r="34" spans="1:22">
      <c r="A34" s="250">
        <v>45200</v>
      </c>
      <c r="B34" s="251">
        <v>12128</v>
      </c>
      <c r="C34" s="251">
        <v>1682</v>
      </c>
      <c r="D34" s="251">
        <v>158</v>
      </c>
      <c r="E34" s="251">
        <v>85</v>
      </c>
      <c r="F34" s="251">
        <v>12532</v>
      </c>
      <c r="G34" s="252">
        <f t="shared" si="11"/>
        <v>4656</v>
      </c>
      <c r="H34" s="253">
        <f>2000+5000+2000+3000+100+400</f>
        <v>12500</v>
      </c>
      <c r="I34" s="253">
        <f>150+200+350+140+70+565+30+50+130+40+200+580+19+400+500+200+690+50+5800+112+60+150+60+1500+80+170+50+475+16+55+70+70+40+150+20+7600+70+150+16+7600+70+150+16+30+70+500+19+50+800+30+300+80+800+300+60+140+30+60+610+80+0+16+150+306+500+50+80+25+16+70+19+542+323+19+10+50+300+19+0+60+55+25+70+16+170+2756+40+50+15+165+60+127+100+542+19</f>
        <v>39638</v>
      </c>
      <c r="J34" s="251"/>
      <c r="K34" s="251"/>
      <c r="L34" s="251"/>
      <c r="M34" s="251"/>
      <c r="N34" s="251"/>
      <c r="O34" s="251"/>
      <c r="P34" s="256">
        <f t="shared" si="12"/>
        <v>-27138</v>
      </c>
      <c r="Q34" s="262"/>
      <c r="R34" s="262"/>
      <c r="S34" s="251">
        <v>6</v>
      </c>
      <c r="T34" s="251">
        <v>95</v>
      </c>
      <c r="U34" s="254">
        <f t="shared" si="13"/>
        <v>12500</v>
      </c>
      <c r="V34" s="254">
        <f t="shared" si="14"/>
        <v>39638</v>
      </c>
    </row>
    <row r="35" spans="1:22">
      <c r="A35" s="250">
        <v>45231</v>
      </c>
      <c r="B35" s="251">
        <v>1658</v>
      </c>
      <c r="C35" s="251">
        <v>118671</v>
      </c>
      <c r="D35" s="251">
        <v>68286</v>
      </c>
      <c r="E35" s="251">
        <v>1002</v>
      </c>
      <c r="F35" s="251">
        <v>118870</v>
      </c>
      <c r="G35" s="252">
        <f t="shared" si="11"/>
        <v>62871.666666666664</v>
      </c>
      <c r="H35" s="253">
        <f>9500+4500+2000+113518</f>
        <v>129518</v>
      </c>
      <c r="I35" s="253">
        <f>1500+3500+3000+32+70+120+433+340+680+225+105+70+30+700+200+235+4000+800+7600+6000+4200+1500+9700+5000+110+70+9800+50+25+100+40+180+70+300+50+30+120+55+330</f>
        <v>61370</v>
      </c>
      <c r="J35" s="251"/>
      <c r="K35" s="251"/>
      <c r="L35" s="251"/>
      <c r="M35" s="251"/>
      <c r="N35" s="251"/>
      <c r="O35" s="251"/>
      <c r="P35" s="256">
        <f t="shared" si="12"/>
        <v>68148</v>
      </c>
      <c r="Q35" s="262"/>
      <c r="R35" s="262"/>
      <c r="S35" s="251">
        <v>4</v>
      </c>
      <c r="T35" s="251">
        <v>39</v>
      </c>
      <c r="U35" s="254">
        <f t="shared" si="13"/>
        <v>129518</v>
      </c>
      <c r="V35" s="254">
        <f t="shared" si="14"/>
        <v>61370</v>
      </c>
    </row>
    <row r="36" spans="1:22">
      <c r="A36" s="250">
        <v>45261</v>
      </c>
      <c r="B36" s="251">
        <v>28662</v>
      </c>
      <c r="C36" s="251">
        <v>11742</v>
      </c>
      <c r="D36" s="251">
        <v>103395</v>
      </c>
      <c r="E36" s="251">
        <v>9223</v>
      </c>
      <c r="F36" s="251">
        <v>103913</v>
      </c>
      <c r="G36" s="252">
        <f t="shared" si="11"/>
        <v>47933</v>
      </c>
      <c r="H36" s="253">
        <f>1000+300+300+136+49500</f>
        <v>51236</v>
      </c>
      <c r="I36" s="253">
        <f>750+90+50+100+1360+50+50+700+19+150+130+100+120+7000+1650+110+4700+70+50+300+19500+120+385+70+50+280+4600+1360+1226+200+542+353+230+80+70+320+90+45+90+50+4300+1000+81+25+16+542+210+70+542+210+60+10+110+30+60+70+30+140+70+30+40+30+120+410+50+16+12+75+70+220+20+50+50+1+8562+280+50+260+780+430</f>
        <v>66342</v>
      </c>
      <c r="J36" s="251"/>
      <c r="K36" s="251"/>
      <c r="L36" s="251"/>
      <c r="M36" s="251"/>
      <c r="N36" s="251"/>
      <c r="O36" s="251"/>
      <c r="P36" s="256">
        <f t="shared" si="12"/>
        <v>-15106</v>
      </c>
      <c r="Q36" s="262"/>
      <c r="R36" s="262"/>
      <c r="S36" s="251">
        <v>5</v>
      </c>
      <c r="T36" s="251">
        <v>80</v>
      </c>
      <c r="U36" s="254">
        <f t="shared" si="13"/>
        <v>51236</v>
      </c>
      <c r="V36" s="254">
        <f t="shared" si="14"/>
        <v>66342</v>
      </c>
    </row>
    <row r="37" spans="1:22">
      <c r="A37" s="250">
        <v>45292</v>
      </c>
      <c r="B37" s="251">
        <v>97388</v>
      </c>
      <c r="C37" s="251">
        <v>1110255</v>
      </c>
      <c r="D37" s="251">
        <v>998729</v>
      </c>
      <c r="E37" s="251">
        <v>825</v>
      </c>
      <c r="F37" s="251">
        <v>152005.91</v>
      </c>
      <c r="G37" s="252">
        <f t="shared" si="11"/>
        <v>735457.33333333337</v>
      </c>
      <c r="H37" s="253">
        <f>400+49500+1500+48500+46000+3000+2500+48500+46000+3000+2500+14500+1+58000+1050000</f>
        <v>1373901</v>
      </c>
      <c r="I37" s="253">
        <f>80+1000+340+100+40+70+125+114+100+80+0+30+70+375+220+70+20+150000+100+45+25+25+25+2120+320+700+90+130+25+25+25+2120+320+700+90+130+351+236+116+200+80+200+120+260+200+2850+5000+19+99000+19+40+3000+10+588+19</f>
        <v>272157</v>
      </c>
      <c r="J37" s="251"/>
      <c r="K37" s="251"/>
      <c r="L37" s="251"/>
      <c r="M37" s="251"/>
      <c r="N37" s="251"/>
      <c r="O37" s="251"/>
      <c r="P37" s="256">
        <f t="shared" si="12"/>
        <v>1101744</v>
      </c>
      <c r="Q37" s="262"/>
      <c r="R37" s="262"/>
      <c r="S37" s="251">
        <v>15</v>
      </c>
      <c r="T37" s="251">
        <v>55</v>
      </c>
      <c r="U37" s="254">
        <f t="shared" si="13"/>
        <v>1373901</v>
      </c>
      <c r="V37" s="254">
        <f t="shared" si="14"/>
        <v>272157</v>
      </c>
    </row>
    <row r="38" spans="1:22">
      <c r="A38" s="250">
        <v>45323</v>
      </c>
      <c r="B38" s="251">
        <v>969705</v>
      </c>
      <c r="C38" s="251">
        <v>960340</v>
      </c>
      <c r="D38" s="251">
        <v>893547</v>
      </c>
      <c r="E38" s="251">
        <v>871525</v>
      </c>
      <c r="F38" s="251">
        <v>1002355.21</v>
      </c>
      <c r="G38" s="252">
        <f t="shared" si="11"/>
        <v>941197.33333333337</v>
      </c>
      <c r="H38" s="251">
        <f>1+8000+50+50000+500+49000+2000</f>
        <v>109551</v>
      </c>
      <c r="I38" s="251">
        <f>1000+7600+149+3000+375+1000+450+95000+60+40+100+80+100+35000+50+1+19+542+500+30+17+280+7600+542+330+350+32+70+30+20+83+19+330+750+180+75+90+40+375+91+60+197+5+50000+375+647+70+15000+100</f>
        <v>222854</v>
      </c>
      <c r="J38" s="251"/>
      <c r="K38" s="251"/>
      <c r="L38" s="251"/>
      <c r="M38" s="251"/>
      <c r="N38" s="251"/>
      <c r="O38" s="251"/>
      <c r="P38" s="256">
        <f t="shared" si="12"/>
        <v>-113303</v>
      </c>
      <c r="Q38" s="262"/>
      <c r="R38" s="262"/>
      <c r="S38" s="251">
        <v>7</v>
      </c>
      <c r="T38" s="251">
        <v>49</v>
      </c>
      <c r="U38" s="254">
        <f t="shared" si="13"/>
        <v>109551</v>
      </c>
      <c r="V38" s="254">
        <f t="shared" si="14"/>
        <v>222854</v>
      </c>
    </row>
    <row r="39" spans="1:22">
      <c r="A39" s="245" t="s">
        <v>524</v>
      </c>
      <c r="B39" s="254">
        <f t="shared" ref="B39:T39" si="15">+SUM(B27:B38)</f>
        <v>1139659</v>
      </c>
      <c r="C39" s="254">
        <f t="shared" si="15"/>
        <v>2215294</v>
      </c>
      <c r="D39" s="254">
        <f t="shared" si="15"/>
        <v>2074555</v>
      </c>
      <c r="E39" s="254">
        <f t="shared" ref="E39:F39" si="16">+SUM(E27:E38)</f>
        <v>893099</v>
      </c>
      <c r="F39" s="254">
        <f t="shared" si="16"/>
        <v>1429444.12</v>
      </c>
      <c r="G39" s="254">
        <f t="shared" si="15"/>
        <v>1809836</v>
      </c>
      <c r="H39" s="254">
        <f t="shared" si="15"/>
        <v>1677362</v>
      </c>
      <c r="I39" s="254">
        <f t="shared" si="15"/>
        <v>688306</v>
      </c>
      <c r="J39" s="254">
        <f t="shared" ref="J39:O39" si="17">+SUM(J27:J38)</f>
        <v>0</v>
      </c>
      <c r="K39" s="254">
        <f t="shared" si="17"/>
        <v>0</v>
      </c>
      <c r="L39" s="254">
        <f t="shared" si="17"/>
        <v>0</v>
      </c>
      <c r="M39" s="254">
        <f t="shared" si="17"/>
        <v>0</v>
      </c>
      <c r="N39" s="254">
        <f t="shared" si="17"/>
        <v>0</v>
      </c>
      <c r="O39" s="254">
        <f t="shared" si="17"/>
        <v>0</v>
      </c>
      <c r="P39" s="254">
        <f t="shared" si="15"/>
        <v>989056</v>
      </c>
      <c r="Q39" s="254">
        <f t="shared" si="15"/>
        <v>0</v>
      </c>
      <c r="R39" s="254">
        <f t="shared" si="15"/>
        <v>0</v>
      </c>
      <c r="S39" s="254">
        <f t="shared" si="15"/>
        <v>38</v>
      </c>
      <c r="T39" s="254">
        <f t="shared" si="15"/>
        <v>387</v>
      </c>
      <c r="U39" s="254">
        <f t="shared" ref="U39:V39" si="18">+SUM(U27:U38)</f>
        <v>1677362</v>
      </c>
      <c r="V39" s="254">
        <f t="shared" si="18"/>
        <v>688306</v>
      </c>
    </row>
    <row r="40" spans="1:22">
      <c r="A40" s="245" t="s">
        <v>525</v>
      </c>
      <c r="B40" s="254">
        <f>IFERROR(B39/(12-COUNTIF(A27:A38,"")),0)</f>
        <v>94971.583333333328</v>
      </c>
      <c r="C40" s="254">
        <f>IFERROR(C39/(12-COUNTIF(A27:A38,"")),0)</f>
        <v>184607.83333333334</v>
      </c>
      <c r="D40" s="254">
        <f>IFERROR(D39/(12-COUNTIF(A27:A38,"")),0)</f>
        <v>172879.58333333334</v>
      </c>
      <c r="E40" s="254">
        <f>IFERROR(E39/(12-COUNTIF(A27:A38,"")),0)</f>
        <v>74424.916666666672</v>
      </c>
      <c r="F40" s="254">
        <f>IFERROR(F39/(12-COUNTIF(A27:A38,"")),0)</f>
        <v>119120.34333333334</v>
      </c>
      <c r="G40" s="254">
        <f>IFERROR(G39/(12-COUNTIF(A27:A38,"")),0)</f>
        <v>150819.66666666666</v>
      </c>
      <c r="H40" s="254">
        <f>IFERROR(H39/(12-COUNTIF(A27:A38,"")),0)</f>
        <v>139780.16666666666</v>
      </c>
      <c r="I40" s="254">
        <f>IFERROR(I39/(12-COUNTIF(A27:A38,"")),0)</f>
        <v>57358.833333333336</v>
      </c>
      <c r="J40" s="246">
        <f>IFERROR(J39/(12-COUNTIF(A27:A38,"")),0)</f>
        <v>0</v>
      </c>
      <c r="K40" s="254">
        <f>IFERROR(K39/(12-COUNTIF(A27:A38,"")),0)</f>
        <v>0</v>
      </c>
      <c r="L40" s="254">
        <f>IFERROR(L39/(12-COUNTIF(A27:A38,"")),0)</f>
        <v>0</v>
      </c>
      <c r="M40" s="254">
        <f>IFERROR(M39/(12-COUNTIF(A27:A38,"")),0)</f>
        <v>0</v>
      </c>
      <c r="N40" s="254">
        <f>IFERROR(N39/(12-COUNTIF(A27:A38,"")),0)</f>
        <v>0</v>
      </c>
      <c r="O40" s="254">
        <f>IFERROR(O39/(12-COUNTIF(A27:A38,"")),0)</f>
        <v>0</v>
      </c>
      <c r="P40" s="254">
        <f>IFERROR(P39/(12-COUNTIF(A27:A38,"")),0)</f>
        <v>82421.333333333328</v>
      </c>
      <c r="Q40" s="259"/>
      <c r="R40" s="259"/>
      <c r="S40" s="246">
        <f>IFERROR(R39/S39*100,0)</f>
        <v>0</v>
      </c>
      <c r="T40" s="246">
        <f>IFERROR(Q39/T39*100,0)</f>
        <v>0</v>
      </c>
      <c r="U40" s="254">
        <f>IFERROR(U39/(12-COUNTIF(A27:A38,"")),0)</f>
        <v>139780.16666666666</v>
      </c>
      <c r="V40" s="254">
        <f>IFERROR(V39/(12-COUNTIF(A27:A38,"")),0)</f>
        <v>57358.833333333336</v>
      </c>
    </row>
    <row r="41" spans="1:22" ht="38.25">
      <c r="A41" s="245" t="s">
        <v>526</v>
      </c>
      <c r="B41" s="254">
        <f>O24+B40</f>
        <v>94971.583333333328</v>
      </c>
      <c r="C41" s="254">
        <f>O24+C40</f>
        <v>184607.83333333334</v>
      </c>
      <c r="D41" s="254">
        <f>O24+D40</f>
        <v>172879.58333333334</v>
      </c>
      <c r="E41" s="254"/>
      <c r="F41" s="254"/>
      <c r="G41" s="254">
        <f>O24+G40</f>
        <v>150819.66666666666</v>
      </c>
      <c r="H41" s="254"/>
      <c r="I41" s="254"/>
      <c r="J41" s="254"/>
      <c r="K41" s="254"/>
      <c r="L41" s="254"/>
      <c r="M41" s="254"/>
      <c r="N41" s="254"/>
      <c r="O41" s="254"/>
      <c r="P41" s="254"/>
      <c r="Q41" s="259"/>
      <c r="R41" s="259"/>
      <c r="S41" s="260" t="s">
        <v>527</v>
      </c>
      <c r="T41" s="260" t="s">
        <v>528</v>
      </c>
      <c r="U41" s="260"/>
      <c r="V41" s="260"/>
    </row>
    <row r="42" spans="1:22"/>
    <row r="43" spans="1:22"/>
    <row r="44" spans="1:22"/>
    <row r="45" spans="1:22" ht="12.75" customHeight="1">
      <c r="A45" s="432" t="s">
        <v>504</v>
      </c>
      <c r="B45" s="432"/>
      <c r="C45" s="437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9"/>
      <c r="U45" s="247"/>
      <c r="V45" s="247"/>
    </row>
    <row r="46" spans="1:22" ht="12.75" customHeight="1">
      <c r="A46" s="432" t="s">
        <v>530</v>
      </c>
      <c r="B46" s="432"/>
      <c r="C46" s="440"/>
      <c r="D46" s="440"/>
      <c r="E46" s="440"/>
      <c r="F46" s="440"/>
      <c r="G46" s="440"/>
      <c r="H46" s="441" t="s">
        <v>532</v>
      </c>
      <c r="I46" s="441"/>
      <c r="J46" s="440"/>
      <c r="K46" s="440"/>
      <c r="L46" s="440"/>
      <c r="M46" s="440"/>
      <c r="N46" s="440"/>
      <c r="O46" s="440"/>
      <c r="P46" s="440"/>
      <c r="Q46" s="440"/>
      <c r="R46" s="440"/>
      <c r="S46" s="440"/>
      <c r="T46" s="440"/>
      <c r="U46" s="247"/>
      <c r="V46" s="247"/>
    </row>
    <row r="47" spans="1:22" ht="25.5" customHeight="1">
      <c r="A47" s="432" t="s">
        <v>533</v>
      </c>
      <c r="B47" s="432"/>
      <c r="C47" s="437"/>
      <c r="D47" s="439"/>
      <c r="E47" s="249" t="s">
        <v>535</v>
      </c>
      <c r="F47" s="442"/>
      <c r="G47" s="443"/>
      <c r="H47" s="443"/>
      <c r="I47" s="444"/>
      <c r="J47" s="249" t="s">
        <v>537</v>
      </c>
      <c r="K47" s="442"/>
      <c r="L47" s="443"/>
      <c r="M47" s="444"/>
      <c r="N47" s="248" t="s">
        <v>538</v>
      </c>
      <c r="O47" s="445"/>
      <c r="P47" s="446"/>
      <c r="Q47" s="446"/>
      <c r="R47" s="446"/>
      <c r="S47" s="446"/>
      <c r="T47" s="447"/>
      <c r="U47" s="261"/>
      <c r="V47" s="261"/>
    </row>
    <row r="48" spans="1:22" ht="51" customHeight="1">
      <c r="A48" s="239" t="s">
        <v>161</v>
      </c>
      <c r="B48" s="434" t="s">
        <v>539</v>
      </c>
      <c r="C48" s="434"/>
      <c r="D48" s="434"/>
      <c r="E48" s="240" t="s">
        <v>540</v>
      </c>
      <c r="F48" s="240" t="s">
        <v>541</v>
      </c>
      <c r="G48" s="239" t="s">
        <v>542</v>
      </c>
      <c r="H48" s="239" t="s">
        <v>543</v>
      </c>
      <c r="I48" s="239" t="s">
        <v>544</v>
      </c>
      <c r="J48" s="240" t="s">
        <v>545</v>
      </c>
      <c r="K48" s="240" t="s">
        <v>546</v>
      </c>
      <c r="L48" s="435" t="s">
        <v>547</v>
      </c>
      <c r="M48" s="436"/>
      <c r="N48" s="435" t="s">
        <v>548</v>
      </c>
      <c r="O48" s="436"/>
      <c r="P48" s="239" t="s">
        <v>549</v>
      </c>
      <c r="Q48" s="239" t="s">
        <v>516</v>
      </c>
      <c r="R48" s="239" t="s">
        <v>517</v>
      </c>
      <c r="S48" s="239" t="s">
        <v>518</v>
      </c>
      <c r="T48" s="239" t="s">
        <v>519</v>
      </c>
      <c r="U48" s="239" t="s">
        <v>550</v>
      </c>
      <c r="V48" s="239" t="s">
        <v>551</v>
      </c>
    </row>
    <row r="49" spans="1:22">
      <c r="A49" s="239"/>
      <c r="B49" s="239">
        <v>10</v>
      </c>
      <c r="C49" s="239">
        <v>20</v>
      </c>
      <c r="D49" s="239">
        <v>30</v>
      </c>
      <c r="E49" s="239"/>
      <c r="F49" s="239"/>
      <c r="G49" s="239"/>
      <c r="H49" s="239"/>
      <c r="I49" s="239"/>
      <c r="J49" s="239"/>
      <c r="K49" s="239"/>
      <c r="L49" s="239" t="s">
        <v>522</v>
      </c>
      <c r="M49" s="239" t="s">
        <v>523</v>
      </c>
      <c r="N49" s="239" t="s">
        <v>522</v>
      </c>
      <c r="O49" s="239" t="s">
        <v>523</v>
      </c>
      <c r="P49" s="239"/>
      <c r="Q49" s="239"/>
      <c r="R49" s="239"/>
      <c r="S49" s="239"/>
      <c r="T49" s="239"/>
      <c r="U49" s="239"/>
      <c r="V49" s="239"/>
    </row>
    <row r="50" spans="1:22">
      <c r="A50" s="255">
        <f>IF($A$27="","",$A$27)</f>
        <v>44986</v>
      </c>
      <c r="B50" s="251"/>
      <c r="C50" s="251"/>
      <c r="D50" s="251"/>
      <c r="E50" s="251"/>
      <c r="F50" s="251"/>
      <c r="G50" s="252">
        <f>IFERROR(AVERAGE(B50:D50),0)</f>
        <v>0</v>
      </c>
      <c r="H50" s="251"/>
      <c r="I50" s="251"/>
      <c r="J50" s="251"/>
      <c r="K50" s="251"/>
      <c r="L50" s="251"/>
      <c r="M50" s="251"/>
      <c r="N50" s="251"/>
      <c r="O50" s="251"/>
      <c r="P50" s="256">
        <f t="shared" ref="P50:P61" si="19">+H50-I50-J50-M50+L50</f>
        <v>0</v>
      </c>
      <c r="Q50" s="262"/>
      <c r="R50" s="262"/>
      <c r="S50" s="262"/>
      <c r="T50" s="262"/>
      <c r="U50" s="254">
        <f>H50-J50-M50</f>
        <v>0</v>
      </c>
      <c r="V50" s="254">
        <f>I50-L50</f>
        <v>0</v>
      </c>
    </row>
    <row r="51" spans="1:22">
      <c r="A51" s="255">
        <f>IF($A$28="","",$A$28)</f>
        <v>45017</v>
      </c>
      <c r="B51" s="251"/>
      <c r="C51" s="251"/>
      <c r="D51" s="251"/>
      <c r="E51" s="251"/>
      <c r="F51" s="251"/>
      <c r="G51" s="252">
        <f t="shared" ref="G51:G61" si="20">IFERROR(AVERAGE(B51:D51),0)</f>
        <v>0</v>
      </c>
      <c r="H51" s="251"/>
      <c r="I51" s="251"/>
      <c r="J51" s="251"/>
      <c r="K51" s="251"/>
      <c r="L51" s="251"/>
      <c r="M51" s="251"/>
      <c r="N51" s="251"/>
      <c r="O51" s="251"/>
      <c r="P51" s="256">
        <f t="shared" si="19"/>
        <v>0</v>
      </c>
      <c r="Q51" s="262"/>
      <c r="R51" s="262"/>
      <c r="S51" s="262"/>
      <c r="T51" s="262"/>
      <c r="U51" s="254">
        <f t="shared" ref="U51:U61" si="21">H51-J51-M51</f>
        <v>0</v>
      </c>
      <c r="V51" s="254">
        <f t="shared" ref="V51:V61" si="22">I51-L51</f>
        <v>0</v>
      </c>
    </row>
    <row r="52" spans="1:22">
      <c r="A52" s="255">
        <f>IF($A$29="","",$A$29)</f>
        <v>45047</v>
      </c>
      <c r="B52" s="251"/>
      <c r="C52" s="251"/>
      <c r="D52" s="251"/>
      <c r="E52" s="251"/>
      <c r="F52" s="251"/>
      <c r="G52" s="252">
        <f t="shared" si="20"/>
        <v>0</v>
      </c>
      <c r="H52" s="251"/>
      <c r="I52" s="251"/>
      <c r="J52" s="251"/>
      <c r="K52" s="251"/>
      <c r="L52" s="251"/>
      <c r="M52" s="251"/>
      <c r="N52" s="251"/>
      <c r="O52" s="251"/>
      <c r="P52" s="256">
        <f t="shared" si="19"/>
        <v>0</v>
      </c>
      <c r="Q52" s="262"/>
      <c r="R52" s="262"/>
      <c r="S52" s="262"/>
      <c r="T52" s="262"/>
      <c r="U52" s="254">
        <f t="shared" si="21"/>
        <v>0</v>
      </c>
      <c r="V52" s="254">
        <f t="shared" si="22"/>
        <v>0</v>
      </c>
    </row>
    <row r="53" spans="1:22">
      <c r="A53" s="255">
        <f>IF($A$30="","",$A$30)</f>
        <v>45078</v>
      </c>
      <c r="B53" s="251"/>
      <c r="C53" s="251"/>
      <c r="D53" s="251"/>
      <c r="E53" s="251"/>
      <c r="F53" s="251"/>
      <c r="G53" s="252">
        <f t="shared" si="20"/>
        <v>0</v>
      </c>
      <c r="H53" s="251"/>
      <c r="I53" s="251"/>
      <c r="J53" s="251"/>
      <c r="K53" s="251"/>
      <c r="L53" s="251"/>
      <c r="M53" s="251"/>
      <c r="N53" s="251"/>
      <c r="O53" s="251"/>
      <c r="P53" s="256">
        <f t="shared" si="19"/>
        <v>0</v>
      </c>
      <c r="Q53" s="262"/>
      <c r="R53" s="262"/>
      <c r="S53" s="262"/>
      <c r="T53" s="262"/>
      <c r="U53" s="254">
        <f t="shared" si="21"/>
        <v>0</v>
      </c>
      <c r="V53" s="254">
        <f t="shared" si="22"/>
        <v>0</v>
      </c>
    </row>
    <row r="54" spans="1:22">
      <c r="A54" s="255">
        <f>IF($A$31="","",$A$31)</f>
        <v>45108</v>
      </c>
      <c r="B54" s="251"/>
      <c r="C54" s="251"/>
      <c r="D54" s="251"/>
      <c r="E54" s="251"/>
      <c r="F54" s="251"/>
      <c r="G54" s="252">
        <f t="shared" si="20"/>
        <v>0</v>
      </c>
      <c r="H54" s="251"/>
      <c r="I54" s="251"/>
      <c r="J54" s="251"/>
      <c r="K54" s="251"/>
      <c r="L54" s="251"/>
      <c r="M54" s="251"/>
      <c r="N54" s="251"/>
      <c r="O54" s="251"/>
      <c r="P54" s="256">
        <f t="shared" si="19"/>
        <v>0</v>
      </c>
      <c r="Q54" s="262"/>
      <c r="R54" s="262"/>
      <c r="S54" s="262"/>
      <c r="T54" s="262"/>
      <c r="U54" s="254">
        <f t="shared" si="21"/>
        <v>0</v>
      </c>
      <c r="V54" s="254">
        <f t="shared" si="22"/>
        <v>0</v>
      </c>
    </row>
    <row r="55" spans="1:22">
      <c r="A55" s="255">
        <f>IF($A$32="","",$A$32)</f>
        <v>45139</v>
      </c>
      <c r="B55" s="251"/>
      <c r="C55" s="251"/>
      <c r="D55" s="251"/>
      <c r="E55" s="251"/>
      <c r="F55" s="251"/>
      <c r="G55" s="252">
        <f t="shared" si="20"/>
        <v>0</v>
      </c>
      <c r="H55" s="251"/>
      <c r="I55" s="251"/>
      <c r="J55" s="251"/>
      <c r="K55" s="251"/>
      <c r="L55" s="251"/>
      <c r="M55" s="251"/>
      <c r="N55" s="251"/>
      <c r="O55" s="251"/>
      <c r="P55" s="256">
        <f t="shared" si="19"/>
        <v>0</v>
      </c>
      <c r="Q55" s="262"/>
      <c r="R55" s="262"/>
      <c r="S55" s="262"/>
      <c r="T55" s="262"/>
      <c r="U55" s="254">
        <f t="shared" si="21"/>
        <v>0</v>
      </c>
      <c r="V55" s="254">
        <f t="shared" si="22"/>
        <v>0</v>
      </c>
    </row>
    <row r="56" spans="1:22">
      <c r="A56" s="255">
        <f>IF($A$33="","",$A$33)</f>
        <v>45170</v>
      </c>
      <c r="B56" s="251"/>
      <c r="C56" s="251"/>
      <c r="D56" s="251"/>
      <c r="E56" s="251"/>
      <c r="F56" s="251"/>
      <c r="G56" s="252">
        <f t="shared" si="20"/>
        <v>0</v>
      </c>
      <c r="H56" s="251"/>
      <c r="I56" s="251"/>
      <c r="J56" s="251"/>
      <c r="K56" s="251"/>
      <c r="L56" s="251"/>
      <c r="M56" s="251"/>
      <c r="N56" s="251"/>
      <c r="O56" s="251"/>
      <c r="P56" s="256">
        <f t="shared" si="19"/>
        <v>0</v>
      </c>
      <c r="Q56" s="262"/>
      <c r="R56" s="262"/>
      <c r="S56" s="262"/>
      <c r="T56" s="262"/>
      <c r="U56" s="254">
        <f t="shared" si="21"/>
        <v>0</v>
      </c>
      <c r="V56" s="254">
        <f t="shared" si="22"/>
        <v>0</v>
      </c>
    </row>
    <row r="57" spans="1:22">
      <c r="A57" s="255">
        <f>IF($A$34="","",$A$34)</f>
        <v>45200</v>
      </c>
      <c r="B57" s="251"/>
      <c r="C57" s="251"/>
      <c r="D57" s="251"/>
      <c r="E57" s="251"/>
      <c r="F57" s="251"/>
      <c r="G57" s="252">
        <f t="shared" si="20"/>
        <v>0</v>
      </c>
      <c r="H57" s="251"/>
      <c r="I57" s="251"/>
      <c r="J57" s="251"/>
      <c r="K57" s="251"/>
      <c r="L57" s="251"/>
      <c r="M57" s="251"/>
      <c r="N57" s="251"/>
      <c r="O57" s="251"/>
      <c r="P57" s="256">
        <f t="shared" si="19"/>
        <v>0</v>
      </c>
      <c r="Q57" s="262"/>
      <c r="R57" s="262"/>
      <c r="S57" s="262"/>
      <c r="T57" s="262"/>
      <c r="U57" s="254">
        <f t="shared" si="21"/>
        <v>0</v>
      </c>
      <c r="V57" s="254">
        <f t="shared" si="22"/>
        <v>0</v>
      </c>
    </row>
    <row r="58" spans="1:22">
      <c r="A58" s="255">
        <f>IF($A$35="","",$A$35)</f>
        <v>45231</v>
      </c>
      <c r="B58" s="251"/>
      <c r="C58" s="251"/>
      <c r="D58" s="251"/>
      <c r="E58" s="251"/>
      <c r="F58" s="251"/>
      <c r="G58" s="252">
        <f t="shared" si="20"/>
        <v>0</v>
      </c>
      <c r="H58" s="251"/>
      <c r="I58" s="251"/>
      <c r="J58" s="251"/>
      <c r="K58" s="251"/>
      <c r="L58" s="251"/>
      <c r="M58" s="251"/>
      <c r="N58" s="251"/>
      <c r="O58" s="251"/>
      <c r="P58" s="256">
        <f t="shared" si="19"/>
        <v>0</v>
      </c>
      <c r="Q58" s="262"/>
      <c r="R58" s="262"/>
      <c r="S58" s="262"/>
      <c r="T58" s="262"/>
      <c r="U58" s="254">
        <f t="shared" si="21"/>
        <v>0</v>
      </c>
      <c r="V58" s="254">
        <f t="shared" si="22"/>
        <v>0</v>
      </c>
    </row>
    <row r="59" spans="1:22">
      <c r="A59" s="255">
        <f>IF($A$36="","",$A$36)</f>
        <v>45261</v>
      </c>
      <c r="B59" s="251"/>
      <c r="C59" s="251"/>
      <c r="D59" s="251"/>
      <c r="E59" s="251"/>
      <c r="F59" s="251"/>
      <c r="G59" s="252">
        <f t="shared" si="20"/>
        <v>0</v>
      </c>
      <c r="H59" s="251"/>
      <c r="I59" s="251"/>
      <c r="J59" s="251"/>
      <c r="K59" s="251"/>
      <c r="L59" s="251"/>
      <c r="M59" s="251"/>
      <c r="N59" s="251"/>
      <c r="O59" s="251"/>
      <c r="P59" s="256">
        <f t="shared" si="19"/>
        <v>0</v>
      </c>
      <c r="Q59" s="262"/>
      <c r="R59" s="262"/>
      <c r="S59" s="262"/>
      <c r="T59" s="262"/>
      <c r="U59" s="254">
        <f t="shared" si="21"/>
        <v>0</v>
      </c>
      <c r="V59" s="254">
        <f t="shared" si="22"/>
        <v>0</v>
      </c>
    </row>
    <row r="60" spans="1:22">
      <c r="A60" s="255">
        <f>IF($A$37="","",$A$37)</f>
        <v>45292</v>
      </c>
      <c r="B60" s="251"/>
      <c r="C60" s="251"/>
      <c r="D60" s="251"/>
      <c r="E60" s="251"/>
      <c r="F60" s="251"/>
      <c r="G60" s="252">
        <f t="shared" si="20"/>
        <v>0</v>
      </c>
      <c r="H60" s="251"/>
      <c r="I60" s="251"/>
      <c r="J60" s="251"/>
      <c r="K60" s="251"/>
      <c r="L60" s="251"/>
      <c r="M60" s="251"/>
      <c r="N60" s="251"/>
      <c r="O60" s="251"/>
      <c r="P60" s="256">
        <f t="shared" si="19"/>
        <v>0</v>
      </c>
      <c r="Q60" s="262"/>
      <c r="R60" s="262"/>
      <c r="S60" s="262"/>
      <c r="T60" s="262"/>
      <c r="U60" s="254">
        <f t="shared" si="21"/>
        <v>0</v>
      </c>
      <c r="V60" s="254">
        <f t="shared" si="22"/>
        <v>0</v>
      </c>
    </row>
    <row r="61" spans="1:22">
      <c r="A61" s="255">
        <f>IF($A$38="","",$A$38)</f>
        <v>45323</v>
      </c>
      <c r="B61" s="251"/>
      <c r="C61" s="251"/>
      <c r="D61" s="251"/>
      <c r="E61" s="251"/>
      <c r="F61" s="251"/>
      <c r="G61" s="252">
        <f t="shared" si="20"/>
        <v>0</v>
      </c>
      <c r="H61" s="251"/>
      <c r="I61" s="251"/>
      <c r="J61" s="251"/>
      <c r="K61" s="251"/>
      <c r="L61" s="251"/>
      <c r="M61" s="251"/>
      <c r="N61" s="251"/>
      <c r="O61" s="251"/>
      <c r="P61" s="256">
        <f t="shared" si="19"/>
        <v>0</v>
      </c>
      <c r="Q61" s="262"/>
      <c r="R61" s="262"/>
      <c r="S61" s="262"/>
      <c r="T61" s="262"/>
      <c r="U61" s="254">
        <f t="shared" si="21"/>
        <v>0</v>
      </c>
      <c r="V61" s="254">
        <f t="shared" si="22"/>
        <v>0</v>
      </c>
    </row>
    <row r="62" spans="1:22">
      <c r="A62" s="245" t="s">
        <v>524</v>
      </c>
      <c r="B62" s="254">
        <f t="shared" ref="B62:V62" si="23">+SUM(B50:B61)</f>
        <v>0</v>
      </c>
      <c r="C62" s="254">
        <f t="shared" si="23"/>
        <v>0</v>
      </c>
      <c r="D62" s="254">
        <f t="shared" si="23"/>
        <v>0</v>
      </c>
      <c r="E62" s="254">
        <f t="shared" ref="E62:F62" si="24">+SUM(E50:E61)</f>
        <v>0</v>
      </c>
      <c r="F62" s="254">
        <f t="shared" si="24"/>
        <v>0</v>
      </c>
      <c r="G62" s="254">
        <f t="shared" si="23"/>
        <v>0</v>
      </c>
      <c r="H62" s="254">
        <f t="shared" si="23"/>
        <v>0</v>
      </c>
      <c r="I62" s="254">
        <f t="shared" si="23"/>
        <v>0</v>
      </c>
      <c r="J62" s="254">
        <f t="shared" ref="J62:O62" si="25">+SUM(J50:J61)</f>
        <v>0</v>
      </c>
      <c r="K62" s="254">
        <f t="shared" si="25"/>
        <v>0</v>
      </c>
      <c r="L62" s="254">
        <f t="shared" si="25"/>
        <v>0</v>
      </c>
      <c r="M62" s="254">
        <f t="shared" si="25"/>
        <v>0</v>
      </c>
      <c r="N62" s="254">
        <f t="shared" si="25"/>
        <v>0</v>
      </c>
      <c r="O62" s="254">
        <f t="shared" si="25"/>
        <v>0</v>
      </c>
      <c r="P62" s="254">
        <f t="shared" si="23"/>
        <v>0</v>
      </c>
      <c r="Q62" s="254">
        <f t="shared" si="23"/>
        <v>0</v>
      </c>
      <c r="R62" s="254">
        <f t="shared" si="23"/>
        <v>0</v>
      </c>
      <c r="S62" s="254">
        <f t="shared" si="23"/>
        <v>0</v>
      </c>
      <c r="T62" s="254">
        <f t="shared" si="23"/>
        <v>0</v>
      </c>
      <c r="U62" s="254">
        <f t="shared" si="23"/>
        <v>0</v>
      </c>
      <c r="V62" s="254">
        <f t="shared" si="23"/>
        <v>0</v>
      </c>
    </row>
    <row r="63" spans="1:22">
      <c r="A63" s="245" t="s">
        <v>525</v>
      </c>
      <c r="B63" s="254">
        <f>IFERROR(B62/(COUNTA(A50:A61)-COUNTIF(A50:A61,"")),0)</f>
        <v>0</v>
      </c>
      <c r="C63" s="254">
        <f>IFERROR(C62/(COUNTA(A50:A61)-COUNTIF(A50:A61,"")),0)</f>
        <v>0</v>
      </c>
      <c r="D63" s="254">
        <f>IFERROR(D62/(COUNTA(A50:A61)-COUNTIF(A50:A61,"")),0)</f>
        <v>0</v>
      </c>
      <c r="E63" s="254">
        <f>IFERROR(E62/(COUNTA(A50:A61)-COUNTIF(A50:A61,"")),0)</f>
        <v>0</v>
      </c>
      <c r="F63" s="254">
        <f>IFERROR(F62/(COUNTA(A50:A61)-COUNTIF(A50:A61,"")),0)</f>
        <v>0</v>
      </c>
      <c r="G63" s="254">
        <f>IFERROR(G62/(COUNTA(A50:A61)-COUNTIF(A50:A61,"")),0)</f>
        <v>0</v>
      </c>
      <c r="H63" s="254">
        <f>IFERROR(H62/(COUNTA(A50:A61)-COUNTIF(A50:A61,"")),0)</f>
        <v>0</v>
      </c>
      <c r="I63" s="254">
        <f>IFERROR(I62/(COUNTA(A50:A61)-COUNTIF(A50:A61,"")),0)</f>
        <v>0</v>
      </c>
      <c r="J63" s="254">
        <f>IFERROR(J62/(COUNTA(A50:A61)-COUNTIF(A50:A61,"")),0)</f>
        <v>0</v>
      </c>
      <c r="K63" s="254">
        <f>IFERROR(K62/(COUNTA(A50:A61)-COUNTIF(A50:A61,"")),0)</f>
        <v>0</v>
      </c>
      <c r="L63" s="254">
        <f>IFERROR(L62/(COUNTA(A50:A61)-COUNTIF(A50:A61,"")),0)</f>
        <v>0</v>
      </c>
      <c r="M63" s="254">
        <f>IFERROR(M62/(COUNTA(A50:A61)-COUNTIF(A50:A61,"")),0)</f>
        <v>0</v>
      </c>
      <c r="N63" s="254">
        <f>IFERROR(N62/(COUNTA(A50:A61)-COUNTIF(A50:A61,"")),0)</f>
        <v>0</v>
      </c>
      <c r="O63" s="254">
        <f>IFERROR(O62/(COUNTA(A50:A61)-COUNTIF(A50:A61,"")),0)</f>
        <v>0</v>
      </c>
      <c r="P63" s="254">
        <f>IFERROR(P62/(COUNTA(A50:A61)-COUNTIF(A50:A61,"")),0)</f>
        <v>0</v>
      </c>
      <c r="Q63" s="259"/>
      <c r="R63" s="259"/>
      <c r="S63" s="246">
        <f>IFERROR(R62/S62*100,0)</f>
        <v>0</v>
      </c>
      <c r="T63" s="246">
        <f>IFERROR(Q62/T62*100,0)</f>
        <v>0</v>
      </c>
      <c r="U63" s="254">
        <f>IFERROR(U62/COUNTA(A50:A61),0)</f>
        <v>0</v>
      </c>
      <c r="V63" s="254">
        <f>IFERROR(V62/COUNTA(A50:A61),0)</f>
        <v>0</v>
      </c>
    </row>
    <row r="64" spans="1:22" ht="38.25">
      <c r="A64" s="245" t="s">
        <v>526</v>
      </c>
      <c r="B64" s="254">
        <f>O47+B63</f>
        <v>0</v>
      </c>
      <c r="C64" s="254">
        <f>O47+C63</f>
        <v>0</v>
      </c>
      <c r="D64" s="254">
        <f>O47+D63</f>
        <v>0</v>
      </c>
      <c r="E64" s="254"/>
      <c r="F64" s="254"/>
      <c r="G64" s="254">
        <f>O47+G63</f>
        <v>0</v>
      </c>
      <c r="H64" s="254"/>
      <c r="I64" s="254"/>
      <c r="J64" s="254"/>
      <c r="K64" s="254"/>
      <c r="L64" s="254"/>
      <c r="M64" s="254"/>
      <c r="N64" s="254"/>
      <c r="O64" s="254"/>
      <c r="P64" s="254"/>
      <c r="Q64" s="259"/>
      <c r="R64" s="259"/>
      <c r="S64" s="260" t="s">
        <v>527</v>
      </c>
      <c r="T64" s="260" t="s">
        <v>528</v>
      </c>
      <c r="U64" s="260"/>
      <c r="V64" s="260"/>
    </row>
    <row r="65" spans="1:22"/>
    <row r="66" spans="1:22"/>
    <row r="67" spans="1:22"/>
    <row r="68" spans="1:22" ht="12.75" customHeight="1">
      <c r="A68" s="432" t="s">
        <v>504</v>
      </c>
      <c r="B68" s="432"/>
      <c r="C68" s="437"/>
      <c r="D68" s="438"/>
      <c r="E68" s="438"/>
      <c r="F68" s="438"/>
      <c r="G68" s="438"/>
      <c r="H68" s="438"/>
      <c r="I68" s="438"/>
      <c r="J68" s="438"/>
      <c r="K68" s="438"/>
      <c r="L68" s="438"/>
      <c r="M68" s="438"/>
      <c r="N68" s="438"/>
      <c r="O68" s="438"/>
      <c r="P68" s="438"/>
      <c r="Q68" s="438"/>
      <c r="R68" s="438"/>
      <c r="S68" s="438"/>
      <c r="T68" s="439"/>
      <c r="U68" s="247"/>
      <c r="V68" s="247"/>
    </row>
    <row r="69" spans="1:22" ht="12.75" customHeight="1">
      <c r="A69" s="432" t="s">
        <v>530</v>
      </c>
      <c r="B69" s="432"/>
      <c r="C69" s="440"/>
      <c r="D69" s="440"/>
      <c r="E69" s="440"/>
      <c r="F69" s="440"/>
      <c r="G69" s="440"/>
      <c r="H69" s="441" t="s">
        <v>532</v>
      </c>
      <c r="I69" s="441"/>
      <c r="J69" s="440"/>
      <c r="K69" s="440"/>
      <c r="L69" s="440"/>
      <c r="M69" s="440"/>
      <c r="N69" s="440"/>
      <c r="O69" s="440"/>
      <c r="P69" s="440"/>
      <c r="Q69" s="440"/>
      <c r="R69" s="440"/>
      <c r="S69" s="440"/>
      <c r="T69" s="440"/>
      <c r="U69" s="247"/>
      <c r="V69" s="247"/>
    </row>
    <row r="70" spans="1:22" ht="25.5" customHeight="1">
      <c r="A70" s="432" t="s">
        <v>533</v>
      </c>
      <c r="B70" s="432"/>
      <c r="C70" s="437"/>
      <c r="D70" s="439"/>
      <c r="E70" s="249" t="s">
        <v>535</v>
      </c>
      <c r="F70" s="442"/>
      <c r="G70" s="443"/>
      <c r="H70" s="443"/>
      <c r="I70" s="444"/>
      <c r="J70" s="249" t="s">
        <v>537</v>
      </c>
      <c r="K70" s="442"/>
      <c r="L70" s="443"/>
      <c r="M70" s="444"/>
      <c r="N70" s="248" t="s">
        <v>538</v>
      </c>
      <c r="O70" s="445"/>
      <c r="P70" s="446"/>
      <c r="Q70" s="446"/>
      <c r="R70" s="446"/>
      <c r="S70" s="446"/>
      <c r="T70" s="447"/>
      <c r="U70" s="261"/>
      <c r="V70" s="261"/>
    </row>
    <row r="71" spans="1:22" ht="38.25" customHeight="1">
      <c r="A71" s="239" t="s">
        <v>161</v>
      </c>
      <c r="B71" s="434" t="s">
        <v>539</v>
      </c>
      <c r="C71" s="434"/>
      <c r="D71" s="434"/>
      <c r="E71" s="240" t="s">
        <v>540</v>
      </c>
      <c r="F71" s="240" t="s">
        <v>541</v>
      </c>
      <c r="G71" s="239" t="s">
        <v>542</v>
      </c>
      <c r="H71" s="239" t="s">
        <v>543</v>
      </c>
      <c r="I71" s="239" t="s">
        <v>544</v>
      </c>
      <c r="J71" s="240" t="s">
        <v>545</v>
      </c>
      <c r="K71" s="240" t="s">
        <v>546</v>
      </c>
      <c r="L71" s="435" t="s">
        <v>547</v>
      </c>
      <c r="M71" s="436"/>
      <c r="N71" s="435" t="s">
        <v>548</v>
      </c>
      <c r="O71" s="436"/>
      <c r="P71" s="239" t="s">
        <v>549</v>
      </c>
      <c r="Q71" s="239" t="s">
        <v>516</v>
      </c>
      <c r="R71" s="239" t="s">
        <v>517</v>
      </c>
      <c r="S71" s="239" t="s">
        <v>518</v>
      </c>
      <c r="T71" s="239" t="s">
        <v>519</v>
      </c>
      <c r="U71" s="239" t="s">
        <v>550</v>
      </c>
      <c r="V71" s="239" t="s">
        <v>551</v>
      </c>
    </row>
    <row r="72" spans="1:22">
      <c r="A72" s="239"/>
      <c r="B72" s="239">
        <v>10</v>
      </c>
      <c r="C72" s="239">
        <v>20</v>
      </c>
      <c r="D72" s="239">
        <v>30</v>
      </c>
      <c r="E72" s="239"/>
      <c r="F72" s="239"/>
      <c r="G72" s="239"/>
      <c r="H72" s="239"/>
      <c r="I72" s="239"/>
      <c r="J72" s="239"/>
      <c r="K72" s="239"/>
      <c r="L72" s="239" t="s">
        <v>522</v>
      </c>
      <c r="M72" s="239" t="s">
        <v>523</v>
      </c>
      <c r="N72" s="239" t="s">
        <v>522</v>
      </c>
      <c r="O72" s="239" t="s">
        <v>523</v>
      </c>
      <c r="P72" s="239"/>
      <c r="Q72" s="239"/>
      <c r="R72" s="239"/>
      <c r="S72" s="239"/>
      <c r="T72" s="239"/>
      <c r="U72" s="239"/>
      <c r="V72" s="239"/>
    </row>
    <row r="73" spans="1:22">
      <c r="A73" s="255">
        <f>IF($A$27="","",$A$27)</f>
        <v>44986</v>
      </c>
      <c r="B73" s="251"/>
      <c r="C73" s="251"/>
      <c r="D73" s="251"/>
      <c r="E73" s="251"/>
      <c r="F73" s="251"/>
      <c r="G73" s="252">
        <f>IFERROR(AVERAGE(B73:D73),0)</f>
        <v>0</v>
      </c>
      <c r="H73" s="251"/>
      <c r="I73" s="251"/>
      <c r="J73" s="251"/>
      <c r="K73" s="251"/>
      <c r="L73" s="251"/>
      <c r="M73" s="251"/>
      <c r="N73" s="251"/>
      <c r="O73" s="251"/>
      <c r="P73" s="256">
        <f t="shared" ref="P73:P84" si="26">+H73-I73-J73-M73+L73</f>
        <v>0</v>
      </c>
      <c r="Q73" s="262"/>
      <c r="R73" s="262"/>
      <c r="S73" s="262"/>
      <c r="T73" s="262"/>
      <c r="U73" s="254">
        <f>H73-J73-M73</f>
        <v>0</v>
      </c>
      <c r="V73" s="254">
        <f>I73-L73</f>
        <v>0</v>
      </c>
    </row>
    <row r="74" spans="1:22">
      <c r="A74" s="255">
        <f>IF($A$28="","",$A$28)</f>
        <v>45017</v>
      </c>
      <c r="B74" s="251"/>
      <c r="C74" s="251"/>
      <c r="D74" s="251"/>
      <c r="E74" s="251"/>
      <c r="F74" s="251"/>
      <c r="G74" s="252">
        <f t="shared" ref="G74:G84" si="27">IFERROR(AVERAGE(B74:D74),0)</f>
        <v>0</v>
      </c>
      <c r="H74" s="251"/>
      <c r="I74" s="251"/>
      <c r="J74" s="251"/>
      <c r="K74" s="251"/>
      <c r="L74" s="251"/>
      <c r="M74" s="251"/>
      <c r="N74" s="251"/>
      <c r="O74" s="251"/>
      <c r="P74" s="256">
        <f t="shared" si="26"/>
        <v>0</v>
      </c>
      <c r="Q74" s="262"/>
      <c r="R74" s="262"/>
      <c r="S74" s="262"/>
      <c r="T74" s="262"/>
      <c r="U74" s="254">
        <f t="shared" ref="U74:U84" si="28">H74-J74-M74</f>
        <v>0</v>
      </c>
      <c r="V74" s="254">
        <f t="shared" ref="V74:V84" si="29">I74-L74</f>
        <v>0</v>
      </c>
    </row>
    <row r="75" spans="1:22">
      <c r="A75" s="255">
        <f>IF($A$29="","",$A$29)</f>
        <v>45047</v>
      </c>
      <c r="B75" s="251"/>
      <c r="C75" s="251"/>
      <c r="D75" s="251"/>
      <c r="E75" s="251"/>
      <c r="F75" s="251"/>
      <c r="G75" s="252">
        <f t="shared" si="27"/>
        <v>0</v>
      </c>
      <c r="H75" s="251"/>
      <c r="I75" s="251"/>
      <c r="J75" s="251"/>
      <c r="K75" s="251"/>
      <c r="L75" s="251"/>
      <c r="M75" s="251"/>
      <c r="N75" s="251"/>
      <c r="O75" s="251"/>
      <c r="P75" s="256">
        <f t="shared" si="26"/>
        <v>0</v>
      </c>
      <c r="Q75" s="262"/>
      <c r="R75" s="262"/>
      <c r="S75" s="262"/>
      <c r="T75" s="262"/>
      <c r="U75" s="254">
        <f t="shared" si="28"/>
        <v>0</v>
      </c>
      <c r="V75" s="254">
        <f t="shared" si="29"/>
        <v>0</v>
      </c>
    </row>
    <row r="76" spans="1:22">
      <c r="A76" s="255">
        <f>IF($A$30="","",$A$30)</f>
        <v>45078</v>
      </c>
      <c r="B76" s="251"/>
      <c r="C76" s="251"/>
      <c r="D76" s="251"/>
      <c r="E76" s="251"/>
      <c r="F76" s="251"/>
      <c r="G76" s="252">
        <f t="shared" si="27"/>
        <v>0</v>
      </c>
      <c r="H76" s="251"/>
      <c r="I76" s="251"/>
      <c r="J76" s="251"/>
      <c r="K76" s="251"/>
      <c r="L76" s="251"/>
      <c r="M76" s="251"/>
      <c r="N76" s="251"/>
      <c r="O76" s="251"/>
      <c r="P76" s="256">
        <f t="shared" si="26"/>
        <v>0</v>
      </c>
      <c r="Q76" s="262"/>
      <c r="R76" s="262"/>
      <c r="S76" s="262"/>
      <c r="T76" s="262"/>
      <c r="U76" s="254">
        <f t="shared" si="28"/>
        <v>0</v>
      </c>
      <c r="V76" s="254">
        <f t="shared" si="29"/>
        <v>0</v>
      </c>
    </row>
    <row r="77" spans="1:22">
      <c r="A77" s="255">
        <f>IF($A$31="","",$A$31)</f>
        <v>45108</v>
      </c>
      <c r="B77" s="251"/>
      <c r="C77" s="251"/>
      <c r="D77" s="251"/>
      <c r="E77" s="251"/>
      <c r="F77" s="251"/>
      <c r="G77" s="252">
        <f t="shared" si="27"/>
        <v>0</v>
      </c>
      <c r="H77" s="251"/>
      <c r="I77" s="251"/>
      <c r="J77" s="251"/>
      <c r="K77" s="251"/>
      <c r="L77" s="251"/>
      <c r="M77" s="251"/>
      <c r="N77" s="251"/>
      <c r="O77" s="251"/>
      <c r="P77" s="256">
        <f t="shared" si="26"/>
        <v>0</v>
      </c>
      <c r="Q77" s="262"/>
      <c r="R77" s="262"/>
      <c r="S77" s="262"/>
      <c r="T77" s="262"/>
      <c r="U77" s="254">
        <f t="shared" si="28"/>
        <v>0</v>
      </c>
      <c r="V77" s="254">
        <f t="shared" si="29"/>
        <v>0</v>
      </c>
    </row>
    <row r="78" spans="1:22">
      <c r="A78" s="255">
        <f>IF($A$32="","",$A$32)</f>
        <v>45139</v>
      </c>
      <c r="B78" s="251"/>
      <c r="C78" s="251"/>
      <c r="D78" s="251"/>
      <c r="E78" s="251"/>
      <c r="F78" s="251"/>
      <c r="G78" s="252">
        <f t="shared" si="27"/>
        <v>0</v>
      </c>
      <c r="H78" s="251"/>
      <c r="I78" s="251"/>
      <c r="J78" s="251"/>
      <c r="K78" s="251"/>
      <c r="L78" s="251"/>
      <c r="M78" s="251"/>
      <c r="N78" s="251"/>
      <c r="O78" s="251"/>
      <c r="P78" s="256">
        <f t="shared" si="26"/>
        <v>0</v>
      </c>
      <c r="Q78" s="262"/>
      <c r="R78" s="262"/>
      <c r="S78" s="262"/>
      <c r="T78" s="262"/>
      <c r="U78" s="254">
        <f t="shared" si="28"/>
        <v>0</v>
      </c>
      <c r="V78" s="254">
        <f t="shared" si="29"/>
        <v>0</v>
      </c>
    </row>
    <row r="79" spans="1:22">
      <c r="A79" s="255">
        <f>IF($A$33="","",$A$33)</f>
        <v>45170</v>
      </c>
      <c r="B79" s="251"/>
      <c r="C79" s="251"/>
      <c r="D79" s="251"/>
      <c r="E79" s="251"/>
      <c r="F79" s="251"/>
      <c r="G79" s="252">
        <f t="shared" si="27"/>
        <v>0</v>
      </c>
      <c r="H79" s="251"/>
      <c r="I79" s="251"/>
      <c r="J79" s="251"/>
      <c r="K79" s="251"/>
      <c r="L79" s="251"/>
      <c r="M79" s="251"/>
      <c r="N79" s="251"/>
      <c r="O79" s="251"/>
      <c r="P79" s="256">
        <f t="shared" si="26"/>
        <v>0</v>
      </c>
      <c r="Q79" s="262"/>
      <c r="R79" s="262"/>
      <c r="S79" s="262"/>
      <c r="T79" s="262"/>
      <c r="U79" s="254">
        <f t="shared" si="28"/>
        <v>0</v>
      </c>
      <c r="V79" s="254">
        <f t="shared" si="29"/>
        <v>0</v>
      </c>
    </row>
    <row r="80" spans="1:22">
      <c r="A80" s="255">
        <f>IF($A$34="","",$A$34)</f>
        <v>45200</v>
      </c>
      <c r="B80" s="251"/>
      <c r="C80" s="251"/>
      <c r="D80" s="251"/>
      <c r="E80" s="251"/>
      <c r="F80" s="251"/>
      <c r="G80" s="252">
        <f t="shared" si="27"/>
        <v>0</v>
      </c>
      <c r="H80" s="251"/>
      <c r="I80" s="251"/>
      <c r="J80" s="251"/>
      <c r="K80" s="251"/>
      <c r="L80" s="251"/>
      <c r="M80" s="251"/>
      <c r="N80" s="251"/>
      <c r="O80" s="251"/>
      <c r="P80" s="256">
        <f t="shared" si="26"/>
        <v>0</v>
      </c>
      <c r="Q80" s="262"/>
      <c r="R80" s="262"/>
      <c r="S80" s="262"/>
      <c r="T80" s="262"/>
      <c r="U80" s="254">
        <f t="shared" si="28"/>
        <v>0</v>
      </c>
      <c r="V80" s="254">
        <f t="shared" si="29"/>
        <v>0</v>
      </c>
    </row>
    <row r="81" spans="1:22">
      <c r="A81" s="255">
        <f>IF($A$35="","",$A$35)</f>
        <v>45231</v>
      </c>
      <c r="B81" s="251"/>
      <c r="C81" s="251"/>
      <c r="D81" s="251"/>
      <c r="E81" s="251"/>
      <c r="F81" s="251"/>
      <c r="G81" s="252">
        <f t="shared" si="27"/>
        <v>0</v>
      </c>
      <c r="H81" s="251"/>
      <c r="I81" s="251"/>
      <c r="J81" s="251"/>
      <c r="K81" s="251"/>
      <c r="L81" s="251"/>
      <c r="M81" s="251"/>
      <c r="N81" s="251"/>
      <c r="O81" s="251"/>
      <c r="P81" s="256">
        <f t="shared" si="26"/>
        <v>0</v>
      </c>
      <c r="Q81" s="262"/>
      <c r="R81" s="262"/>
      <c r="S81" s="262"/>
      <c r="T81" s="262"/>
      <c r="U81" s="254">
        <f t="shared" si="28"/>
        <v>0</v>
      </c>
      <c r="V81" s="254">
        <f t="shared" si="29"/>
        <v>0</v>
      </c>
    </row>
    <row r="82" spans="1:22">
      <c r="A82" s="255">
        <f>IF($A$36="","",$A$36)</f>
        <v>45261</v>
      </c>
      <c r="B82" s="251"/>
      <c r="C82" s="251"/>
      <c r="D82" s="251"/>
      <c r="E82" s="251"/>
      <c r="F82" s="251"/>
      <c r="G82" s="252">
        <f t="shared" si="27"/>
        <v>0</v>
      </c>
      <c r="H82" s="251"/>
      <c r="I82" s="251"/>
      <c r="J82" s="251"/>
      <c r="K82" s="251"/>
      <c r="L82" s="251"/>
      <c r="M82" s="251"/>
      <c r="N82" s="251"/>
      <c r="O82" s="251"/>
      <c r="P82" s="256">
        <f t="shared" si="26"/>
        <v>0</v>
      </c>
      <c r="Q82" s="262"/>
      <c r="R82" s="262"/>
      <c r="S82" s="262"/>
      <c r="T82" s="262"/>
      <c r="U82" s="254">
        <f t="shared" si="28"/>
        <v>0</v>
      </c>
      <c r="V82" s="254">
        <f t="shared" si="29"/>
        <v>0</v>
      </c>
    </row>
    <row r="83" spans="1:22">
      <c r="A83" s="255">
        <f>IF($A$37="","",$A$37)</f>
        <v>45292</v>
      </c>
      <c r="B83" s="251"/>
      <c r="C83" s="251"/>
      <c r="D83" s="251"/>
      <c r="E83" s="251"/>
      <c r="F83" s="251"/>
      <c r="G83" s="252">
        <f t="shared" si="27"/>
        <v>0</v>
      </c>
      <c r="H83" s="251"/>
      <c r="I83" s="251"/>
      <c r="J83" s="251"/>
      <c r="K83" s="251"/>
      <c r="L83" s="251"/>
      <c r="M83" s="251"/>
      <c r="N83" s="251"/>
      <c r="O83" s="251"/>
      <c r="P83" s="256">
        <f t="shared" si="26"/>
        <v>0</v>
      </c>
      <c r="Q83" s="262"/>
      <c r="R83" s="262"/>
      <c r="S83" s="262"/>
      <c r="T83" s="262"/>
      <c r="U83" s="254">
        <f t="shared" si="28"/>
        <v>0</v>
      </c>
      <c r="V83" s="254">
        <f t="shared" si="29"/>
        <v>0</v>
      </c>
    </row>
    <row r="84" spans="1:22">
      <c r="A84" s="255">
        <f>IF($A$38="","",$A$38)</f>
        <v>45323</v>
      </c>
      <c r="B84" s="251"/>
      <c r="C84" s="251"/>
      <c r="D84" s="251"/>
      <c r="E84" s="251"/>
      <c r="F84" s="251"/>
      <c r="G84" s="252">
        <f t="shared" si="27"/>
        <v>0</v>
      </c>
      <c r="H84" s="251"/>
      <c r="I84" s="251"/>
      <c r="J84" s="251"/>
      <c r="K84" s="251"/>
      <c r="L84" s="251"/>
      <c r="M84" s="251"/>
      <c r="N84" s="251"/>
      <c r="O84" s="251"/>
      <c r="P84" s="256">
        <f t="shared" si="26"/>
        <v>0</v>
      </c>
      <c r="Q84" s="262"/>
      <c r="R84" s="262"/>
      <c r="S84" s="262"/>
      <c r="T84" s="262"/>
      <c r="U84" s="254">
        <f t="shared" si="28"/>
        <v>0</v>
      </c>
      <c r="V84" s="254">
        <f t="shared" si="29"/>
        <v>0</v>
      </c>
    </row>
    <row r="85" spans="1:22">
      <c r="A85" s="245" t="s">
        <v>524</v>
      </c>
      <c r="B85" s="254">
        <f t="shared" ref="B85:I85" si="30">+SUM(B73:B84)</f>
        <v>0</v>
      </c>
      <c r="C85" s="254">
        <f t="shared" si="30"/>
        <v>0</v>
      </c>
      <c r="D85" s="254">
        <f t="shared" si="30"/>
        <v>0</v>
      </c>
      <c r="E85" s="254">
        <f t="shared" si="30"/>
        <v>0</v>
      </c>
      <c r="F85" s="254">
        <f t="shared" si="30"/>
        <v>0</v>
      </c>
      <c r="G85" s="254">
        <f t="shared" si="30"/>
        <v>0</v>
      </c>
      <c r="H85" s="254">
        <f t="shared" si="30"/>
        <v>0</v>
      </c>
      <c r="I85" s="254">
        <f t="shared" si="30"/>
        <v>0</v>
      </c>
      <c r="J85" s="254">
        <f t="shared" ref="J85:O85" si="31">+SUM(J73:J84)</f>
        <v>0</v>
      </c>
      <c r="K85" s="254">
        <f t="shared" si="31"/>
        <v>0</v>
      </c>
      <c r="L85" s="254">
        <f t="shared" si="31"/>
        <v>0</v>
      </c>
      <c r="M85" s="254">
        <f t="shared" si="31"/>
        <v>0</v>
      </c>
      <c r="N85" s="254">
        <f t="shared" si="31"/>
        <v>0</v>
      </c>
      <c r="O85" s="254">
        <f t="shared" si="31"/>
        <v>0</v>
      </c>
      <c r="P85" s="254">
        <f t="shared" ref="P85:V85" si="32">+SUM(P73:P84)</f>
        <v>0</v>
      </c>
      <c r="Q85" s="254">
        <f t="shared" si="32"/>
        <v>0</v>
      </c>
      <c r="R85" s="254">
        <f t="shared" si="32"/>
        <v>0</v>
      </c>
      <c r="S85" s="254">
        <f t="shared" si="32"/>
        <v>0</v>
      </c>
      <c r="T85" s="254">
        <f t="shared" si="32"/>
        <v>0</v>
      </c>
      <c r="U85" s="254">
        <f t="shared" si="32"/>
        <v>0</v>
      </c>
      <c r="V85" s="254">
        <f t="shared" si="32"/>
        <v>0</v>
      </c>
    </row>
    <row r="86" spans="1:22">
      <c r="A86" s="245" t="s">
        <v>525</v>
      </c>
      <c r="B86" s="254">
        <f>IFERROR(B85/(COUNTA(A73:A84)-COUNTIF(A73:A84,"")),0)</f>
        <v>0</v>
      </c>
      <c r="C86" s="254">
        <f>IFERROR(C85/(COUNTA(A73:A84)-COUNTIF(A73:A84,"")),0)</f>
        <v>0</v>
      </c>
      <c r="D86" s="254">
        <f>IFERROR(D85/(COUNTA(A73:A84)-COUNTIF(A73:A84,"")),0)</f>
        <v>0</v>
      </c>
      <c r="E86" s="254">
        <f>IFERROR(E85/(COUNTA(A73:A84)-COUNTIF(A73:A84,"")),0)</f>
        <v>0</v>
      </c>
      <c r="F86" s="254">
        <f>IFERROR(F85/(COUNTA(A73:A84)-COUNTIF(A73:A84,"")),0)</f>
        <v>0</v>
      </c>
      <c r="G86" s="254">
        <f>IFERROR(G85/(COUNTA(A73:A84)-COUNTIF(A73:A84,"")),0)</f>
        <v>0</v>
      </c>
      <c r="H86" s="254">
        <f>IFERROR(H85/(COUNTA(A73:A84)-COUNTIF(A73:A84,"")),0)</f>
        <v>0</v>
      </c>
      <c r="I86" s="254">
        <f>IFERROR(I85/(COUNTA(A73:A84)-COUNTIF(A73:A84,"")),0)</f>
        <v>0</v>
      </c>
      <c r="J86" s="254">
        <f>IFERROR(J85/(COUNTA(A73:A84)-COUNTIF(A73:A84,"")),0)</f>
        <v>0</v>
      </c>
      <c r="K86" s="254">
        <f>IFERROR(K85/(COUNTA(A73:A84)-COUNTIF(A73:A84,"")),0)</f>
        <v>0</v>
      </c>
      <c r="L86" s="254">
        <f>IFERROR(L85/(COUNTA(A73:A84)-COUNTIF(A73:A84,"")),0)</f>
        <v>0</v>
      </c>
      <c r="M86" s="254">
        <f>IFERROR(M85/(COUNTA(A73:A84)-COUNTIF(A73:A84,"")),0)</f>
        <v>0</v>
      </c>
      <c r="N86" s="254">
        <f>IFERROR(N85/(COUNTA(A73:A84)-COUNTIF(A73:A84,"")),0)</f>
        <v>0</v>
      </c>
      <c r="O86" s="254">
        <f>IFERROR(O85/(COUNTA(A73:A84)-COUNTIF(A73:A84,"")),0)</f>
        <v>0</v>
      </c>
      <c r="P86" s="254">
        <f>IFERROR(P85/(COUNTA(A73:A84)-COUNTIF(A73:A84,"")),0)</f>
        <v>0</v>
      </c>
      <c r="Q86" s="259"/>
      <c r="R86" s="259"/>
      <c r="S86" s="246">
        <f>IFERROR(R85/S85*100,0)</f>
        <v>0</v>
      </c>
      <c r="T86" s="246">
        <f>IFERROR(Q85/T85*100,0)</f>
        <v>0</v>
      </c>
      <c r="U86" s="254">
        <f>IFERROR(U85/COUNTA(A73:A84),0)</f>
        <v>0</v>
      </c>
      <c r="V86" s="254">
        <f>IFERROR(V85/COUNTA(A73:A84),0)</f>
        <v>0</v>
      </c>
    </row>
    <row r="87" spans="1:22" ht="38.25">
      <c r="A87" s="245" t="s">
        <v>526</v>
      </c>
      <c r="B87" s="254">
        <f>O70+B86</f>
        <v>0</v>
      </c>
      <c r="C87" s="254">
        <f>O70+C86</f>
        <v>0</v>
      </c>
      <c r="D87" s="254">
        <f>O70+D86</f>
        <v>0</v>
      </c>
      <c r="E87" s="254"/>
      <c r="F87" s="254"/>
      <c r="G87" s="254">
        <f>O70+G86</f>
        <v>0</v>
      </c>
      <c r="H87" s="254"/>
      <c r="I87" s="254"/>
      <c r="J87" s="254"/>
      <c r="K87" s="254"/>
      <c r="L87" s="254"/>
      <c r="M87" s="254"/>
      <c r="N87" s="254"/>
      <c r="O87" s="254"/>
      <c r="P87" s="254"/>
      <c r="Q87" s="259"/>
      <c r="R87" s="259"/>
      <c r="S87" s="260" t="s">
        <v>527</v>
      </c>
      <c r="T87" s="260" t="s">
        <v>528</v>
      </c>
      <c r="U87" s="260"/>
      <c r="V87" s="260"/>
    </row>
    <row r="88" spans="1:22"/>
    <row r="89" spans="1:22"/>
    <row r="90" spans="1:22"/>
    <row r="91" spans="1:22" ht="12.75" customHeight="1">
      <c r="A91" s="432" t="s">
        <v>504</v>
      </c>
      <c r="B91" s="432"/>
      <c r="C91" s="437"/>
      <c r="D91" s="438"/>
      <c r="E91" s="438"/>
      <c r="F91" s="438"/>
      <c r="G91" s="438"/>
      <c r="H91" s="438"/>
      <c r="I91" s="438"/>
      <c r="J91" s="438"/>
      <c r="K91" s="438"/>
      <c r="L91" s="438"/>
      <c r="M91" s="438"/>
      <c r="N91" s="438"/>
      <c r="O91" s="438"/>
      <c r="P91" s="438"/>
      <c r="Q91" s="438"/>
      <c r="R91" s="438"/>
      <c r="S91" s="438"/>
      <c r="T91" s="439"/>
      <c r="U91" s="247"/>
      <c r="V91" s="247"/>
    </row>
    <row r="92" spans="1:22" ht="12.75" customHeight="1">
      <c r="A92" s="432" t="s">
        <v>530</v>
      </c>
      <c r="B92" s="432"/>
      <c r="C92" s="440"/>
      <c r="D92" s="440"/>
      <c r="E92" s="440"/>
      <c r="F92" s="440"/>
      <c r="G92" s="440"/>
      <c r="H92" s="441" t="s">
        <v>532</v>
      </c>
      <c r="I92" s="441"/>
      <c r="J92" s="440"/>
      <c r="K92" s="440"/>
      <c r="L92" s="440"/>
      <c r="M92" s="440"/>
      <c r="N92" s="440"/>
      <c r="O92" s="440"/>
      <c r="P92" s="440"/>
      <c r="Q92" s="440"/>
      <c r="R92" s="440"/>
      <c r="S92" s="440"/>
      <c r="T92" s="440"/>
      <c r="U92" s="247"/>
      <c r="V92" s="247"/>
    </row>
    <row r="93" spans="1:22" ht="25.5" customHeight="1">
      <c r="A93" s="432" t="s">
        <v>533</v>
      </c>
      <c r="B93" s="432"/>
      <c r="C93" s="437"/>
      <c r="D93" s="439"/>
      <c r="E93" s="249" t="s">
        <v>535</v>
      </c>
      <c r="F93" s="442"/>
      <c r="G93" s="443"/>
      <c r="H93" s="443"/>
      <c r="I93" s="444"/>
      <c r="J93" s="249" t="s">
        <v>537</v>
      </c>
      <c r="K93" s="442"/>
      <c r="L93" s="443"/>
      <c r="M93" s="444"/>
      <c r="N93" s="248" t="s">
        <v>538</v>
      </c>
      <c r="O93" s="445"/>
      <c r="P93" s="446"/>
      <c r="Q93" s="446"/>
      <c r="R93" s="446"/>
      <c r="S93" s="446"/>
      <c r="T93" s="447"/>
      <c r="U93" s="261"/>
      <c r="V93" s="261"/>
    </row>
    <row r="94" spans="1:22" ht="38.25" customHeight="1">
      <c r="A94" s="239" t="s">
        <v>161</v>
      </c>
      <c r="B94" s="434" t="s">
        <v>539</v>
      </c>
      <c r="C94" s="434"/>
      <c r="D94" s="434"/>
      <c r="E94" s="240" t="s">
        <v>540</v>
      </c>
      <c r="F94" s="240" t="s">
        <v>541</v>
      </c>
      <c r="G94" s="239" t="s">
        <v>542</v>
      </c>
      <c r="H94" s="239" t="s">
        <v>543</v>
      </c>
      <c r="I94" s="239" t="s">
        <v>544</v>
      </c>
      <c r="J94" s="240" t="s">
        <v>545</v>
      </c>
      <c r="K94" s="240" t="s">
        <v>546</v>
      </c>
      <c r="L94" s="435" t="s">
        <v>547</v>
      </c>
      <c r="M94" s="436"/>
      <c r="N94" s="435" t="s">
        <v>548</v>
      </c>
      <c r="O94" s="436"/>
      <c r="P94" s="239" t="s">
        <v>549</v>
      </c>
      <c r="Q94" s="239" t="s">
        <v>516</v>
      </c>
      <c r="R94" s="239" t="s">
        <v>517</v>
      </c>
      <c r="S94" s="239" t="s">
        <v>518</v>
      </c>
      <c r="T94" s="239" t="s">
        <v>519</v>
      </c>
      <c r="U94" s="239" t="s">
        <v>550</v>
      </c>
      <c r="V94" s="239" t="s">
        <v>551</v>
      </c>
    </row>
    <row r="95" spans="1:22">
      <c r="A95" s="239"/>
      <c r="B95" s="239">
        <v>10</v>
      </c>
      <c r="C95" s="239">
        <v>20</v>
      </c>
      <c r="D95" s="239">
        <v>30</v>
      </c>
      <c r="E95" s="239"/>
      <c r="F95" s="239"/>
      <c r="G95" s="239"/>
      <c r="H95" s="239"/>
      <c r="I95" s="239"/>
      <c r="J95" s="239"/>
      <c r="K95" s="239"/>
      <c r="L95" s="239" t="s">
        <v>522</v>
      </c>
      <c r="M95" s="239" t="s">
        <v>523</v>
      </c>
      <c r="N95" s="239" t="s">
        <v>522</v>
      </c>
      <c r="O95" s="239" t="s">
        <v>523</v>
      </c>
      <c r="P95" s="239"/>
      <c r="Q95" s="239"/>
      <c r="R95" s="239"/>
      <c r="S95" s="239"/>
      <c r="T95" s="239"/>
      <c r="U95" s="239"/>
      <c r="V95" s="239"/>
    </row>
    <row r="96" spans="1:22">
      <c r="A96" s="255">
        <f>IF($A$27="","",$A$27)</f>
        <v>44986</v>
      </c>
      <c r="B96" s="251"/>
      <c r="C96" s="251"/>
      <c r="D96" s="251"/>
      <c r="E96" s="251"/>
      <c r="F96" s="251"/>
      <c r="G96" s="252">
        <f>IFERROR(AVERAGE(B96:D96),0)</f>
        <v>0</v>
      </c>
      <c r="H96" s="251"/>
      <c r="I96" s="251"/>
      <c r="J96" s="251"/>
      <c r="K96" s="251"/>
      <c r="L96" s="251"/>
      <c r="M96" s="251"/>
      <c r="N96" s="251"/>
      <c r="O96" s="251"/>
      <c r="P96" s="256">
        <f t="shared" ref="P96:P107" si="33">+H96-I96-J96-M96+L96</f>
        <v>0</v>
      </c>
      <c r="Q96" s="262"/>
      <c r="R96" s="262"/>
      <c r="S96" s="262"/>
      <c r="T96" s="262"/>
      <c r="U96" s="254">
        <f>H96-J96-M96</f>
        <v>0</v>
      </c>
      <c r="V96" s="254">
        <f>I96-L96</f>
        <v>0</v>
      </c>
    </row>
    <row r="97" spans="1:22">
      <c r="A97" s="255">
        <f>IF($A$28="","",$A$28)</f>
        <v>45017</v>
      </c>
      <c r="B97" s="251"/>
      <c r="C97" s="251"/>
      <c r="D97" s="251"/>
      <c r="E97" s="251"/>
      <c r="F97" s="251"/>
      <c r="G97" s="252">
        <f t="shared" ref="G97:G107" si="34">IFERROR(AVERAGE(B97:D97),0)</f>
        <v>0</v>
      </c>
      <c r="H97" s="251"/>
      <c r="I97" s="251"/>
      <c r="J97" s="251"/>
      <c r="K97" s="251"/>
      <c r="L97" s="251"/>
      <c r="M97" s="251"/>
      <c r="N97" s="251"/>
      <c r="O97" s="251"/>
      <c r="P97" s="256">
        <f t="shared" si="33"/>
        <v>0</v>
      </c>
      <c r="Q97" s="262"/>
      <c r="R97" s="262"/>
      <c r="S97" s="262"/>
      <c r="T97" s="262"/>
      <c r="U97" s="254">
        <f t="shared" ref="U97:U107" si="35">H97-J97-M97</f>
        <v>0</v>
      </c>
      <c r="V97" s="254">
        <f t="shared" ref="V97:V107" si="36">I97-L97</f>
        <v>0</v>
      </c>
    </row>
    <row r="98" spans="1:22">
      <c r="A98" s="255">
        <f>IF($A$29="","",$A$29)</f>
        <v>45047</v>
      </c>
      <c r="B98" s="251"/>
      <c r="C98" s="251"/>
      <c r="D98" s="251"/>
      <c r="E98" s="251"/>
      <c r="F98" s="251"/>
      <c r="G98" s="252">
        <f t="shared" si="34"/>
        <v>0</v>
      </c>
      <c r="H98" s="251"/>
      <c r="I98" s="251"/>
      <c r="J98" s="251"/>
      <c r="K98" s="251"/>
      <c r="L98" s="251"/>
      <c r="M98" s="251"/>
      <c r="N98" s="251"/>
      <c r="O98" s="251"/>
      <c r="P98" s="256">
        <f t="shared" si="33"/>
        <v>0</v>
      </c>
      <c r="Q98" s="262"/>
      <c r="R98" s="262"/>
      <c r="S98" s="262"/>
      <c r="T98" s="262"/>
      <c r="U98" s="254">
        <f t="shared" si="35"/>
        <v>0</v>
      </c>
      <c r="V98" s="254">
        <f t="shared" si="36"/>
        <v>0</v>
      </c>
    </row>
    <row r="99" spans="1:22">
      <c r="A99" s="255">
        <f>IF($A$30="","",$A$30)</f>
        <v>45078</v>
      </c>
      <c r="B99" s="251"/>
      <c r="C99" s="251"/>
      <c r="D99" s="251"/>
      <c r="E99" s="251"/>
      <c r="F99" s="251"/>
      <c r="G99" s="252">
        <f t="shared" si="34"/>
        <v>0</v>
      </c>
      <c r="H99" s="251"/>
      <c r="I99" s="251"/>
      <c r="J99" s="251"/>
      <c r="K99" s="251"/>
      <c r="L99" s="251"/>
      <c r="M99" s="251"/>
      <c r="N99" s="251"/>
      <c r="O99" s="251"/>
      <c r="P99" s="256">
        <f t="shared" si="33"/>
        <v>0</v>
      </c>
      <c r="Q99" s="262"/>
      <c r="R99" s="262"/>
      <c r="S99" s="262"/>
      <c r="T99" s="262"/>
      <c r="U99" s="254">
        <f t="shared" si="35"/>
        <v>0</v>
      </c>
      <c r="V99" s="254">
        <f t="shared" si="36"/>
        <v>0</v>
      </c>
    </row>
    <row r="100" spans="1:22">
      <c r="A100" s="255">
        <f>IF($A$31="","",$A$31)</f>
        <v>45108</v>
      </c>
      <c r="B100" s="251"/>
      <c r="C100" s="251"/>
      <c r="D100" s="251"/>
      <c r="E100" s="251"/>
      <c r="F100" s="251"/>
      <c r="G100" s="252">
        <f t="shared" si="34"/>
        <v>0</v>
      </c>
      <c r="H100" s="251"/>
      <c r="I100" s="251"/>
      <c r="J100" s="251"/>
      <c r="K100" s="251"/>
      <c r="L100" s="251"/>
      <c r="M100" s="251"/>
      <c r="N100" s="251"/>
      <c r="O100" s="251"/>
      <c r="P100" s="256">
        <f t="shared" si="33"/>
        <v>0</v>
      </c>
      <c r="Q100" s="262"/>
      <c r="R100" s="262"/>
      <c r="S100" s="262"/>
      <c r="T100" s="262"/>
      <c r="U100" s="254">
        <f t="shared" si="35"/>
        <v>0</v>
      </c>
      <c r="V100" s="254">
        <f t="shared" si="36"/>
        <v>0</v>
      </c>
    </row>
    <row r="101" spans="1:22">
      <c r="A101" s="255">
        <f>IF($A$32="","",$A$32)</f>
        <v>45139</v>
      </c>
      <c r="B101" s="251"/>
      <c r="C101" s="251"/>
      <c r="D101" s="251"/>
      <c r="E101" s="251"/>
      <c r="F101" s="251"/>
      <c r="G101" s="252">
        <f t="shared" si="34"/>
        <v>0</v>
      </c>
      <c r="H101" s="251"/>
      <c r="I101" s="251"/>
      <c r="J101" s="251"/>
      <c r="K101" s="251"/>
      <c r="L101" s="251"/>
      <c r="M101" s="251"/>
      <c r="N101" s="251"/>
      <c r="O101" s="251"/>
      <c r="P101" s="256">
        <f t="shared" si="33"/>
        <v>0</v>
      </c>
      <c r="Q101" s="262"/>
      <c r="R101" s="262"/>
      <c r="S101" s="262"/>
      <c r="T101" s="262"/>
      <c r="U101" s="254">
        <f t="shared" si="35"/>
        <v>0</v>
      </c>
      <c r="V101" s="254">
        <f t="shared" si="36"/>
        <v>0</v>
      </c>
    </row>
    <row r="102" spans="1:22">
      <c r="A102" s="255">
        <f>IF($A$33="","",$A$33)</f>
        <v>45170</v>
      </c>
      <c r="B102" s="251"/>
      <c r="C102" s="251"/>
      <c r="D102" s="251"/>
      <c r="E102" s="251"/>
      <c r="F102" s="251"/>
      <c r="G102" s="252">
        <f t="shared" si="34"/>
        <v>0</v>
      </c>
      <c r="H102" s="251"/>
      <c r="I102" s="251"/>
      <c r="J102" s="251"/>
      <c r="K102" s="251"/>
      <c r="L102" s="251"/>
      <c r="M102" s="251"/>
      <c r="N102" s="251"/>
      <c r="O102" s="251"/>
      <c r="P102" s="256">
        <f t="shared" si="33"/>
        <v>0</v>
      </c>
      <c r="Q102" s="262"/>
      <c r="R102" s="262"/>
      <c r="S102" s="262"/>
      <c r="T102" s="262"/>
      <c r="U102" s="254">
        <f t="shared" si="35"/>
        <v>0</v>
      </c>
      <c r="V102" s="254">
        <f t="shared" si="36"/>
        <v>0</v>
      </c>
    </row>
    <row r="103" spans="1:22">
      <c r="A103" s="255">
        <f>IF($A$34="","",$A$34)</f>
        <v>45200</v>
      </c>
      <c r="B103" s="251"/>
      <c r="C103" s="251"/>
      <c r="D103" s="251"/>
      <c r="E103" s="251"/>
      <c r="F103" s="251"/>
      <c r="G103" s="252">
        <f t="shared" si="34"/>
        <v>0</v>
      </c>
      <c r="H103" s="251"/>
      <c r="I103" s="251"/>
      <c r="J103" s="251"/>
      <c r="K103" s="251"/>
      <c r="L103" s="251"/>
      <c r="M103" s="251"/>
      <c r="N103" s="251"/>
      <c r="O103" s="251"/>
      <c r="P103" s="256">
        <f t="shared" si="33"/>
        <v>0</v>
      </c>
      <c r="Q103" s="262"/>
      <c r="R103" s="262"/>
      <c r="S103" s="262"/>
      <c r="T103" s="262"/>
      <c r="U103" s="254">
        <f t="shared" si="35"/>
        <v>0</v>
      </c>
      <c r="V103" s="254">
        <f t="shared" si="36"/>
        <v>0</v>
      </c>
    </row>
    <row r="104" spans="1:22">
      <c r="A104" s="255">
        <f>IF($A$35="","",$A$35)</f>
        <v>45231</v>
      </c>
      <c r="B104" s="251"/>
      <c r="C104" s="251"/>
      <c r="D104" s="251"/>
      <c r="E104" s="251"/>
      <c r="F104" s="251"/>
      <c r="G104" s="252">
        <f t="shared" si="34"/>
        <v>0</v>
      </c>
      <c r="H104" s="251"/>
      <c r="I104" s="251"/>
      <c r="J104" s="251"/>
      <c r="K104" s="251"/>
      <c r="L104" s="251"/>
      <c r="M104" s="251"/>
      <c r="N104" s="251"/>
      <c r="O104" s="251"/>
      <c r="P104" s="256">
        <f t="shared" si="33"/>
        <v>0</v>
      </c>
      <c r="Q104" s="262"/>
      <c r="R104" s="262"/>
      <c r="S104" s="262"/>
      <c r="T104" s="262"/>
      <c r="U104" s="254">
        <f t="shared" si="35"/>
        <v>0</v>
      </c>
      <c r="V104" s="254">
        <f t="shared" si="36"/>
        <v>0</v>
      </c>
    </row>
    <row r="105" spans="1:22">
      <c r="A105" s="255">
        <f>IF($A$36="","",$A$36)</f>
        <v>45261</v>
      </c>
      <c r="B105" s="251"/>
      <c r="C105" s="251"/>
      <c r="D105" s="251"/>
      <c r="E105" s="251"/>
      <c r="F105" s="251"/>
      <c r="G105" s="252">
        <f t="shared" si="34"/>
        <v>0</v>
      </c>
      <c r="H105" s="251"/>
      <c r="I105" s="251"/>
      <c r="J105" s="251"/>
      <c r="K105" s="251"/>
      <c r="L105" s="251"/>
      <c r="M105" s="251"/>
      <c r="N105" s="251"/>
      <c r="O105" s="251"/>
      <c r="P105" s="256">
        <f t="shared" si="33"/>
        <v>0</v>
      </c>
      <c r="Q105" s="262"/>
      <c r="R105" s="262"/>
      <c r="S105" s="262"/>
      <c r="T105" s="262"/>
      <c r="U105" s="254">
        <f t="shared" si="35"/>
        <v>0</v>
      </c>
      <c r="V105" s="254">
        <f t="shared" si="36"/>
        <v>0</v>
      </c>
    </row>
    <row r="106" spans="1:22">
      <c r="A106" s="255">
        <f>IF($A$37="","",$A$37)</f>
        <v>45292</v>
      </c>
      <c r="B106" s="251"/>
      <c r="C106" s="251"/>
      <c r="D106" s="251"/>
      <c r="E106" s="251"/>
      <c r="F106" s="251"/>
      <c r="G106" s="252">
        <f t="shared" si="34"/>
        <v>0</v>
      </c>
      <c r="H106" s="251"/>
      <c r="I106" s="251"/>
      <c r="J106" s="251"/>
      <c r="K106" s="251"/>
      <c r="L106" s="251"/>
      <c r="M106" s="251"/>
      <c r="N106" s="251"/>
      <c r="O106" s="251"/>
      <c r="P106" s="256">
        <f t="shared" si="33"/>
        <v>0</v>
      </c>
      <c r="Q106" s="262"/>
      <c r="R106" s="262"/>
      <c r="S106" s="262"/>
      <c r="T106" s="262"/>
      <c r="U106" s="254">
        <f t="shared" si="35"/>
        <v>0</v>
      </c>
      <c r="V106" s="254">
        <f t="shared" si="36"/>
        <v>0</v>
      </c>
    </row>
    <row r="107" spans="1:22">
      <c r="A107" s="255">
        <f>IF($A$38="","",$A$38)</f>
        <v>45323</v>
      </c>
      <c r="B107" s="251"/>
      <c r="C107" s="251"/>
      <c r="D107" s="251"/>
      <c r="E107" s="251"/>
      <c r="F107" s="251"/>
      <c r="G107" s="252">
        <f t="shared" si="34"/>
        <v>0</v>
      </c>
      <c r="H107" s="251"/>
      <c r="I107" s="251"/>
      <c r="J107" s="251"/>
      <c r="K107" s="251"/>
      <c r="L107" s="251"/>
      <c r="M107" s="251"/>
      <c r="N107" s="251"/>
      <c r="O107" s="251"/>
      <c r="P107" s="256">
        <f t="shared" si="33"/>
        <v>0</v>
      </c>
      <c r="Q107" s="262"/>
      <c r="R107" s="262"/>
      <c r="S107" s="262"/>
      <c r="T107" s="262"/>
      <c r="U107" s="254">
        <f t="shared" si="35"/>
        <v>0</v>
      </c>
      <c r="V107" s="254">
        <f t="shared" si="36"/>
        <v>0</v>
      </c>
    </row>
    <row r="108" spans="1:22">
      <c r="A108" s="245" t="s">
        <v>524</v>
      </c>
      <c r="B108" s="254">
        <f t="shared" ref="B108:I108" si="37">+SUM(B96:B107)</f>
        <v>0</v>
      </c>
      <c r="C108" s="254">
        <f t="shared" si="37"/>
        <v>0</v>
      </c>
      <c r="D108" s="254">
        <f t="shared" si="37"/>
        <v>0</v>
      </c>
      <c r="E108" s="254">
        <f t="shared" si="37"/>
        <v>0</v>
      </c>
      <c r="F108" s="254">
        <f t="shared" si="37"/>
        <v>0</v>
      </c>
      <c r="G108" s="254">
        <f t="shared" si="37"/>
        <v>0</v>
      </c>
      <c r="H108" s="254">
        <f t="shared" si="37"/>
        <v>0</v>
      </c>
      <c r="I108" s="254">
        <f t="shared" si="37"/>
        <v>0</v>
      </c>
      <c r="J108" s="254">
        <f t="shared" ref="J108:O108" si="38">+SUM(J96:J107)</f>
        <v>0</v>
      </c>
      <c r="K108" s="254">
        <f t="shared" si="38"/>
        <v>0</v>
      </c>
      <c r="L108" s="254">
        <f t="shared" si="38"/>
        <v>0</v>
      </c>
      <c r="M108" s="254">
        <f t="shared" si="38"/>
        <v>0</v>
      </c>
      <c r="N108" s="254">
        <f t="shared" si="38"/>
        <v>0</v>
      </c>
      <c r="O108" s="254">
        <f t="shared" si="38"/>
        <v>0</v>
      </c>
      <c r="P108" s="254">
        <f t="shared" ref="P108:V108" si="39">+SUM(P96:P107)</f>
        <v>0</v>
      </c>
      <c r="Q108" s="254">
        <f t="shared" si="39"/>
        <v>0</v>
      </c>
      <c r="R108" s="254">
        <f t="shared" si="39"/>
        <v>0</v>
      </c>
      <c r="S108" s="254">
        <f t="shared" si="39"/>
        <v>0</v>
      </c>
      <c r="T108" s="254">
        <f t="shared" si="39"/>
        <v>0</v>
      </c>
      <c r="U108" s="254">
        <f t="shared" si="39"/>
        <v>0</v>
      </c>
      <c r="V108" s="254">
        <f t="shared" si="39"/>
        <v>0</v>
      </c>
    </row>
    <row r="109" spans="1:22">
      <c r="A109" s="245" t="s">
        <v>525</v>
      </c>
      <c r="B109" s="254">
        <f>IFERROR(B108/(COUNTA(A96:A107)-COUNTIF(A96:A107,"")),0)</f>
        <v>0</v>
      </c>
      <c r="C109" s="254">
        <f>IFERROR(C108/(COUNTA(A96:A107)-COUNTIF(A96:A107,"")),0)</f>
        <v>0</v>
      </c>
      <c r="D109" s="254">
        <f>IFERROR(D108/(COUNTA(A96:A107)-COUNTIF(A96:A107,"")),0)</f>
        <v>0</v>
      </c>
      <c r="E109" s="254">
        <f>IFERROR(E108/(COUNTA(A96:A107)-COUNTIF(A96:A107,"")),0)</f>
        <v>0</v>
      </c>
      <c r="F109" s="254">
        <f>IFERROR(F108/(COUNTA(A96:A107)-COUNTIF(A96:A107,"")),0)</f>
        <v>0</v>
      </c>
      <c r="G109" s="254">
        <f>IFERROR(G108/(COUNTA(A96:A107)-COUNTIF(A96:A107,"")),0)</f>
        <v>0</v>
      </c>
      <c r="H109" s="254">
        <f>IFERROR(H108/(COUNTA(A96:A107)-COUNTIF(A96:A107,"")),0)</f>
        <v>0</v>
      </c>
      <c r="I109" s="254">
        <f>IFERROR(I108/(COUNTA(A96:A107)-COUNTIF(A96:A107,"")),0)</f>
        <v>0</v>
      </c>
      <c r="J109" s="254">
        <f>IFERROR(J108/(COUNTA(A96:A107)-COUNTIF(A96:A107,"")),0)</f>
        <v>0</v>
      </c>
      <c r="K109" s="254">
        <f>IFERROR(K108/(COUNTA(A96:A107)-COUNTIF(A96:A107,"")),0)</f>
        <v>0</v>
      </c>
      <c r="L109" s="254">
        <f>IFERROR(L108/(COUNTA(A96:A107)-COUNTIF(A96:A107,"")),0)</f>
        <v>0</v>
      </c>
      <c r="M109" s="254">
        <f>IFERROR(M108/(COUNTA(A96:A107)-COUNTIF(A96:A107,"")),0)</f>
        <v>0</v>
      </c>
      <c r="N109" s="254">
        <f>IFERROR(N108/(COUNTA(A96:A107)-COUNTIF(A96:A107,"")),0)</f>
        <v>0</v>
      </c>
      <c r="O109" s="254">
        <f>IFERROR(O108/(COUNTA(A96:A107)-COUNTIF(A96:A107,"")),0)</f>
        <v>0</v>
      </c>
      <c r="P109" s="254">
        <f>IFERROR(P108/(COUNTA(A96:A107)-COUNTIF(A96:A107,"")),0)</f>
        <v>0</v>
      </c>
      <c r="Q109" s="259"/>
      <c r="R109" s="259"/>
      <c r="S109" s="246">
        <f>IFERROR(R108/S108*100,0)</f>
        <v>0</v>
      </c>
      <c r="T109" s="246">
        <f>IFERROR(Q108/T108*100,0)</f>
        <v>0</v>
      </c>
      <c r="U109" s="254">
        <f>IFERROR(U108/COUNTA(A96:A107),0)</f>
        <v>0</v>
      </c>
      <c r="V109" s="254">
        <f>IFERROR(V108/COUNTA(A96:A107),0)</f>
        <v>0</v>
      </c>
    </row>
    <row r="110" spans="1:22" ht="38.25">
      <c r="A110" s="245" t="s">
        <v>526</v>
      </c>
      <c r="B110" s="254">
        <f>O93+B109</f>
        <v>0</v>
      </c>
      <c r="C110" s="254">
        <f>O93+C109</f>
        <v>0</v>
      </c>
      <c r="D110" s="254">
        <f>O93+D109</f>
        <v>0</v>
      </c>
      <c r="E110" s="254"/>
      <c r="F110" s="254"/>
      <c r="G110" s="254">
        <f>O93+G109</f>
        <v>0</v>
      </c>
      <c r="H110" s="254"/>
      <c r="I110" s="254"/>
      <c r="J110" s="254"/>
      <c r="K110" s="254"/>
      <c r="L110" s="254"/>
      <c r="M110" s="254"/>
      <c r="N110" s="254"/>
      <c r="O110" s="254"/>
      <c r="P110" s="254"/>
      <c r="Q110" s="259"/>
      <c r="R110" s="259"/>
      <c r="S110" s="260" t="s">
        <v>527</v>
      </c>
      <c r="T110" s="260" t="s">
        <v>528</v>
      </c>
      <c r="U110" s="260"/>
      <c r="V110" s="260"/>
    </row>
    <row r="111" spans="1:22"/>
    <row r="112" spans="1:22"/>
    <row r="113" spans="1:22"/>
    <row r="114" spans="1:22" ht="12.75" customHeight="1">
      <c r="A114" s="432" t="s">
        <v>504</v>
      </c>
      <c r="B114" s="432"/>
      <c r="C114" s="437"/>
      <c r="D114" s="438"/>
      <c r="E114" s="438"/>
      <c r="F114" s="438"/>
      <c r="G114" s="438"/>
      <c r="H114" s="438"/>
      <c r="I114" s="438"/>
      <c r="J114" s="438"/>
      <c r="K114" s="438"/>
      <c r="L114" s="438"/>
      <c r="M114" s="438"/>
      <c r="N114" s="438"/>
      <c r="O114" s="438"/>
      <c r="P114" s="438"/>
      <c r="Q114" s="438"/>
      <c r="R114" s="438"/>
      <c r="S114" s="438"/>
      <c r="T114" s="439"/>
      <c r="U114" s="247"/>
      <c r="V114" s="247"/>
    </row>
    <row r="115" spans="1:22" ht="12.75" customHeight="1">
      <c r="A115" s="432" t="s">
        <v>530</v>
      </c>
      <c r="B115" s="432"/>
      <c r="C115" s="440"/>
      <c r="D115" s="440"/>
      <c r="E115" s="440"/>
      <c r="F115" s="440"/>
      <c r="G115" s="440"/>
      <c r="H115" s="441" t="s">
        <v>532</v>
      </c>
      <c r="I115" s="441"/>
      <c r="J115" s="440"/>
      <c r="K115" s="440"/>
      <c r="L115" s="440"/>
      <c r="M115" s="440"/>
      <c r="N115" s="440"/>
      <c r="O115" s="440"/>
      <c r="P115" s="440"/>
      <c r="Q115" s="440"/>
      <c r="R115" s="440"/>
      <c r="S115" s="440"/>
      <c r="T115" s="440"/>
      <c r="U115" s="247"/>
      <c r="V115" s="247"/>
    </row>
    <row r="116" spans="1:22" ht="25.5" customHeight="1">
      <c r="A116" s="432" t="s">
        <v>533</v>
      </c>
      <c r="B116" s="432"/>
      <c r="C116" s="437"/>
      <c r="D116" s="439"/>
      <c r="E116" s="249" t="s">
        <v>535</v>
      </c>
      <c r="F116" s="442"/>
      <c r="G116" s="443"/>
      <c r="H116" s="443"/>
      <c r="I116" s="444"/>
      <c r="J116" s="249" t="s">
        <v>537</v>
      </c>
      <c r="K116" s="442"/>
      <c r="L116" s="443"/>
      <c r="M116" s="444"/>
      <c r="N116" s="248" t="s">
        <v>538</v>
      </c>
      <c r="O116" s="445"/>
      <c r="P116" s="446"/>
      <c r="Q116" s="446"/>
      <c r="R116" s="446"/>
      <c r="S116" s="446"/>
      <c r="T116" s="447"/>
      <c r="U116" s="261"/>
      <c r="V116" s="261"/>
    </row>
    <row r="117" spans="1:22" ht="38.25" customHeight="1">
      <c r="A117" s="239" t="s">
        <v>161</v>
      </c>
      <c r="B117" s="434" t="s">
        <v>539</v>
      </c>
      <c r="C117" s="434"/>
      <c r="D117" s="434"/>
      <c r="E117" s="240" t="s">
        <v>540</v>
      </c>
      <c r="F117" s="240" t="s">
        <v>541</v>
      </c>
      <c r="G117" s="239" t="s">
        <v>542</v>
      </c>
      <c r="H117" s="239" t="s">
        <v>543</v>
      </c>
      <c r="I117" s="239" t="s">
        <v>544</v>
      </c>
      <c r="J117" s="240" t="s">
        <v>545</v>
      </c>
      <c r="K117" s="240" t="s">
        <v>546</v>
      </c>
      <c r="L117" s="435" t="s">
        <v>547</v>
      </c>
      <c r="M117" s="436"/>
      <c r="N117" s="435" t="s">
        <v>548</v>
      </c>
      <c r="O117" s="436"/>
      <c r="P117" s="239" t="s">
        <v>549</v>
      </c>
      <c r="Q117" s="239" t="s">
        <v>516</v>
      </c>
      <c r="R117" s="239" t="s">
        <v>517</v>
      </c>
      <c r="S117" s="239" t="s">
        <v>518</v>
      </c>
      <c r="T117" s="239" t="s">
        <v>519</v>
      </c>
      <c r="U117" s="239" t="s">
        <v>550</v>
      </c>
      <c r="V117" s="239" t="s">
        <v>551</v>
      </c>
    </row>
    <row r="118" spans="1:22">
      <c r="A118" s="239"/>
      <c r="B118" s="239">
        <v>10</v>
      </c>
      <c r="C118" s="239">
        <v>20</v>
      </c>
      <c r="D118" s="239">
        <v>30</v>
      </c>
      <c r="E118" s="239"/>
      <c r="F118" s="239"/>
      <c r="G118" s="239"/>
      <c r="H118" s="239"/>
      <c r="I118" s="239"/>
      <c r="J118" s="239"/>
      <c r="K118" s="239"/>
      <c r="L118" s="239" t="s">
        <v>522</v>
      </c>
      <c r="M118" s="239" t="s">
        <v>523</v>
      </c>
      <c r="N118" s="239" t="s">
        <v>522</v>
      </c>
      <c r="O118" s="239" t="s">
        <v>523</v>
      </c>
      <c r="P118" s="239"/>
      <c r="Q118" s="239"/>
      <c r="R118" s="239"/>
      <c r="S118" s="239"/>
      <c r="T118" s="239"/>
      <c r="U118" s="239"/>
      <c r="V118" s="239"/>
    </row>
    <row r="119" spans="1:22">
      <c r="A119" s="255">
        <f>IF($A$27="","",$A$27)</f>
        <v>44986</v>
      </c>
      <c r="B119" s="251"/>
      <c r="C119" s="251"/>
      <c r="D119" s="251"/>
      <c r="E119" s="251"/>
      <c r="F119" s="251"/>
      <c r="G119" s="252">
        <f>IFERROR(AVERAGE(B119:D119),0)</f>
        <v>0</v>
      </c>
      <c r="H119" s="251"/>
      <c r="I119" s="251"/>
      <c r="J119" s="251"/>
      <c r="K119" s="251"/>
      <c r="L119" s="251"/>
      <c r="M119" s="251"/>
      <c r="N119" s="251"/>
      <c r="O119" s="251"/>
      <c r="P119" s="256">
        <f t="shared" ref="P119:P130" si="40">+H119-I119-J119-M119+L119</f>
        <v>0</v>
      </c>
      <c r="Q119" s="262"/>
      <c r="R119" s="262"/>
      <c r="S119" s="262"/>
      <c r="T119" s="262"/>
      <c r="U119" s="254">
        <f>H119-J119-M119</f>
        <v>0</v>
      </c>
      <c r="V119" s="254">
        <f>I119-L119</f>
        <v>0</v>
      </c>
    </row>
    <row r="120" spans="1:22">
      <c r="A120" s="255">
        <f>IF($A$28="","",$A$28)</f>
        <v>45017</v>
      </c>
      <c r="B120" s="251"/>
      <c r="C120" s="251"/>
      <c r="D120" s="251"/>
      <c r="E120" s="251"/>
      <c r="F120" s="251"/>
      <c r="G120" s="252">
        <f t="shared" ref="G120:G130" si="41">IFERROR(AVERAGE(B120:D120),0)</f>
        <v>0</v>
      </c>
      <c r="H120" s="251"/>
      <c r="I120" s="251"/>
      <c r="J120" s="251"/>
      <c r="K120" s="251"/>
      <c r="L120" s="251"/>
      <c r="M120" s="251"/>
      <c r="N120" s="251"/>
      <c r="O120" s="251"/>
      <c r="P120" s="256">
        <f t="shared" si="40"/>
        <v>0</v>
      </c>
      <c r="Q120" s="262"/>
      <c r="R120" s="262"/>
      <c r="S120" s="262"/>
      <c r="T120" s="262"/>
      <c r="U120" s="254">
        <f t="shared" ref="U120:U130" si="42">H120-J120-M120</f>
        <v>0</v>
      </c>
      <c r="V120" s="254">
        <f t="shared" ref="V120:V130" si="43">I120-L120</f>
        <v>0</v>
      </c>
    </row>
    <row r="121" spans="1:22">
      <c r="A121" s="255">
        <f>IF($A$29="","",$A$29)</f>
        <v>45047</v>
      </c>
      <c r="B121" s="251"/>
      <c r="C121" s="251"/>
      <c r="D121" s="251"/>
      <c r="E121" s="251"/>
      <c r="F121" s="251"/>
      <c r="G121" s="252">
        <f t="shared" si="41"/>
        <v>0</v>
      </c>
      <c r="H121" s="251"/>
      <c r="I121" s="251"/>
      <c r="J121" s="251"/>
      <c r="K121" s="251"/>
      <c r="L121" s="251"/>
      <c r="M121" s="251"/>
      <c r="N121" s="251"/>
      <c r="O121" s="251"/>
      <c r="P121" s="256">
        <f t="shared" si="40"/>
        <v>0</v>
      </c>
      <c r="Q121" s="262"/>
      <c r="R121" s="262"/>
      <c r="S121" s="262"/>
      <c r="T121" s="262"/>
      <c r="U121" s="254">
        <f t="shared" si="42"/>
        <v>0</v>
      </c>
      <c r="V121" s="254">
        <f t="shared" si="43"/>
        <v>0</v>
      </c>
    </row>
    <row r="122" spans="1:22">
      <c r="A122" s="255">
        <f>IF($A$30="","",$A$30)</f>
        <v>45078</v>
      </c>
      <c r="B122" s="251"/>
      <c r="C122" s="251"/>
      <c r="D122" s="251"/>
      <c r="E122" s="251"/>
      <c r="F122" s="251"/>
      <c r="G122" s="252">
        <f t="shared" si="41"/>
        <v>0</v>
      </c>
      <c r="H122" s="251"/>
      <c r="I122" s="251"/>
      <c r="J122" s="251"/>
      <c r="K122" s="251"/>
      <c r="L122" s="251"/>
      <c r="M122" s="251"/>
      <c r="N122" s="251"/>
      <c r="O122" s="251"/>
      <c r="P122" s="256">
        <f t="shared" si="40"/>
        <v>0</v>
      </c>
      <c r="Q122" s="262"/>
      <c r="R122" s="262"/>
      <c r="S122" s="262"/>
      <c r="T122" s="262"/>
      <c r="U122" s="254">
        <f t="shared" si="42"/>
        <v>0</v>
      </c>
      <c r="V122" s="254">
        <f t="shared" si="43"/>
        <v>0</v>
      </c>
    </row>
    <row r="123" spans="1:22">
      <c r="A123" s="255">
        <f>IF($A$31="","",$A$31)</f>
        <v>45108</v>
      </c>
      <c r="B123" s="251"/>
      <c r="C123" s="251"/>
      <c r="D123" s="251"/>
      <c r="E123" s="251"/>
      <c r="F123" s="251"/>
      <c r="G123" s="252">
        <f t="shared" si="41"/>
        <v>0</v>
      </c>
      <c r="H123" s="251"/>
      <c r="I123" s="251"/>
      <c r="J123" s="251"/>
      <c r="K123" s="251"/>
      <c r="L123" s="251"/>
      <c r="M123" s="251"/>
      <c r="N123" s="251"/>
      <c r="O123" s="251"/>
      <c r="P123" s="256">
        <f t="shared" si="40"/>
        <v>0</v>
      </c>
      <c r="Q123" s="262"/>
      <c r="R123" s="262"/>
      <c r="S123" s="262"/>
      <c r="T123" s="262"/>
      <c r="U123" s="254">
        <f t="shared" si="42"/>
        <v>0</v>
      </c>
      <c r="V123" s="254">
        <f t="shared" si="43"/>
        <v>0</v>
      </c>
    </row>
    <row r="124" spans="1:22">
      <c r="A124" s="255">
        <f>IF($A$32="","",$A$32)</f>
        <v>45139</v>
      </c>
      <c r="B124" s="251"/>
      <c r="C124" s="251"/>
      <c r="D124" s="251"/>
      <c r="E124" s="251"/>
      <c r="F124" s="251"/>
      <c r="G124" s="252">
        <f t="shared" si="41"/>
        <v>0</v>
      </c>
      <c r="H124" s="251"/>
      <c r="I124" s="251"/>
      <c r="J124" s="251"/>
      <c r="K124" s="251"/>
      <c r="L124" s="251"/>
      <c r="M124" s="251"/>
      <c r="N124" s="251"/>
      <c r="O124" s="251"/>
      <c r="P124" s="256">
        <f t="shared" si="40"/>
        <v>0</v>
      </c>
      <c r="Q124" s="262"/>
      <c r="R124" s="262"/>
      <c r="S124" s="262"/>
      <c r="T124" s="262"/>
      <c r="U124" s="254">
        <f t="shared" si="42"/>
        <v>0</v>
      </c>
      <c r="V124" s="254">
        <f t="shared" si="43"/>
        <v>0</v>
      </c>
    </row>
    <row r="125" spans="1:22">
      <c r="A125" s="255">
        <f>IF($A$33="","",$A$33)</f>
        <v>45170</v>
      </c>
      <c r="B125" s="251"/>
      <c r="C125" s="251"/>
      <c r="D125" s="251"/>
      <c r="E125" s="251"/>
      <c r="F125" s="251"/>
      <c r="G125" s="252">
        <f t="shared" si="41"/>
        <v>0</v>
      </c>
      <c r="H125" s="251"/>
      <c r="I125" s="251"/>
      <c r="J125" s="251"/>
      <c r="K125" s="251"/>
      <c r="L125" s="251"/>
      <c r="M125" s="251"/>
      <c r="N125" s="251"/>
      <c r="O125" s="251"/>
      <c r="P125" s="256">
        <f t="shared" si="40"/>
        <v>0</v>
      </c>
      <c r="Q125" s="262"/>
      <c r="R125" s="262"/>
      <c r="S125" s="262"/>
      <c r="T125" s="262"/>
      <c r="U125" s="254">
        <f t="shared" si="42"/>
        <v>0</v>
      </c>
      <c r="V125" s="254">
        <f t="shared" si="43"/>
        <v>0</v>
      </c>
    </row>
    <row r="126" spans="1:22">
      <c r="A126" s="255">
        <f>IF($A$34="","",$A$34)</f>
        <v>45200</v>
      </c>
      <c r="B126" s="251"/>
      <c r="C126" s="251"/>
      <c r="D126" s="251"/>
      <c r="E126" s="251"/>
      <c r="F126" s="251"/>
      <c r="G126" s="252">
        <f t="shared" si="41"/>
        <v>0</v>
      </c>
      <c r="H126" s="251"/>
      <c r="I126" s="251"/>
      <c r="J126" s="251"/>
      <c r="K126" s="251"/>
      <c r="L126" s="251"/>
      <c r="M126" s="251"/>
      <c r="N126" s="251"/>
      <c r="O126" s="251"/>
      <c r="P126" s="256">
        <f t="shared" si="40"/>
        <v>0</v>
      </c>
      <c r="Q126" s="262"/>
      <c r="R126" s="262"/>
      <c r="S126" s="262"/>
      <c r="T126" s="262"/>
      <c r="U126" s="254">
        <f t="shared" si="42"/>
        <v>0</v>
      </c>
      <c r="V126" s="254">
        <f t="shared" si="43"/>
        <v>0</v>
      </c>
    </row>
    <row r="127" spans="1:22">
      <c r="A127" s="255">
        <f>IF($A$35="","",$A$35)</f>
        <v>45231</v>
      </c>
      <c r="B127" s="251"/>
      <c r="C127" s="251"/>
      <c r="D127" s="251"/>
      <c r="E127" s="251"/>
      <c r="F127" s="251"/>
      <c r="G127" s="252">
        <f t="shared" si="41"/>
        <v>0</v>
      </c>
      <c r="H127" s="251"/>
      <c r="I127" s="251"/>
      <c r="J127" s="251"/>
      <c r="K127" s="251"/>
      <c r="L127" s="251"/>
      <c r="M127" s="251"/>
      <c r="N127" s="251"/>
      <c r="O127" s="251"/>
      <c r="P127" s="256">
        <f t="shared" si="40"/>
        <v>0</v>
      </c>
      <c r="Q127" s="262"/>
      <c r="R127" s="262"/>
      <c r="S127" s="262"/>
      <c r="T127" s="262"/>
      <c r="U127" s="254">
        <f t="shared" si="42"/>
        <v>0</v>
      </c>
      <c r="V127" s="254">
        <f t="shared" si="43"/>
        <v>0</v>
      </c>
    </row>
    <row r="128" spans="1:22">
      <c r="A128" s="255">
        <f>IF($A$36="","",$A$36)</f>
        <v>45261</v>
      </c>
      <c r="B128" s="251"/>
      <c r="C128" s="251"/>
      <c r="D128" s="251"/>
      <c r="E128" s="251"/>
      <c r="F128" s="251"/>
      <c r="G128" s="252">
        <f t="shared" si="41"/>
        <v>0</v>
      </c>
      <c r="H128" s="251"/>
      <c r="I128" s="251"/>
      <c r="J128" s="251"/>
      <c r="K128" s="251"/>
      <c r="L128" s="251"/>
      <c r="M128" s="251"/>
      <c r="N128" s="251"/>
      <c r="O128" s="251"/>
      <c r="P128" s="256">
        <f t="shared" si="40"/>
        <v>0</v>
      </c>
      <c r="Q128" s="262"/>
      <c r="R128" s="262"/>
      <c r="S128" s="262"/>
      <c r="T128" s="262"/>
      <c r="U128" s="254">
        <f t="shared" si="42"/>
        <v>0</v>
      </c>
      <c r="V128" s="254">
        <f t="shared" si="43"/>
        <v>0</v>
      </c>
    </row>
    <row r="129" spans="1:22">
      <c r="A129" s="255">
        <f>IF($A$37="","",$A$37)</f>
        <v>45292</v>
      </c>
      <c r="B129" s="251"/>
      <c r="C129" s="251"/>
      <c r="D129" s="251"/>
      <c r="E129" s="251"/>
      <c r="F129" s="251"/>
      <c r="G129" s="252">
        <f t="shared" si="41"/>
        <v>0</v>
      </c>
      <c r="H129" s="251"/>
      <c r="I129" s="251"/>
      <c r="J129" s="251"/>
      <c r="K129" s="251"/>
      <c r="L129" s="251"/>
      <c r="M129" s="251"/>
      <c r="N129" s="251"/>
      <c r="O129" s="251"/>
      <c r="P129" s="256">
        <f t="shared" si="40"/>
        <v>0</v>
      </c>
      <c r="Q129" s="262"/>
      <c r="R129" s="262"/>
      <c r="S129" s="262"/>
      <c r="T129" s="262"/>
      <c r="U129" s="254">
        <f t="shared" si="42"/>
        <v>0</v>
      </c>
      <c r="V129" s="254">
        <f t="shared" si="43"/>
        <v>0</v>
      </c>
    </row>
    <row r="130" spans="1:22">
      <c r="A130" s="255">
        <f>IF($A$38="","",$A$38)</f>
        <v>45323</v>
      </c>
      <c r="B130" s="251"/>
      <c r="C130" s="251"/>
      <c r="D130" s="251"/>
      <c r="E130" s="251"/>
      <c r="F130" s="251"/>
      <c r="G130" s="252">
        <f t="shared" si="41"/>
        <v>0</v>
      </c>
      <c r="H130" s="251"/>
      <c r="I130" s="251"/>
      <c r="J130" s="251"/>
      <c r="K130" s="251"/>
      <c r="L130" s="251"/>
      <c r="M130" s="251"/>
      <c r="N130" s="251"/>
      <c r="O130" s="251"/>
      <c r="P130" s="256">
        <f t="shared" si="40"/>
        <v>0</v>
      </c>
      <c r="Q130" s="262"/>
      <c r="R130" s="262"/>
      <c r="S130" s="262"/>
      <c r="T130" s="262"/>
      <c r="U130" s="254">
        <f t="shared" si="42"/>
        <v>0</v>
      </c>
      <c r="V130" s="254">
        <f t="shared" si="43"/>
        <v>0</v>
      </c>
    </row>
    <row r="131" spans="1:22">
      <c r="A131" s="245" t="s">
        <v>524</v>
      </c>
      <c r="B131" s="254">
        <f t="shared" ref="B131:I131" si="44">+SUM(B119:B130)</f>
        <v>0</v>
      </c>
      <c r="C131" s="254">
        <f t="shared" si="44"/>
        <v>0</v>
      </c>
      <c r="D131" s="254">
        <f t="shared" si="44"/>
        <v>0</v>
      </c>
      <c r="E131" s="254">
        <f t="shared" si="44"/>
        <v>0</v>
      </c>
      <c r="F131" s="254">
        <f t="shared" si="44"/>
        <v>0</v>
      </c>
      <c r="G131" s="254">
        <f t="shared" si="44"/>
        <v>0</v>
      </c>
      <c r="H131" s="254">
        <f t="shared" si="44"/>
        <v>0</v>
      </c>
      <c r="I131" s="254">
        <f t="shared" si="44"/>
        <v>0</v>
      </c>
      <c r="J131" s="254">
        <f t="shared" ref="J131:O131" si="45">+SUM(J119:J130)</f>
        <v>0</v>
      </c>
      <c r="K131" s="254">
        <f t="shared" si="45"/>
        <v>0</v>
      </c>
      <c r="L131" s="254">
        <f t="shared" si="45"/>
        <v>0</v>
      </c>
      <c r="M131" s="254">
        <f t="shared" si="45"/>
        <v>0</v>
      </c>
      <c r="N131" s="254">
        <f t="shared" si="45"/>
        <v>0</v>
      </c>
      <c r="O131" s="254">
        <f t="shared" si="45"/>
        <v>0</v>
      </c>
      <c r="P131" s="254">
        <f t="shared" ref="P131:V131" si="46">+SUM(P119:P130)</f>
        <v>0</v>
      </c>
      <c r="Q131" s="254">
        <f t="shared" si="46"/>
        <v>0</v>
      </c>
      <c r="R131" s="254">
        <f t="shared" si="46"/>
        <v>0</v>
      </c>
      <c r="S131" s="254">
        <f t="shared" si="46"/>
        <v>0</v>
      </c>
      <c r="T131" s="254">
        <f t="shared" si="46"/>
        <v>0</v>
      </c>
      <c r="U131" s="254">
        <f t="shared" si="46"/>
        <v>0</v>
      </c>
      <c r="V131" s="254">
        <f t="shared" si="46"/>
        <v>0</v>
      </c>
    </row>
    <row r="132" spans="1:22">
      <c r="A132" s="245" t="s">
        <v>525</v>
      </c>
      <c r="B132" s="254">
        <f>IFERROR(B131/(COUNTA(A119:A130)-COUNTIF(A119:A130,"")),0)</f>
        <v>0</v>
      </c>
      <c r="C132" s="254">
        <f>IFERROR(C131/(COUNTA(A119:A130)-COUNTIF(A119:A130,"")),0)</f>
        <v>0</v>
      </c>
      <c r="D132" s="254">
        <f>IFERROR(D131/(COUNTA(A119:A130)-COUNTIF(A119:A130,"")),0)</f>
        <v>0</v>
      </c>
      <c r="E132" s="254">
        <f>IFERROR(E131/(COUNTA(A119:A130)-COUNTIF(A119:A130,"")),0)</f>
        <v>0</v>
      </c>
      <c r="F132" s="254">
        <f>IFERROR(F131/(COUNTA(A119:A130)-COUNTIF(A119:A130,"")),0)</f>
        <v>0</v>
      </c>
      <c r="G132" s="254">
        <f>IFERROR(G131/(COUNTA(A119:A130)-COUNTIF(A119:A130,"")),0)</f>
        <v>0</v>
      </c>
      <c r="H132" s="254">
        <f>IFERROR(H131/(COUNTA(A119:A130)-COUNTIF(A119:A130,"")),0)</f>
        <v>0</v>
      </c>
      <c r="I132" s="254">
        <f>IFERROR(I131/(COUNTA(A119:A130)-COUNTIF(A119:A130,"")),0)</f>
        <v>0</v>
      </c>
      <c r="J132" s="254">
        <f>IFERROR(J131/(COUNTA(A119:A130)-COUNTIF(A119:A130,"")),0)</f>
        <v>0</v>
      </c>
      <c r="K132" s="254">
        <f>IFERROR(K131/(COUNTA(A119:A130)-COUNTIF(A119:A130,"")),0)</f>
        <v>0</v>
      </c>
      <c r="L132" s="254">
        <f>IFERROR(L131/(COUNTA(A119:A130)-COUNTIF(A119:A130,"")),0)</f>
        <v>0</v>
      </c>
      <c r="M132" s="254">
        <f>IFERROR(M131/(COUNTA(A119:A130)-COUNTIF(A119:A130,"")),0)</f>
        <v>0</v>
      </c>
      <c r="N132" s="254">
        <f>IFERROR(N131/(COUNTA(A119:A130)-COUNTIF(A119:A130,"")),0)</f>
        <v>0</v>
      </c>
      <c r="O132" s="254">
        <f>IFERROR(O131/(COUNTA(A119:A130)-COUNTIF(A119:A130,"")),0)</f>
        <v>0</v>
      </c>
      <c r="P132" s="254">
        <f>IFERROR(P131/(COUNTA(A119:A130)-COUNTIF(A119:A130,"")),0)</f>
        <v>0</v>
      </c>
      <c r="Q132" s="259"/>
      <c r="R132" s="259"/>
      <c r="S132" s="246">
        <f>IFERROR(R131/S131*100,0)</f>
        <v>0</v>
      </c>
      <c r="T132" s="246">
        <f>IFERROR(Q131/T131*100,0)</f>
        <v>0</v>
      </c>
      <c r="U132" s="254">
        <f>IFERROR(U131/COUNTA(A119:A130),0)</f>
        <v>0</v>
      </c>
      <c r="V132" s="254">
        <f>IFERROR(V131/COUNTA(A119:A130),0)</f>
        <v>0</v>
      </c>
    </row>
    <row r="133" spans="1:22" ht="38.25">
      <c r="A133" s="245" t="s">
        <v>526</v>
      </c>
      <c r="B133" s="254">
        <f>O116+B132</f>
        <v>0</v>
      </c>
      <c r="C133" s="254">
        <f>O116+C132</f>
        <v>0</v>
      </c>
      <c r="D133" s="254">
        <f>O116+D132</f>
        <v>0</v>
      </c>
      <c r="E133" s="254"/>
      <c r="F133" s="254"/>
      <c r="G133" s="254">
        <f>O116+G132</f>
        <v>0</v>
      </c>
      <c r="H133" s="254"/>
      <c r="I133" s="254"/>
      <c r="J133" s="254"/>
      <c r="K133" s="254"/>
      <c r="L133" s="254"/>
      <c r="M133" s="254"/>
      <c r="N133" s="254"/>
      <c r="O133" s="254"/>
      <c r="P133" s="254"/>
      <c r="Q133" s="259"/>
      <c r="R133" s="259"/>
      <c r="S133" s="260" t="s">
        <v>527</v>
      </c>
      <c r="T133" s="260" t="s">
        <v>528</v>
      </c>
      <c r="U133" s="260"/>
      <c r="V133" s="260"/>
    </row>
    <row r="134" spans="1:22"/>
    <row r="135" spans="1:22"/>
    <row r="136" spans="1:22"/>
    <row r="137" spans="1:22" ht="12.75" customHeight="1">
      <c r="A137" s="432" t="s">
        <v>504</v>
      </c>
      <c r="B137" s="432"/>
      <c r="C137" s="437"/>
      <c r="D137" s="438"/>
      <c r="E137" s="438"/>
      <c r="F137" s="438"/>
      <c r="G137" s="438"/>
      <c r="H137" s="438"/>
      <c r="I137" s="438"/>
      <c r="J137" s="438"/>
      <c r="K137" s="438"/>
      <c r="L137" s="438"/>
      <c r="M137" s="438"/>
      <c r="N137" s="438"/>
      <c r="O137" s="438"/>
      <c r="P137" s="438"/>
      <c r="Q137" s="438"/>
      <c r="R137" s="438"/>
      <c r="S137" s="438"/>
      <c r="T137" s="439"/>
      <c r="U137" s="247"/>
      <c r="V137" s="247"/>
    </row>
    <row r="138" spans="1:22" ht="12.75" customHeight="1">
      <c r="A138" s="432" t="s">
        <v>530</v>
      </c>
      <c r="B138" s="432"/>
      <c r="C138" s="440"/>
      <c r="D138" s="440"/>
      <c r="E138" s="440"/>
      <c r="F138" s="440"/>
      <c r="G138" s="440"/>
      <c r="H138" s="441" t="s">
        <v>532</v>
      </c>
      <c r="I138" s="441"/>
      <c r="J138" s="440"/>
      <c r="K138" s="440"/>
      <c r="L138" s="440"/>
      <c r="M138" s="440"/>
      <c r="N138" s="440"/>
      <c r="O138" s="440"/>
      <c r="P138" s="440"/>
      <c r="Q138" s="440"/>
      <c r="R138" s="440"/>
      <c r="S138" s="440"/>
      <c r="T138" s="440"/>
      <c r="U138" s="247"/>
      <c r="V138" s="247"/>
    </row>
    <row r="139" spans="1:22" ht="25.5" customHeight="1">
      <c r="A139" s="432" t="s">
        <v>533</v>
      </c>
      <c r="B139" s="432"/>
      <c r="C139" s="437"/>
      <c r="D139" s="439"/>
      <c r="E139" s="249" t="s">
        <v>535</v>
      </c>
      <c r="F139" s="442"/>
      <c r="G139" s="443"/>
      <c r="H139" s="443"/>
      <c r="I139" s="444"/>
      <c r="J139" s="249" t="s">
        <v>537</v>
      </c>
      <c r="K139" s="442"/>
      <c r="L139" s="443"/>
      <c r="M139" s="444"/>
      <c r="N139" s="248" t="s">
        <v>538</v>
      </c>
      <c r="O139" s="445"/>
      <c r="P139" s="446"/>
      <c r="Q139" s="446"/>
      <c r="R139" s="446"/>
      <c r="S139" s="446"/>
      <c r="T139" s="447"/>
      <c r="U139" s="261"/>
      <c r="V139" s="261"/>
    </row>
    <row r="140" spans="1:22" ht="38.25" customHeight="1">
      <c r="A140" s="239" t="s">
        <v>161</v>
      </c>
      <c r="B140" s="434" t="s">
        <v>539</v>
      </c>
      <c r="C140" s="434"/>
      <c r="D140" s="434"/>
      <c r="E140" s="240" t="s">
        <v>540</v>
      </c>
      <c r="F140" s="240" t="s">
        <v>541</v>
      </c>
      <c r="G140" s="239" t="s">
        <v>542</v>
      </c>
      <c r="H140" s="239" t="s">
        <v>543</v>
      </c>
      <c r="I140" s="239" t="s">
        <v>544</v>
      </c>
      <c r="J140" s="240" t="s">
        <v>545</v>
      </c>
      <c r="K140" s="240" t="s">
        <v>546</v>
      </c>
      <c r="L140" s="435" t="s">
        <v>547</v>
      </c>
      <c r="M140" s="436"/>
      <c r="N140" s="435" t="s">
        <v>548</v>
      </c>
      <c r="O140" s="436"/>
      <c r="P140" s="239" t="s">
        <v>549</v>
      </c>
      <c r="Q140" s="239" t="s">
        <v>516</v>
      </c>
      <c r="R140" s="239" t="s">
        <v>517</v>
      </c>
      <c r="S140" s="239" t="s">
        <v>518</v>
      </c>
      <c r="T140" s="239" t="s">
        <v>519</v>
      </c>
      <c r="U140" s="239" t="s">
        <v>550</v>
      </c>
      <c r="V140" s="239" t="s">
        <v>551</v>
      </c>
    </row>
    <row r="141" spans="1:22">
      <c r="A141" s="239"/>
      <c r="B141" s="239">
        <v>10</v>
      </c>
      <c r="C141" s="239">
        <v>20</v>
      </c>
      <c r="D141" s="239">
        <v>30</v>
      </c>
      <c r="E141" s="239"/>
      <c r="F141" s="239"/>
      <c r="G141" s="239"/>
      <c r="H141" s="239"/>
      <c r="I141" s="239"/>
      <c r="J141" s="239"/>
      <c r="K141" s="239"/>
      <c r="L141" s="239" t="s">
        <v>522</v>
      </c>
      <c r="M141" s="239" t="s">
        <v>523</v>
      </c>
      <c r="N141" s="239" t="s">
        <v>522</v>
      </c>
      <c r="O141" s="239" t="s">
        <v>523</v>
      </c>
      <c r="P141" s="239"/>
      <c r="Q141" s="239"/>
      <c r="R141" s="239"/>
      <c r="S141" s="239"/>
      <c r="T141" s="239"/>
      <c r="U141" s="239"/>
      <c r="V141" s="239"/>
    </row>
    <row r="142" spans="1:22">
      <c r="A142" s="255">
        <f>IF($A$27="","",$A$27)</f>
        <v>44986</v>
      </c>
      <c r="B142" s="251"/>
      <c r="C142" s="251"/>
      <c r="D142" s="251"/>
      <c r="E142" s="251"/>
      <c r="F142" s="251"/>
      <c r="G142" s="252">
        <f>IFERROR(AVERAGE(B142:D142),0)</f>
        <v>0</v>
      </c>
      <c r="H142" s="251"/>
      <c r="I142" s="251"/>
      <c r="J142" s="251"/>
      <c r="K142" s="251"/>
      <c r="L142" s="251"/>
      <c r="M142" s="251"/>
      <c r="N142" s="251"/>
      <c r="O142" s="251"/>
      <c r="P142" s="256">
        <f t="shared" ref="P142:P153" si="47">+H142-I142-J142-M142+L142</f>
        <v>0</v>
      </c>
      <c r="Q142" s="262"/>
      <c r="R142" s="262"/>
      <c r="S142" s="262"/>
      <c r="T142" s="262"/>
      <c r="U142" s="254">
        <f>H142-J142-M142</f>
        <v>0</v>
      </c>
      <c r="V142" s="254">
        <f>I142-L142</f>
        <v>0</v>
      </c>
    </row>
    <row r="143" spans="1:22">
      <c r="A143" s="255">
        <f>IF($A$28="","",$A$28)</f>
        <v>45017</v>
      </c>
      <c r="B143" s="251"/>
      <c r="C143" s="251"/>
      <c r="D143" s="251"/>
      <c r="E143" s="251"/>
      <c r="F143" s="251"/>
      <c r="G143" s="252">
        <f t="shared" ref="G143:G153" si="48">IFERROR(AVERAGE(B143:D143),0)</f>
        <v>0</v>
      </c>
      <c r="H143" s="251"/>
      <c r="I143" s="251"/>
      <c r="J143" s="251"/>
      <c r="K143" s="251"/>
      <c r="L143" s="251"/>
      <c r="M143" s="251"/>
      <c r="N143" s="251"/>
      <c r="O143" s="251"/>
      <c r="P143" s="256">
        <f t="shared" si="47"/>
        <v>0</v>
      </c>
      <c r="Q143" s="262"/>
      <c r="R143" s="262"/>
      <c r="S143" s="262"/>
      <c r="T143" s="262"/>
      <c r="U143" s="254">
        <f t="shared" ref="U143:U153" si="49">H143-J143-M143</f>
        <v>0</v>
      </c>
      <c r="V143" s="254">
        <f t="shared" ref="V143:V153" si="50">I143-L143</f>
        <v>0</v>
      </c>
    </row>
    <row r="144" spans="1:22">
      <c r="A144" s="255">
        <f>IF($A$29="","",$A$29)</f>
        <v>45047</v>
      </c>
      <c r="B144" s="251"/>
      <c r="C144" s="251"/>
      <c r="D144" s="251"/>
      <c r="E144" s="251"/>
      <c r="F144" s="251"/>
      <c r="G144" s="252">
        <f t="shared" si="48"/>
        <v>0</v>
      </c>
      <c r="H144" s="251"/>
      <c r="I144" s="251"/>
      <c r="J144" s="251"/>
      <c r="K144" s="251"/>
      <c r="L144" s="251"/>
      <c r="M144" s="251"/>
      <c r="N144" s="251"/>
      <c r="O144" s="251"/>
      <c r="P144" s="256">
        <f t="shared" si="47"/>
        <v>0</v>
      </c>
      <c r="Q144" s="262"/>
      <c r="R144" s="262"/>
      <c r="S144" s="262"/>
      <c r="T144" s="262"/>
      <c r="U144" s="254">
        <f t="shared" si="49"/>
        <v>0</v>
      </c>
      <c r="V144" s="254">
        <f t="shared" si="50"/>
        <v>0</v>
      </c>
    </row>
    <row r="145" spans="1:22">
      <c r="A145" s="255">
        <f>IF($A$30="","",$A$30)</f>
        <v>45078</v>
      </c>
      <c r="B145" s="251"/>
      <c r="C145" s="251"/>
      <c r="D145" s="251"/>
      <c r="E145" s="251"/>
      <c r="F145" s="251"/>
      <c r="G145" s="252">
        <f t="shared" si="48"/>
        <v>0</v>
      </c>
      <c r="H145" s="251"/>
      <c r="I145" s="251"/>
      <c r="J145" s="251"/>
      <c r="K145" s="251"/>
      <c r="L145" s="251"/>
      <c r="M145" s="251"/>
      <c r="N145" s="251"/>
      <c r="O145" s="251"/>
      <c r="P145" s="256">
        <f t="shared" si="47"/>
        <v>0</v>
      </c>
      <c r="Q145" s="262"/>
      <c r="R145" s="262"/>
      <c r="S145" s="262"/>
      <c r="T145" s="262"/>
      <c r="U145" s="254">
        <f t="shared" si="49"/>
        <v>0</v>
      </c>
      <c r="V145" s="254">
        <f t="shared" si="50"/>
        <v>0</v>
      </c>
    </row>
    <row r="146" spans="1:22">
      <c r="A146" s="255">
        <f>IF($A$31="","",$A$31)</f>
        <v>45108</v>
      </c>
      <c r="B146" s="251"/>
      <c r="C146" s="251"/>
      <c r="D146" s="251"/>
      <c r="E146" s="251"/>
      <c r="F146" s="251"/>
      <c r="G146" s="252">
        <f t="shared" si="48"/>
        <v>0</v>
      </c>
      <c r="H146" s="251"/>
      <c r="I146" s="251"/>
      <c r="J146" s="251"/>
      <c r="K146" s="251"/>
      <c r="L146" s="251"/>
      <c r="M146" s="251"/>
      <c r="N146" s="251"/>
      <c r="O146" s="251"/>
      <c r="P146" s="256">
        <f t="shared" si="47"/>
        <v>0</v>
      </c>
      <c r="Q146" s="262"/>
      <c r="R146" s="262"/>
      <c r="S146" s="262"/>
      <c r="T146" s="262"/>
      <c r="U146" s="254">
        <f t="shared" si="49"/>
        <v>0</v>
      </c>
      <c r="V146" s="254">
        <f t="shared" si="50"/>
        <v>0</v>
      </c>
    </row>
    <row r="147" spans="1:22">
      <c r="A147" s="255">
        <f>IF($A$32="","",$A$32)</f>
        <v>45139</v>
      </c>
      <c r="B147" s="251"/>
      <c r="C147" s="251"/>
      <c r="D147" s="251"/>
      <c r="E147" s="251"/>
      <c r="F147" s="251"/>
      <c r="G147" s="252">
        <f t="shared" si="48"/>
        <v>0</v>
      </c>
      <c r="H147" s="251"/>
      <c r="I147" s="251"/>
      <c r="J147" s="251"/>
      <c r="K147" s="251"/>
      <c r="L147" s="251"/>
      <c r="M147" s="251"/>
      <c r="N147" s="251"/>
      <c r="O147" s="251"/>
      <c r="P147" s="256">
        <f t="shared" si="47"/>
        <v>0</v>
      </c>
      <c r="Q147" s="262"/>
      <c r="R147" s="262"/>
      <c r="S147" s="262"/>
      <c r="T147" s="262"/>
      <c r="U147" s="254">
        <f t="shared" si="49"/>
        <v>0</v>
      </c>
      <c r="V147" s="254">
        <f t="shared" si="50"/>
        <v>0</v>
      </c>
    </row>
    <row r="148" spans="1:22">
      <c r="A148" s="255">
        <f>IF($A$33="","",$A$33)</f>
        <v>45170</v>
      </c>
      <c r="B148" s="251"/>
      <c r="C148" s="251"/>
      <c r="D148" s="251"/>
      <c r="E148" s="251"/>
      <c r="F148" s="251"/>
      <c r="G148" s="252">
        <f t="shared" si="48"/>
        <v>0</v>
      </c>
      <c r="H148" s="251"/>
      <c r="I148" s="251"/>
      <c r="J148" s="251"/>
      <c r="K148" s="251"/>
      <c r="L148" s="251"/>
      <c r="M148" s="251"/>
      <c r="N148" s="251"/>
      <c r="O148" s="251"/>
      <c r="P148" s="256">
        <f t="shared" si="47"/>
        <v>0</v>
      </c>
      <c r="Q148" s="262"/>
      <c r="R148" s="262"/>
      <c r="S148" s="262"/>
      <c r="T148" s="262"/>
      <c r="U148" s="254">
        <f t="shared" si="49"/>
        <v>0</v>
      </c>
      <c r="V148" s="254">
        <f t="shared" si="50"/>
        <v>0</v>
      </c>
    </row>
    <row r="149" spans="1:22">
      <c r="A149" s="255">
        <f>IF($A$34="","",$A$34)</f>
        <v>45200</v>
      </c>
      <c r="B149" s="251"/>
      <c r="C149" s="251"/>
      <c r="D149" s="251"/>
      <c r="E149" s="251"/>
      <c r="F149" s="251"/>
      <c r="G149" s="252">
        <f t="shared" si="48"/>
        <v>0</v>
      </c>
      <c r="H149" s="251"/>
      <c r="I149" s="251"/>
      <c r="J149" s="251"/>
      <c r="K149" s="251"/>
      <c r="L149" s="251"/>
      <c r="M149" s="251"/>
      <c r="N149" s="251"/>
      <c r="O149" s="251"/>
      <c r="P149" s="256">
        <f t="shared" si="47"/>
        <v>0</v>
      </c>
      <c r="Q149" s="262"/>
      <c r="R149" s="262"/>
      <c r="S149" s="262"/>
      <c r="T149" s="262"/>
      <c r="U149" s="254">
        <f t="shared" si="49"/>
        <v>0</v>
      </c>
      <c r="V149" s="254">
        <f t="shared" si="50"/>
        <v>0</v>
      </c>
    </row>
    <row r="150" spans="1:22">
      <c r="A150" s="255">
        <f>IF($A$35="","",$A$35)</f>
        <v>45231</v>
      </c>
      <c r="B150" s="251"/>
      <c r="C150" s="251"/>
      <c r="D150" s="251"/>
      <c r="E150" s="251"/>
      <c r="F150" s="251"/>
      <c r="G150" s="252">
        <f t="shared" si="48"/>
        <v>0</v>
      </c>
      <c r="H150" s="251"/>
      <c r="I150" s="251"/>
      <c r="J150" s="251"/>
      <c r="K150" s="251"/>
      <c r="L150" s="251"/>
      <c r="M150" s="251"/>
      <c r="N150" s="251"/>
      <c r="O150" s="251"/>
      <c r="P150" s="256">
        <f t="shared" si="47"/>
        <v>0</v>
      </c>
      <c r="Q150" s="262"/>
      <c r="R150" s="262"/>
      <c r="S150" s="262"/>
      <c r="T150" s="262"/>
      <c r="U150" s="254">
        <f t="shared" si="49"/>
        <v>0</v>
      </c>
      <c r="V150" s="254">
        <f t="shared" si="50"/>
        <v>0</v>
      </c>
    </row>
    <row r="151" spans="1:22">
      <c r="A151" s="255">
        <f>IF($A$36="","",$A$36)</f>
        <v>45261</v>
      </c>
      <c r="B151" s="251"/>
      <c r="C151" s="251"/>
      <c r="D151" s="251"/>
      <c r="E151" s="251"/>
      <c r="F151" s="251"/>
      <c r="G151" s="252">
        <f t="shared" si="48"/>
        <v>0</v>
      </c>
      <c r="H151" s="251"/>
      <c r="I151" s="251"/>
      <c r="J151" s="251"/>
      <c r="K151" s="251"/>
      <c r="L151" s="251"/>
      <c r="M151" s="251"/>
      <c r="N151" s="251"/>
      <c r="O151" s="251"/>
      <c r="P151" s="256">
        <f t="shared" si="47"/>
        <v>0</v>
      </c>
      <c r="Q151" s="262"/>
      <c r="R151" s="262"/>
      <c r="S151" s="262"/>
      <c r="T151" s="262"/>
      <c r="U151" s="254">
        <f t="shared" si="49"/>
        <v>0</v>
      </c>
      <c r="V151" s="254">
        <f t="shared" si="50"/>
        <v>0</v>
      </c>
    </row>
    <row r="152" spans="1:22">
      <c r="A152" s="255">
        <f>IF($A$37="","",$A$37)</f>
        <v>45292</v>
      </c>
      <c r="B152" s="251"/>
      <c r="C152" s="251"/>
      <c r="D152" s="251"/>
      <c r="E152" s="251"/>
      <c r="F152" s="251"/>
      <c r="G152" s="252">
        <f t="shared" si="48"/>
        <v>0</v>
      </c>
      <c r="H152" s="251"/>
      <c r="I152" s="251"/>
      <c r="J152" s="251"/>
      <c r="K152" s="251"/>
      <c r="L152" s="251"/>
      <c r="M152" s="251"/>
      <c r="N152" s="251"/>
      <c r="O152" s="251"/>
      <c r="P152" s="256">
        <f t="shared" si="47"/>
        <v>0</v>
      </c>
      <c r="Q152" s="262"/>
      <c r="R152" s="262"/>
      <c r="S152" s="262"/>
      <c r="T152" s="262"/>
      <c r="U152" s="254">
        <f t="shared" si="49"/>
        <v>0</v>
      </c>
      <c r="V152" s="254">
        <f t="shared" si="50"/>
        <v>0</v>
      </c>
    </row>
    <row r="153" spans="1:22">
      <c r="A153" s="255">
        <f>IF($A$38="","",$A$38)</f>
        <v>45323</v>
      </c>
      <c r="B153" s="251"/>
      <c r="C153" s="251"/>
      <c r="D153" s="251"/>
      <c r="E153" s="251"/>
      <c r="F153" s="251"/>
      <c r="G153" s="252">
        <f t="shared" si="48"/>
        <v>0</v>
      </c>
      <c r="H153" s="251"/>
      <c r="I153" s="251"/>
      <c r="J153" s="251"/>
      <c r="K153" s="251"/>
      <c r="L153" s="251"/>
      <c r="M153" s="251"/>
      <c r="N153" s="251"/>
      <c r="O153" s="251"/>
      <c r="P153" s="256">
        <f t="shared" si="47"/>
        <v>0</v>
      </c>
      <c r="Q153" s="262"/>
      <c r="R153" s="262"/>
      <c r="S153" s="262"/>
      <c r="T153" s="262"/>
      <c r="U153" s="254">
        <f t="shared" si="49"/>
        <v>0</v>
      </c>
      <c r="V153" s="254">
        <f t="shared" si="50"/>
        <v>0</v>
      </c>
    </row>
    <row r="154" spans="1:22">
      <c r="A154" s="245" t="s">
        <v>524</v>
      </c>
      <c r="B154" s="254">
        <f t="shared" ref="B154:I154" si="51">+SUM(B142:B153)</f>
        <v>0</v>
      </c>
      <c r="C154" s="254">
        <f t="shared" si="51"/>
        <v>0</v>
      </c>
      <c r="D154" s="254">
        <f t="shared" si="51"/>
        <v>0</v>
      </c>
      <c r="E154" s="254">
        <f t="shared" si="51"/>
        <v>0</v>
      </c>
      <c r="F154" s="254">
        <f t="shared" si="51"/>
        <v>0</v>
      </c>
      <c r="G154" s="254">
        <f t="shared" si="51"/>
        <v>0</v>
      </c>
      <c r="H154" s="254">
        <f t="shared" si="51"/>
        <v>0</v>
      </c>
      <c r="I154" s="254">
        <f t="shared" si="51"/>
        <v>0</v>
      </c>
      <c r="J154" s="254">
        <f t="shared" ref="J154:O154" si="52">+SUM(J142:J153)</f>
        <v>0</v>
      </c>
      <c r="K154" s="254">
        <f t="shared" si="52"/>
        <v>0</v>
      </c>
      <c r="L154" s="254">
        <f t="shared" si="52"/>
        <v>0</v>
      </c>
      <c r="M154" s="254">
        <f t="shared" si="52"/>
        <v>0</v>
      </c>
      <c r="N154" s="254">
        <f t="shared" si="52"/>
        <v>0</v>
      </c>
      <c r="O154" s="254">
        <f t="shared" si="52"/>
        <v>0</v>
      </c>
      <c r="P154" s="254">
        <f t="shared" ref="P154:V154" si="53">+SUM(P142:P153)</f>
        <v>0</v>
      </c>
      <c r="Q154" s="254">
        <f t="shared" si="53"/>
        <v>0</v>
      </c>
      <c r="R154" s="254">
        <f t="shared" si="53"/>
        <v>0</v>
      </c>
      <c r="S154" s="254">
        <f t="shared" si="53"/>
        <v>0</v>
      </c>
      <c r="T154" s="254">
        <f t="shared" si="53"/>
        <v>0</v>
      </c>
      <c r="U154" s="254">
        <f t="shared" si="53"/>
        <v>0</v>
      </c>
      <c r="V154" s="254">
        <f t="shared" si="53"/>
        <v>0</v>
      </c>
    </row>
    <row r="155" spans="1:22">
      <c r="A155" s="245" t="s">
        <v>525</v>
      </c>
      <c r="B155" s="254">
        <f>IFERROR(B154/(COUNTA(A142:A153)-COUNTIF(A142:A153,"")),0)</f>
        <v>0</v>
      </c>
      <c r="C155" s="254">
        <f>IFERROR(C154/(COUNTA(A142:A153)-COUNTIF(A142:A153,"")),0)</f>
        <v>0</v>
      </c>
      <c r="D155" s="254">
        <f>IFERROR(D154/(COUNTA(A142:A153)-COUNTIF(A142:A153,"")),0)</f>
        <v>0</v>
      </c>
      <c r="E155" s="254">
        <f>IFERROR(E154/(COUNTA(A142:A153)-COUNTIF(A142:A153,"")),0)</f>
        <v>0</v>
      </c>
      <c r="F155" s="254">
        <f>IFERROR(F154/(COUNTA(A142:A153)-COUNTIF(A142:A153,"")),0)</f>
        <v>0</v>
      </c>
      <c r="G155" s="254">
        <f>IFERROR(G154/(COUNTA(A142:A153)-COUNTIF(A142:A153,"")),0)</f>
        <v>0</v>
      </c>
      <c r="H155" s="254">
        <f>IFERROR(H154/(COUNTA(A142:A153)-COUNTIF(A142:A153,"")),0)</f>
        <v>0</v>
      </c>
      <c r="I155" s="254">
        <f>IFERROR(I154/(COUNTA(A142:A153)-COUNTIF(A142:A153,"")),0)</f>
        <v>0</v>
      </c>
      <c r="J155" s="254">
        <f>IFERROR(J154/(COUNTA(A142:A153)-COUNTIF(A142:A153,"")),0)</f>
        <v>0</v>
      </c>
      <c r="K155" s="254">
        <f>IFERROR(K154/(COUNTA(A142:A153)-COUNTIF(A142:A153,"")),0)</f>
        <v>0</v>
      </c>
      <c r="L155" s="254">
        <f>IFERROR(L154/(COUNTA(A142:A153)-COUNTIF(A142:A153,"")),0)</f>
        <v>0</v>
      </c>
      <c r="M155" s="254">
        <f>IFERROR(M154/(COUNTA(A142:A153)-COUNTIF(A142:A153,"")),0)</f>
        <v>0</v>
      </c>
      <c r="N155" s="254">
        <f>IFERROR(N154/(COUNTA(A142:A153)-COUNTIF(A142:A153,"")),0)</f>
        <v>0</v>
      </c>
      <c r="O155" s="254">
        <f>IFERROR(O154/(COUNTA(A142:A153)-COUNTIF(A142:A153,"")),0)</f>
        <v>0</v>
      </c>
      <c r="P155" s="254">
        <f>IFERROR(P154/(COUNTA(A142:A153)-COUNTIF(A142:A153,"")),0)</f>
        <v>0</v>
      </c>
      <c r="Q155" s="259"/>
      <c r="R155" s="259"/>
      <c r="S155" s="246">
        <f>IFERROR(R154/S154*100,0)</f>
        <v>0</v>
      </c>
      <c r="T155" s="246">
        <f>IFERROR(Q154/T154*100,0)</f>
        <v>0</v>
      </c>
      <c r="U155" s="254">
        <f>IFERROR(U154/COUNTA(A142:A153),0)</f>
        <v>0</v>
      </c>
      <c r="V155" s="254">
        <f>IFERROR(V154/COUNTA(A142:A153),0)</f>
        <v>0</v>
      </c>
    </row>
    <row r="156" spans="1:22" ht="38.25">
      <c r="A156" s="245" t="s">
        <v>526</v>
      </c>
      <c r="B156" s="254">
        <f>O139+B155</f>
        <v>0</v>
      </c>
      <c r="C156" s="254">
        <f>O139+C155</f>
        <v>0</v>
      </c>
      <c r="D156" s="254">
        <f>O139+D155</f>
        <v>0</v>
      </c>
      <c r="E156" s="254"/>
      <c r="F156" s="254"/>
      <c r="G156" s="254">
        <f>O139+G155</f>
        <v>0</v>
      </c>
      <c r="H156" s="254"/>
      <c r="I156" s="254"/>
      <c r="J156" s="254"/>
      <c r="K156" s="254"/>
      <c r="L156" s="254"/>
      <c r="M156" s="254"/>
      <c r="N156" s="254"/>
      <c r="O156" s="254"/>
      <c r="P156" s="254"/>
      <c r="Q156" s="259"/>
      <c r="R156" s="259"/>
      <c r="S156" s="260" t="s">
        <v>527</v>
      </c>
      <c r="T156" s="260" t="s">
        <v>528</v>
      </c>
      <c r="U156" s="260"/>
      <c r="V156" s="260"/>
    </row>
    <row r="157" spans="1:22"/>
    <row r="158" spans="1:22"/>
    <row r="159" spans="1:22"/>
    <row r="160" spans="1:22" ht="12.75" customHeight="1">
      <c r="A160" s="432" t="s">
        <v>504</v>
      </c>
      <c r="B160" s="432"/>
      <c r="C160" s="437"/>
      <c r="D160" s="438"/>
      <c r="E160" s="438"/>
      <c r="F160" s="438"/>
      <c r="G160" s="438"/>
      <c r="H160" s="438"/>
      <c r="I160" s="438"/>
      <c r="J160" s="438"/>
      <c r="K160" s="438"/>
      <c r="L160" s="438"/>
      <c r="M160" s="438"/>
      <c r="N160" s="438"/>
      <c r="O160" s="438"/>
      <c r="P160" s="438"/>
      <c r="Q160" s="438"/>
      <c r="R160" s="438"/>
      <c r="S160" s="438"/>
      <c r="T160" s="439"/>
      <c r="U160" s="247"/>
      <c r="V160" s="247"/>
    </row>
    <row r="161" spans="1:22" ht="12.75" customHeight="1">
      <c r="A161" s="432" t="s">
        <v>530</v>
      </c>
      <c r="B161" s="432"/>
      <c r="C161" s="440"/>
      <c r="D161" s="440"/>
      <c r="E161" s="440"/>
      <c r="F161" s="440"/>
      <c r="G161" s="440"/>
      <c r="H161" s="441" t="s">
        <v>532</v>
      </c>
      <c r="I161" s="441"/>
      <c r="J161" s="440"/>
      <c r="K161" s="440"/>
      <c r="L161" s="440"/>
      <c r="M161" s="440"/>
      <c r="N161" s="440"/>
      <c r="O161" s="440"/>
      <c r="P161" s="440"/>
      <c r="Q161" s="440"/>
      <c r="R161" s="440"/>
      <c r="S161" s="440"/>
      <c r="T161" s="440"/>
      <c r="U161" s="247"/>
      <c r="V161" s="247"/>
    </row>
    <row r="162" spans="1:22" ht="25.5" customHeight="1">
      <c r="A162" s="432" t="s">
        <v>533</v>
      </c>
      <c r="B162" s="432"/>
      <c r="C162" s="437"/>
      <c r="D162" s="439"/>
      <c r="E162" s="249" t="s">
        <v>535</v>
      </c>
      <c r="F162" s="442"/>
      <c r="G162" s="443"/>
      <c r="H162" s="443"/>
      <c r="I162" s="444"/>
      <c r="J162" s="249" t="s">
        <v>537</v>
      </c>
      <c r="K162" s="442"/>
      <c r="L162" s="443"/>
      <c r="M162" s="444"/>
      <c r="N162" s="248" t="s">
        <v>538</v>
      </c>
      <c r="O162" s="445"/>
      <c r="P162" s="446"/>
      <c r="Q162" s="446"/>
      <c r="R162" s="446"/>
      <c r="S162" s="446"/>
      <c r="T162" s="447"/>
      <c r="U162" s="261"/>
      <c r="V162" s="261"/>
    </row>
    <row r="163" spans="1:22" ht="38.25" customHeight="1">
      <c r="A163" s="239" t="s">
        <v>161</v>
      </c>
      <c r="B163" s="434" t="s">
        <v>539</v>
      </c>
      <c r="C163" s="434"/>
      <c r="D163" s="434"/>
      <c r="E163" s="240" t="s">
        <v>540</v>
      </c>
      <c r="F163" s="240" t="s">
        <v>541</v>
      </c>
      <c r="G163" s="239" t="s">
        <v>542</v>
      </c>
      <c r="H163" s="239" t="s">
        <v>543</v>
      </c>
      <c r="I163" s="239" t="s">
        <v>544</v>
      </c>
      <c r="J163" s="240" t="s">
        <v>545</v>
      </c>
      <c r="K163" s="240" t="s">
        <v>546</v>
      </c>
      <c r="L163" s="435" t="s">
        <v>547</v>
      </c>
      <c r="M163" s="436"/>
      <c r="N163" s="435" t="s">
        <v>548</v>
      </c>
      <c r="O163" s="436"/>
      <c r="P163" s="239" t="s">
        <v>549</v>
      </c>
      <c r="Q163" s="239" t="s">
        <v>516</v>
      </c>
      <c r="R163" s="239" t="s">
        <v>517</v>
      </c>
      <c r="S163" s="239" t="s">
        <v>518</v>
      </c>
      <c r="T163" s="239" t="s">
        <v>519</v>
      </c>
      <c r="U163" s="239" t="s">
        <v>550</v>
      </c>
      <c r="V163" s="239" t="s">
        <v>551</v>
      </c>
    </row>
    <row r="164" spans="1:22">
      <c r="A164" s="239"/>
      <c r="B164" s="239">
        <v>10</v>
      </c>
      <c r="C164" s="239">
        <v>20</v>
      </c>
      <c r="D164" s="239">
        <v>30</v>
      </c>
      <c r="E164" s="239"/>
      <c r="F164" s="239"/>
      <c r="G164" s="239"/>
      <c r="H164" s="239"/>
      <c r="I164" s="239"/>
      <c r="J164" s="239"/>
      <c r="K164" s="239"/>
      <c r="L164" s="239" t="s">
        <v>522</v>
      </c>
      <c r="M164" s="239" t="s">
        <v>523</v>
      </c>
      <c r="N164" s="239" t="s">
        <v>522</v>
      </c>
      <c r="O164" s="239" t="s">
        <v>523</v>
      </c>
      <c r="P164" s="239"/>
      <c r="Q164" s="239"/>
      <c r="R164" s="239"/>
      <c r="S164" s="239"/>
      <c r="T164" s="239"/>
      <c r="U164" s="239"/>
      <c r="V164" s="239"/>
    </row>
    <row r="165" spans="1:22">
      <c r="A165" s="255">
        <f>IF($A$27="","",$A$27)</f>
        <v>44986</v>
      </c>
      <c r="B165" s="251"/>
      <c r="C165" s="251"/>
      <c r="D165" s="251"/>
      <c r="E165" s="251"/>
      <c r="F165" s="251"/>
      <c r="G165" s="252">
        <f>IFERROR(AVERAGE(B165:D165),0)</f>
        <v>0</v>
      </c>
      <c r="H165" s="251"/>
      <c r="I165" s="251"/>
      <c r="J165" s="251"/>
      <c r="K165" s="251"/>
      <c r="L165" s="251"/>
      <c r="M165" s="251"/>
      <c r="N165" s="251"/>
      <c r="O165" s="251"/>
      <c r="P165" s="256">
        <f t="shared" ref="P165:P176" si="54">+H165-I165-J165-M165+L165</f>
        <v>0</v>
      </c>
      <c r="Q165" s="262"/>
      <c r="R165" s="262"/>
      <c r="S165" s="262"/>
      <c r="T165" s="262"/>
      <c r="U165" s="254">
        <f>H165-J165-M165</f>
        <v>0</v>
      </c>
      <c r="V165" s="254">
        <f>I165-L165</f>
        <v>0</v>
      </c>
    </row>
    <row r="166" spans="1:22">
      <c r="A166" s="255">
        <f>IF($A$28="","",$A$28)</f>
        <v>45017</v>
      </c>
      <c r="B166" s="251"/>
      <c r="C166" s="251"/>
      <c r="D166" s="251"/>
      <c r="E166" s="251"/>
      <c r="F166" s="251"/>
      <c r="G166" s="252">
        <f t="shared" ref="G166:G176" si="55">IFERROR(AVERAGE(B166:D166),0)</f>
        <v>0</v>
      </c>
      <c r="H166" s="251"/>
      <c r="I166" s="251"/>
      <c r="J166" s="251"/>
      <c r="K166" s="251"/>
      <c r="L166" s="251"/>
      <c r="M166" s="251"/>
      <c r="N166" s="251"/>
      <c r="O166" s="251"/>
      <c r="P166" s="256">
        <f t="shared" si="54"/>
        <v>0</v>
      </c>
      <c r="Q166" s="262"/>
      <c r="R166" s="262"/>
      <c r="S166" s="262"/>
      <c r="T166" s="262"/>
      <c r="U166" s="254">
        <f t="shared" ref="U166:U176" si="56">H166-J166-M166</f>
        <v>0</v>
      </c>
      <c r="V166" s="254">
        <f t="shared" ref="V166:V176" si="57">I166-L166</f>
        <v>0</v>
      </c>
    </row>
    <row r="167" spans="1:22">
      <c r="A167" s="255">
        <f>IF($A$29="","",$A$29)</f>
        <v>45047</v>
      </c>
      <c r="B167" s="251"/>
      <c r="C167" s="251"/>
      <c r="D167" s="251"/>
      <c r="E167" s="251"/>
      <c r="F167" s="251"/>
      <c r="G167" s="252">
        <f t="shared" si="55"/>
        <v>0</v>
      </c>
      <c r="H167" s="251"/>
      <c r="I167" s="251"/>
      <c r="J167" s="251"/>
      <c r="K167" s="251"/>
      <c r="L167" s="251"/>
      <c r="M167" s="251"/>
      <c r="N167" s="251"/>
      <c r="O167" s="251"/>
      <c r="P167" s="256">
        <f t="shared" si="54"/>
        <v>0</v>
      </c>
      <c r="Q167" s="262"/>
      <c r="R167" s="262"/>
      <c r="S167" s="262"/>
      <c r="T167" s="262"/>
      <c r="U167" s="254">
        <f t="shared" si="56"/>
        <v>0</v>
      </c>
      <c r="V167" s="254">
        <f t="shared" si="57"/>
        <v>0</v>
      </c>
    </row>
    <row r="168" spans="1:22">
      <c r="A168" s="255">
        <f>IF($A$30="","",$A$30)</f>
        <v>45078</v>
      </c>
      <c r="B168" s="251"/>
      <c r="C168" s="251"/>
      <c r="D168" s="251"/>
      <c r="E168" s="251"/>
      <c r="F168" s="251"/>
      <c r="G168" s="252">
        <f t="shared" si="55"/>
        <v>0</v>
      </c>
      <c r="H168" s="251"/>
      <c r="I168" s="251"/>
      <c r="J168" s="251"/>
      <c r="K168" s="251"/>
      <c r="L168" s="251"/>
      <c r="M168" s="251"/>
      <c r="N168" s="251"/>
      <c r="O168" s="251"/>
      <c r="P168" s="256">
        <f t="shared" si="54"/>
        <v>0</v>
      </c>
      <c r="Q168" s="262"/>
      <c r="R168" s="262"/>
      <c r="S168" s="262"/>
      <c r="T168" s="262"/>
      <c r="U168" s="254">
        <f t="shared" si="56"/>
        <v>0</v>
      </c>
      <c r="V168" s="254">
        <f t="shared" si="57"/>
        <v>0</v>
      </c>
    </row>
    <row r="169" spans="1:22">
      <c r="A169" s="255">
        <f>IF($A$31="","",$A$31)</f>
        <v>45108</v>
      </c>
      <c r="B169" s="251"/>
      <c r="C169" s="251"/>
      <c r="D169" s="251"/>
      <c r="E169" s="251"/>
      <c r="F169" s="251"/>
      <c r="G169" s="252">
        <f t="shared" si="55"/>
        <v>0</v>
      </c>
      <c r="H169" s="251"/>
      <c r="I169" s="251"/>
      <c r="J169" s="251"/>
      <c r="K169" s="251"/>
      <c r="L169" s="251"/>
      <c r="M169" s="251"/>
      <c r="N169" s="251"/>
      <c r="O169" s="251"/>
      <c r="P169" s="256">
        <f t="shared" si="54"/>
        <v>0</v>
      </c>
      <c r="Q169" s="262"/>
      <c r="R169" s="262"/>
      <c r="S169" s="262"/>
      <c r="T169" s="262"/>
      <c r="U169" s="254">
        <f t="shared" si="56"/>
        <v>0</v>
      </c>
      <c r="V169" s="254">
        <f t="shared" si="57"/>
        <v>0</v>
      </c>
    </row>
    <row r="170" spans="1:22">
      <c r="A170" s="255">
        <f>IF($A$32="","",$A$32)</f>
        <v>45139</v>
      </c>
      <c r="B170" s="251"/>
      <c r="C170" s="251"/>
      <c r="D170" s="251"/>
      <c r="E170" s="251"/>
      <c r="F170" s="251"/>
      <c r="G170" s="252">
        <f t="shared" si="55"/>
        <v>0</v>
      </c>
      <c r="H170" s="251"/>
      <c r="I170" s="251"/>
      <c r="J170" s="251"/>
      <c r="K170" s="251"/>
      <c r="L170" s="251"/>
      <c r="M170" s="251"/>
      <c r="N170" s="251"/>
      <c r="O170" s="251"/>
      <c r="P170" s="256">
        <f t="shared" si="54"/>
        <v>0</v>
      </c>
      <c r="Q170" s="262"/>
      <c r="R170" s="262"/>
      <c r="S170" s="262"/>
      <c r="T170" s="262"/>
      <c r="U170" s="254">
        <f t="shared" si="56"/>
        <v>0</v>
      </c>
      <c r="V170" s="254">
        <f t="shared" si="57"/>
        <v>0</v>
      </c>
    </row>
    <row r="171" spans="1:22">
      <c r="A171" s="255">
        <f>IF($A$33="","",$A$33)</f>
        <v>45170</v>
      </c>
      <c r="B171" s="251"/>
      <c r="C171" s="251"/>
      <c r="D171" s="251"/>
      <c r="E171" s="251"/>
      <c r="F171" s="251"/>
      <c r="G171" s="252">
        <f t="shared" si="55"/>
        <v>0</v>
      </c>
      <c r="H171" s="251"/>
      <c r="I171" s="251"/>
      <c r="J171" s="251"/>
      <c r="K171" s="251"/>
      <c r="L171" s="251"/>
      <c r="M171" s="251"/>
      <c r="N171" s="251"/>
      <c r="O171" s="251"/>
      <c r="P171" s="256">
        <f t="shared" si="54"/>
        <v>0</v>
      </c>
      <c r="Q171" s="262"/>
      <c r="R171" s="262"/>
      <c r="S171" s="262"/>
      <c r="T171" s="262"/>
      <c r="U171" s="254">
        <f t="shared" si="56"/>
        <v>0</v>
      </c>
      <c r="V171" s="254">
        <f t="shared" si="57"/>
        <v>0</v>
      </c>
    </row>
    <row r="172" spans="1:22">
      <c r="A172" s="255">
        <f>IF($A$34="","",$A$34)</f>
        <v>45200</v>
      </c>
      <c r="B172" s="251"/>
      <c r="C172" s="251"/>
      <c r="D172" s="251"/>
      <c r="E172" s="251"/>
      <c r="F172" s="251"/>
      <c r="G172" s="252">
        <f t="shared" si="55"/>
        <v>0</v>
      </c>
      <c r="H172" s="251"/>
      <c r="I172" s="251"/>
      <c r="J172" s="251"/>
      <c r="K172" s="251"/>
      <c r="L172" s="251"/>
      <c r="M172" s="251"/>
      <c r="N172" s="251"/>
      <c r="O172" s="251"/>
      <c r="P172" s="256">
        <f t="shared" si="54"/>
        <v>0</v>
      </c>
      <c r="Q172" s="262"/>
      <c r="R172" s="262"/>
      <c r="S172" s="262"/>
      <c r="T172" s="262"/>
      <c r="U172" s="254">
        <f t="shared" si="56"/>
        <v>0</v>
      </c>
      <c r="V172" s="254">
        <f t="shared" si="57"/>
        <v>0</v>
      </c>
    </row>
    <row r="173" spans="1:22">
      <c r="A173" s="255">
        <f>IF($A$35="","",$A$35)</f>
        <v>45231</v>
      </c>
      <c r="B173" s="251"/>
      <c r="C173" s="251"/>
      <c r="D173" s="251"/>
      <c r="E173" s="251"/>
      <c r="F173" s="251"/>
      <c r="G173" s="252">
        <f t="shared" si="55"/>
        <v>0</v>
      </c>
      <c r="H173" s="251"/>
      <c r="I173" s="251"/>
      <c r="J173" s="251"/>
      <c r="K173" s="251"/>
      <c r="L173" s="251"/>
      <c r="M173" s="251"/>
      <c r="N173" s="251"/>
      <c r="O173" s="251"/>
      <c r="P173" s="256">
        <f t="shared" si="54"/>
        <v>0</v>
      </c>
      <c r="Q173" s="262"/>
      <c r="R173" s="262"/>
      <c r="S173" s="262"/>
      <c r="T173" s="262"/>
      <c r="U173" s="254">
        <f t="shared" si="56"/>
        <v>0</v>
      </c>
      <c r="V173" s="254">
        <f t="shared" si="57"/>
        <v>0</v>
      </c>
    </row>
    <row r="174" spans="1:22">
      <c r="A174" s="255">
        <f>IF($A$36="","",$A$36)</f>
        <v>45261</v>
      </c>
      <c r="B174" s="251"/>
      <c r="C174" s="251"/>
      <c r="D174" s="251"/>
      <c r="E174" s="251"/>
      <c r="F174" s="251"/>
      <c r="G174" s="252">
        <f t="shared" si="55"/>
        <v>0</v>
      </c>
      <c r="H174" s="251"/>
      <c r="I174" s="251"/>
      <c r="J174" s="251"/>
      <c r="K174" s="251"/>
      <c r="L174" s="251"/>
      <c r="M174" s="251"/>
      <c r="N174" s="251"/>
      <c r="O174" s="251"/>
      <c r="P174" s="256">
        <f t="shared" si="54"/>
        <v>0</v>
      </c>
      <c r="Q174" s="262"/>
      <c r="R174" s="262"/>
      <c r="S174" s="262"/>
      <c r="T174" s="262"/>
      <c r="U174" s="254">
        <f t="shared" si="56"/>
        <v>0</v>
      </c>
      <c r="V174" s="254">
        <f t="shared" si="57"/>
        <v>0</v>
      </c>
    </row>
    <row r="175" spans="1:22">
      <c r="A175" s="255">
        <f>IF($A$37="","",$A$37)</f>
        <v>45292</v>
      </c>
      <c r="B175" s="251"/>
      <c r="C175" s="251"/>
      <c r="D175" s="251"/>
      <c r="E175" s="251"/>
      <c r="F175" s="251"/>
      <c r="G175" s="252">
        <f t="shared" si="55"/>
        <v>0</v>
      </c>
      <c r="H175" s="251"/>
      <c r="I175" s="251"/>
      <c r="J175" s="251"/>
      <c r="K175" s="251"/>
      <c r="L175" s="251"/>
      <c r="M175" s="251"/>
      <c r="N175" s="251"/>
      <c r="O175" s="251"/>
      <c r="P175" s="256">
        <f t="shared" si="54"/>
        <v>0</v>
      </c>
      <c r="Q175" s="262"/>
      <c r="R175" s="262"/>
      <c r="S175" s="262"/>
      <c r="T175" s="262"/>
      <c r="U175" s="254">
        <f t="shared" si="56"/>
        <v>0</v>
      </c>
      <c r="V175" s="254">
        <f t="shared" si="57"/>
        <v>0</v>
      </c>
    </row>
    <row r="176" spans="1:22">
      <c r="A176" s="255">
        <f>IF($A$38="","",$A$38)</f>
        <v>45323</v>
      </c>
      <c r="B176" s="251"/>
      <c r="C176" s="251"/>
      <c r="D176" s="251"/>
      <c r="E176" s="251"/>
      <c r="F176" s="251"/>
      <c r="G176" s="252">
        <f t="shared" si="55"/>
        <v>0</v>
      </c>
      <c r="H176" s="251"/>
      <c r="I176" s="251"/>
      <c r="J176" s="251"/>
      <c r="K176" s="251"/>
      <c r="L176" s="251"/>
      <c r="M176" s="251"/>
      <c r="N176" s="251"/>
      <c r="O176" s="251"/>
      <c r="P176" s="256">
        <f t="shared" si="54"/>
        <v>0</v>
      </c>
      <c r="Q176" s="262"/>
      <c r="R176" s="262"/>
      <c r="S176" s="262"/>
      <c r="T176" s="262"/>
      <c r="U176" s="254">
        <f t="shared" si="56"/>
        <v>0</v>
      </c>
      <c r="V176" s="254">
        <f t="shared" si="57"/>
        <v>0</v>
      </c>
    </row>
    <row r="177" spans="1:22">
      <c r="A177" s="245" t="s">
        <v>524</v>
      </c>
      <c r="B177" s="254">
        <f t="shared" ref="B177:I177" si="58">+SUM(B165:B176)</f>
        <v>0</v>
      </c>
      <c r="C177" s="254">
        <f t="shared" si="58"/>
        <v>0</v>
      </c>
      <c r="D177" s="254">
        <f t="shared" si="58"/>
        <v>0</v>
      </c>
      <c r="E177" s="254">
        <f t="shared" si="58"/>
        <v>0</v>
      </c>
      <c r="F177" s="254">
        <f t="shared" si="58"/>
        <v>0</v>
      </c>
      <c r="G177" s="254">
        <f t="shared" si="58"/>
        <v>0</v>
      </c>
      <c r="H177" s="254">
        <f t="shared" si="58"/>
        <v>0</v>
      </c>
      <c r="I177" s="254">
        <f t="shared" si="58"/>
        <v>0</v>
      </c>
      <c r="J177" s="254">
        <f t="shared" ref="J177:O177" si="59">+SUM(J165:J176)</f>
        <v>0</v>
      </c>
      <c r="K177" s="254">
        <f t="shared" si="59"/>
        <v>0</v>
      </c>
      <c r="L177" s="254">
        <f t="shared" si="59"/>
        <v>0</v>
      </c>
      <c r="M177" s="254">
        <f t="shared" si="59"/>
        <v>0</v>
      </c>
      <c r="N177" s="254">
        <f t="shared" si="59"/>
        <v>0</v>
      </c>
      <c r="O177" s="254">
        <f t="shared" si="59"/>
        <v>0</v>
      </c>
      <c r="P177" s="254">
        <f t="shared" ref="P177:V177" si="60">+SUM(P165:P176)</f>
        <v>0</v>
      </c>
      <c r="Q177" s="254">
        <f t="shared" si="60"/>
        <v>0</v>
      </c>
      <c r="R177" s="254">
        <f t="shared" si="60"/>
        <v>0</v>
      </c>
      <c r="S177" s="254">
        <f t="shared" si="60"/>
        <v>0</v>
      </c>
      <c r="T177" s="254">
        <f t="shared" si="60"/>
        <v>0</v>
      </c>
      <c r="U177" s="254">
        <f t="shared" si="60"/>
        <v>0</v>
      </c>
      <c r="V177" s="254">
        <f t="shared" si="60"/>
        <v>0</v>
      </c>
    </row>
    <row r="178" spans="1:22">
      <c r="A178" s="245" t="s">
        <v>525</v>
      </c>
      <c r="B178" s="254">
        <f>IFERROR(B177/(COUNTA(A165:A176)-COUNTIF(A165:A176,"")),0)</f>
        <v>0</v>
      </c>
      <c r="C178" s="254">
        <f>IFERROR(C177/(COUNTA(A165:A176)-COUNTIF(A165:A176,"")),0)</f>
        <v>0</v>
      </c>
      <c r="D178" s="254">
        <f>IFERROR(D177/(COUNTA(A165:A176)-COUNTIF(A165:A176,"")),0)</f>
        <v>0</v>
      </c>
      <c r="E178" s="254">
        <f>IFERROR(E177/(COUNTA(A165:A176)-COUNTIF(A165:A176,"")),0)</f>
        <v>0</v>
      </c>
      <c r="F178" s="254">
        <f>IFERROR(F177/(COUNTA(A165:A176)-COUNTIF(A165:A176,"")),0)</f>
        <v>0</v>
      </c>
      <c r="G178" s="254">
        <f>IFERROR(G177/(COUNTA(A165:A176)-COUNTIF(A165:A176,"")),0)</f>
        <v>0</v>
      </c>
      <c r="H178" s="254">
        <f>IFERROR(H177/(COUNTA(A165:A176)-COUNTIF(A165:A176,"")),0)</f>
        <v>0</v>
      </c>
      <c r="I178" s="254">
        <f>IFERROR(I177/(COUNTA(A165:A176)-COUNTIF(A165:A176,"")),0)</f>
        <v>0</v>
      </c>
      <c r="J178" s="254">
        <f>IFERROR(J177/(COUNTA(A165:A176)-COUNTIF(A165:A176,"")),0)</f>
        <v>0</v>
      </c>
      <c r="K178" s="254">
        <f>IFERROR(K177/(COUNTA(A165:A176)-COUNTIF(A165:A176,"")),0)</f>
        <v>0</v>
      </c>
      <c r="L178" s="254">
        <f>IFERROR(L177/(COUNTA(A165:A176)-COUNTIF(A165:A176,"")),0)</f>
        <v>0</v>
      </c>
      <c r="M178" s="254">
        <f>IFERROR(M177/(COUNTA(A165:A176)-COUNTIF(A165:A176,"")),0)</f>
        <v>0</v>
      </c>
      <c r="N178" s="254">
        <f>IFERROR(N177/(COUNTA(A165:A176)-COUNTIF(A165:A176,"")),0)</f>
        <v>0</v>
      </c>
      <c r="O178" s="254">
        <f>IFERROR(O177/(COUNTA(A165:A176)-COUNTIF(A165:A176,"")),0)</f>
        <v>0</v>
      </c>
      <c r="P178" s="254">
        <f>IFERROR(P177/(COUNTA(A165:A176)-COUNTIF(A165:A176,"")),0)</f>
        <v>0</v>
      </c>
      <c r="Q178" s="259"/>
      <c r="R178" s="259"/>
      <c r="S178" s="246">
        <f>IFERROR(R177/S177*100,0)</f>
        <v>0</v>
      </c>
      <c r="T178" s="246">
        <f>IFERROR(Q177/T177*100,0)</f>
        <v>0</v>
      </c>
      <c r="U178" s="254">
        <f>IFERROR(U177/COUNTA(A165:A176),0)</f>
        <v>0</v>
      </c>
      <c r="V178" s="254">
        <f>IFERROR(V177/COUNTA(A165:A176),0)</f>
        <v>0</v>
      </c>
    </row>
    <row r="179" spans="1:22" ht="38.25">
      <c r="A179" s="245" t="s">
        <v>526</v>
      </c>
      <c r="B179" s="254">
        <f>O162+B178</f>
        <v>0</v>
      </c>
      <c r="C179" s="254">
        <f>O162+C178</f>
        <v>0</v>
      </c>
      <c r="D179" s="254">
        <f>O162+D178</f>
        <v>0</v>
      </c>
      <c r="E179" s="254"/>
      <c r="F179" s="254"/>
      <c r="G179" s="254">
        <f>O162+G178</f>
        <v>0</v>
      </c>
      <c r="H179" s="254"/>
      <c r="I179" s="254"/>
      <c r="J179" s="254"/>
      <c r="K179" s="254"/>
      <c r="L179" s="254"/>
      <c r="M179" s="254"/>
      <c r="N179" s="254"/>
      <c r="O179" s="254"/>
      <c r="P179" s="254"/>
      <c r="Q179" s="259"/>
      <c r="R179" s="259"/>
      <c r="S179" s="260" t="s">
        <v>527</v>
      </c>
      <c r="T179" s="260" t="s">
        <v>528</v>
      </c>
      <c r="U179" s="260"/>
      <c r="V179" s="260"/>
    </row>
    <row r="180" spans="1:22"/>
    <row r="181" spans="1:22"/>
    <row r="182" spans="1:22"/>
    <row r="183" spans="1:22" ht="12.75" customHeight="1">
      <c r="A183" s="432" t="s">
        <v>504</v>
      </c>
      <c r="B183" s="432"/>
      <c r="C183" s="437"/>
      <c r="D183" s="438"/>
      <c r="E183" s="438"/>
      <c r="F183" s="438"/>
      <c r="G183" s="438"/>
      <c r="H183" s="438"/>
      <c r="I183" s="438"/>
      <c r="J183" s="438"/>
      <c r="K183" s="438"/>
      <c r="L183" s="438"/>
      <c r="M183" s="438"/>
      <c r="N183" s="438"/>
      <c r="O183" s="438"/>
      <c r="P183" s="438"/>
      <c r="Q183" s="438"/>
      <c r="R183" s="438"/>
      <c r="S183" s="438"/>
      <c r="T183" s="439"/>
      <c r="U183" s="247"/>
      <c r="V183" s="247"/>
    </row>
    <row r="184" spans="1:22" ht="12.75" customHeight="1">
      <c r="A184" s="432" t="s">
        <v>530</v>
      </c>
      <c r="B184" s="432"/>
      <c r="C184" s="440"/>
      <c r="D184" s="440"/>
      <c r="E184" s="440"/>
      <c r="F184" s="440"/>
      <c r="G184" s="440"/>
      <c r="H184" s="441" t="s">
        <v>532</v>
      </c>
      <c r="I184" s="441"/>
      <c r="J184" s="440"/>
      <c r="K184" s="440"/>
      <c r="L184" s="440"/>
      <c r="M184" s="440"/>
      <c r="N184" s="440"/>
      <c r="O184" s="440"/>
      <c r="P184" s="440"/>
      <c r="Q184" s="440"/>
      <c r="R184" s="440"/>
      <c r="S184" s="440"/>
      <c r="T184" s="440"/>
      <c r="U184" s="247"/>
      <c r="V184" s="247"/>
    </row>
    <row r="185" spans="1:22" ht="25.5" customHeight="1">
      <c r="A185" s="432" t="s">
        <v>533</v>
      </c>
      <c r="B185" s="432"/>
      <c r="C185" s="437"/>
      <c r="D185" s="439"/>
      <c r="E185" s="249" t="s">
        <v>535</v>
      </c>
      <c r="F185" s="442"/>
      <c r="G185" s="443"/>
      <c r="H185" s="443"/>
      <c r="I185" s="444"/>
      <c r="J185" s="249" t="s">
        <v>537</v>
      </c>
      <c r="K185" s="442"/>
      <c r="L185" s="443"/>
      <c r="M185" s="444"/>
      <c r="N185" s="248" t="s">
        <v>538</v>
      </c>
      <c r="O185" s="445"/>
      <c r="P185" s="446"/>
      <c r="Q185" s="446"/>
      <c r="R185" s="446"/>
      <c r="S185" s="446"/>
      <c r="T185" s="447"/>
      <c r="U185" s="261"/>
      <c r="V185" s="261"/>
    </row>
    <row r="186" spans="1:22" ht="38.25" customHeight="1">
      <c r="A186" s="239" t="s">
        <v>161</v>
      </c>
      <c r="B186" s="434" t="s">
        <v>539</v>
      </c>
      <c r="C186" s="434"/>
      <c r="D186" s="434"/>
      <c r="E186" s="240" t="s">
        <v>540</v>
      </c>
      <c r="F186" s="240" t="s">
        <v>541</v>
      </c>
      <c r="G186" s="239" t="s">
        <v>542</v>
      </c>
      <c r="H186" s="239" t="s">
        <v>543</v>
      </c>
      <c r="I186" s="239" t="s">
        <v>544</v>
      </c>
      <c r="J186" s="240" t="s">
        <v>545</v>
      </c>
      <c r="K186" s="240" t="s">
        <v>546</v>
      </c>
      <c r="L186" s="435" t="s">
        <v>547</v>
      </c>
      <c r="M186" s="436"/>
      <c r="N186" s="435" t="s">
        <v>548</v>
      </c>
      <c r="O186" s="436"/>
      <c r="P186" s="239" t="s">
        <v>549</v>
      </c>
      <c r="Q186" s="239" t="s">
        <v>516</v>
      </c>
      <c r="R186" s="239" t="s">
        <v>517</v>
      </c>
      <c r="S186" s="239" t="s">
        <v>518</v>
      </c>
      <c r="T186" s="239" t="s">
        <v>519</v>
      </c>
      <c r="U186" s="239" t="s">
        <v>550</v>
      </c>
      <c r="V186" s="239" t="s">
        <v>551</v>
      </c>
    </row>
    <row r="187" spans="1:22">
      <c r="A187" s="239"/>
      <c r="B187" s="239">
        <v>10</v>
      </c>
      <c r="C187" s="239">
        <v>20</v>
      </c>
      <c r="D187" s="239">
        <v>30</v>
      </c>
      <c r="E187" s="239"/>
      <c r="F187" s="239"/>
      <c r="G187" s="239"/>
      <c r="H187" s="239"/>
      <c r="I187" s="239"/>
      <c r="J187" s="239"/>
      <c r="K187" s="239"/>
      <c r="L187" s="239" t="s">
        <v>522</v>
      </c>
      <c r="M187" s="239" t="s">
        <v>523</v>
      </c>
      <c r="N187" s="239" t="s">
        <v>522</v>
      </c>
      <c r="O187" s="239" t="s">
        <v>523</v>
      </c>
      <c r="P187" s="239"/>
      <c r="Q187" s="239"/>
      <c r="R187" s="239"/>
      <c r="S187" s="239"/>
      <c r="T187" s="239"/>
      <c r="U187" s="239"/>
      <c r="V187" s="239"/>
    </row>
    <row r="188" spans="1:22">
      <c r="A188" s="255">
        <f>IF($A$27="","",$A$27)</f>
        <v>44986</v>
      </c>
      <c r="B188" s="251"/>
      <c r="C188" s="251"/>
      <c r="D188" s="251"/>
      <c r="E188" s="251"/>
      <c r="F188" s="251"/>
      <c r="G188" s="252">
        <f>IFERROR(AVERAGE(B188:D188),0)</f>
        <v>0</v>
      </c>
      <c r="H188" s="251"/>
      <c r="I188" s="251"/>
      <c r="J188" s="251"/>
      <c r="K188" s="251"/>
      <c r="L188" s="251"/>
      <c r="M188" s="251"/>
      <c r="N188" s="251"/>
      <c r="O188" s="251"/>
      <c r="P188" s="256">
        <f t="shared" ref="P188:P199" si="61">+H188-I188-J188-M188+L188</f>
        <v>0</v>
      </c>
      <c r="Q188" s="262"/>
      <c r="R188" s="262"/>
      <c r="S188" s="262"/>
      <c r="T188" s="262"/>
      <c r="U188" s="254">
        <f>H188-J188-M188</f>
        <v>0</v>
      </c>
      <c r="V188" s="254">
        <f>I188-L188</f>
        <v>0</v>
      </c>
    </row>
    <row r="189" spans="1:22">
      <c r="A189" s="255">
        <f>IF($A$28="","",$A$28)</f>
        <v>45017</v>
      </c>
      <c r="B189" s="251"/>
      <c r="C189" s="251"/>
      <c r="D189" s="251"/>
      <c r="E189" s="251"/>
      <c r="F189" s="251"/>
      <c r="G189" s="252">
        <f t="shared" ref="G189:G199" si="62">IFERROR(AVERAGE(B189:D189),0)</f>
        <v>0</v>
      </c>
      <c r="H189" s="251"/>
      <c r="I189" s="251"/>
      <c r="J189" s="251"/>
      <c r="K189" s="251"/>
      <c r="L189" s="251"/>
      <c r="M189" s="251"/>
      <c r="N189" s="251"/>
      <c r="O189" s="251"/>
      <c r="P189" s="256">
        <f t="shared" si="61"/>
        <v>0</v>
      </c>
      <c r="Q189" s="262"/>
      <c r="R189" s="262"/>
      <c r="S189" s="262"/>
      <c r="T189" s="262"/>
      <c r="U189" s="254">
        <f t="shared" ref="U189:U199" si="63">H189-J189-M189</f>
        <v>0</v>
      </c>
      <c r="V189" s="254">
        <f t="shared" ref="V189:V199" si="64">I189-L189</f>
        <v>0</v>
      </c>
    </row>
    <row r="190" spans="1:22">
      <c r="A190" s="255">
        <f>IF($A$29="","",$A$29)</f>
        <v>45047</v>
      </c>
      <c r="B190" s="251"/>
      <c r="C190" s="251"/>
      <c r="D190" s="251"/>
      <c r="E190" s="251"/>
      <c r="F190" s="251"/>
      <c r="G190" s="252">
        <f t="shared" si="62"/>
        <v>0</v>
      </c>
      <c r="H190" s="251"/>
      <c r="I190" s="251"/>
      <c r="J190" s="251"/>
      <c r="K190" s="251"/>
      <c r="L190" s="251"/>
      <c r="M190" s="251"/>
      <c r="N190" s="251"/>
      <c r="O190" s="251"/>
      <c r="P190" s="256">
        <f t="shared" si="61"/>
        <v>0</v>
      </c>
      <c r="Q190" s="262"/>
      <c r="R190" s="262"/>
      <c r="S190" s="262"/>
      <c r="T190" s="262"/>
      <c r="U190" s="254">
        <f t="shared" si="63"/>
        <v>0</v>
      </c>
      <c r="V190" s="254">
        <f t="shared" si="64"/>
        <v>0</v>
      </c>
    </row>
    <row r="191" spans="1:22">
      <c r="A191" s="255">
        <f>IF($A$30="","",$A$30)</f>
        <v>45078</v>
      </c>
      <c r="B191" s="251"/>
      <c r="C191" s="251"/>
      <c r="D191" s="251"/>
      <c r="E191" s="251"/>
      <c r="F191" s="251"/>
      <c r="G191" s="252">
        <f t="shared" si="62"/>
        <v>0</v>
      </c>
      <c r="H191" s="251"/>
      <c r="I191" s="251"/>
      <c r="J191" s="251"/>
      <c r="K191" s="251"/>
      <c r="L191" s="251"/>
      <c r="M191" s="251"/>
      <c r="N191" s="251"/>
      <c r="O191" s="251"/>
      <c r="P191" s="256">
        <f t="shared" si="61"/>
        <v>0</v>
      </c>
      <c r="Q191" s="262"/>
      <c r="R191" s="262"/>
      <c r="S191" s="262"/>
      <c r="T191" s="262"/>
      <c r="U191" s="254">
        <f t="shared" si="63"/>
        <v>0</v>
      </c>
      <c r="V191" s="254">
        <f t="shared" si="64"/>
        <v>0</v>
      </c>
    </row>
    <row r="192" spans="1:22">
      <c r="A192" s="255">
        <f>IF($A$31="","",$A$31)</f>
        <v>45108</v>
      </c>
      <c r="B192" s="251"/>
      <c r="C192" s="251"/>
      <c r="D192" s="251"/>
      <c r="E192" s="251"/>
      <c r="F192" s="251"/>
      <c r="G192" s="252">
        <f t="shared" si="62"/>
        <v>0</v>
      </c>
      <c r="H192" s="251"/>
      <c r="I192" s="251"/>
      <c r="J192" s="251"/>
      <c r="K192" s="251"/>
      <c r="L192" s="251"/>
      <c r="M192" s="251"/>
      <c r="N192" s="251"/>
      <c r="O192" s="251"/>
      <c r="P192" s="256">
        <f t="shared" si="61"/>
        <v>0</v>
      </c>
      <c r="Q192" s="262"/>
      <c r="R192" s="262"/>
      <c r="S192" s="262"/>
      <c r="T192" s="262"/>
      <c r="U192" s="254">
        <f t="shared" si="63"/>
        <v>0</v>
      </c>
      <c r="V192" s="254">
        <f t="shared" si="64"/>
        <v>0</v>
      </c>
    </row>
    <row r="193" spans="1:22">
      <c r="A193" s="255">
        <f>IF($A$32="","",$A$32)</f>
        <v>45139</v>
      </c>
      <c r="B193" s="251"/>
      <c r="C193" s="251"/>
      <c r="D193" s="251"/>
      <c r="E193" s="251"/>
      <c r="F193" s="251"/>
      <c r="G193" s="252">
        <f t="shared" si="62"/>
        <v>0</v>
      </c>
      <c r="H193" s="251"/>
      <c r="I193" s="251"/>
      <c r="J193" s="251"/>
      <c r="K193" s="251"/>
      <c r="L193" s="251"/>
      <c r="M193" s="251"/>
      <c r="N193" s="251"/>
      <c r="O193" s="251"/>
      <c r="P193" s="256">
        <f t="shared" si="61"/>
        <v>0</v>
      </c>
      <c r="Q193" s="262"/>
      <c r="R193" s="262"/>
      <c r="S193" s="262"/>
      <c r="T193" s="262"/>
      <c r="U193" s="254">
        <f t="shared" si="63"/>
        <v>0</v>
      </c>
      <c r="V193" s="254">
        <f t="shared" si="64"/>
        <v>0</v>
      </c>
    </row>
    <row r="194" spans="1:22">
      <c r="A194" s="255">
        <f>IF($A$33="","",$A$33)</f>
        <v>45170</v>
      </c>
      <c r="B194" s="251"/>
      <c r="C194" s="251"/>
      <c r="D194" s="251"/>
      <c r="E194" s="251"/>
      <c r="F194" s="251"/>
      <c r="G194" s="252">
        <f t="shared" si="62"/>
        <v>0</v>
      </c>
      <c r="H194" s="251"/>
      <c r="I194" s="251"/>
      <c r="J194" s="251"/>
      <c r="K194" s="251"/>
      <c r="L194" s="251"/>
      <c r="M194" s="251"/>
      <c r="N194" s="251"/>
      <c r="O194" s="251"/>
      <c r="P194" s="256">
        <f t="shared" si="61"/>
        <v>0</v>
      </c>
      <c r="Q194" s="262"/>
      <c r="R194" s="262"/>
      <c r="S194" s="262"/>
      <c r="T194" s="262"/>
      <c r="U194" s="254">
        <f t="shared" si="63"/>
        <v>0</v>
      </c>
      <c r="V194" s="254">
        <f t="shared" si="64"/>
        <v>0</v>
      </c>
    </row>
    <row r="195" spans="1:22">
      <c r="A195" s="255">
        <f>IF($A$34="","",$A$34)</f>
        <v>45200</v>
      </c>
      <c r="B195" s="251"/>
      <c r="C195" s="251"/>
      <c r="D195" s="251"/>
      <c r="E195" s="251"/>
      <c r="F195" s="251"/>
      <c r="G195" s="252">
        <f t="shared" si="62"/>
        <v>0</v>
      </c>
      <c r="H195" s="251"/>
      <c r="I195" s="251"/>
      <c r="J195" s="251"/>
      <c r="K195" s="251"/>
      <c r="L195" s="251"/>
      <c r="M195" s="251"/>
      <c r="N195" s="251"/>
      <c r="O195" s="251"/>
      <c r="P195" s="256">
        <f t="shared" si="61"/>
        <v>0</v>
      </c>
      <c r="Q195" s="262"/>
      <c r="R195" s="262"/>
      <c r="S195" s="262"/>
      <c r="T195" s="262"/>
      <c r="U195" s="254">
        <f t="shared" si="63"/>
        <v>0</v>
      </c>
      <c r="V195" s="254">
        <f t="shared" si="64"/>
        <v>0</v>
      </c>
    </row>
    <row r="196" spans="1:22">
      <c r="A196" s="255">
        <f>IF($A$35="","",$A$35)</f>
        <v>45231</v>
      </c>
      <c r="B196" s="251"/>
      <c r="C196" s="251"/>
      <c r="D196" s="251"/>
      <c r="E196" s="251"/>
      <c r="F196" s="251"/>
      <c r="G196" s="252">
        <f t="shared" si="62"/>
        <v>0</v>
      </c>
      <c r="H196" s="251"/>
      <c r="I196" s="251"/>
      <c r="J196" s="251"/>
      <c r="K196" s="251"/>
      <c r="L196" s="251"/>
      <c r="M196" s="251"/>
      <c r="N196" s="251"/>
      <c r="O196" s="251"/>
      <c r="P196" s="256">
        <f t="shared" si="61"/>
        <v>0</v>
      </c>
      <c r="Q196" s="262"/>
      <c r="R196" s="262"/>
      <c r="S196" s="262"/>
      <c r="T196" s="262"/>
      <c r="U196" s="254">
        <f t="shared" si="63"/>
        <v>0</v>
      </c>
      <c r="V196" s="254">
        <f t="shared" si="64"/>
        <v>0</v>
      </c>
    </row>
    <row r="197" spans="1:22">
      <c r="A197" s="255">
        <f>IF($A$36="","",$A$36)</f>
        <v>45261</v>
      </c>
      <c r="B197" s="251"/>
      <c r="C197" s="251"/>
      <c r="D197" s="251"/>
      <c r="E197" s="251"/>
      <c r="F197" s="251"/>
      <c r="G197" s="252">
        <f t="shared" si="62"/>
        <v>0</v>
      </c>
      <c r="H197" s="251"/>
      <c r="I197" s="251"/>
      <c r="J197" s="251"/>
      <c r="K197" s="251"/>
      <c r="L197" s="251"/>
      <c r="M197" s="251"/>
      <c r="N197" s="251"/>
      <c r="O197" s="251"/>
      <c r="P197" s="256">
        <f t="shared" si="61"/>
        <v>0</v>
      </c>
      <c r="Q197" s="262"/>
      <c r="R197" s="262"/>
      <c r="S197" s="262"/>
      <c r="T197" s="262"/>
      <c r="U197" s="254">
        <f t="shared" si="63"/>
        <v>0</v>
      </c>
      <c r="V197" s="254">
        <f t="shared" si="64"/>
        <v>0</v>
      </c>
    </row>
    <row r="198" spans="1:22">
      <c r="A198" s="255">
        <f>IF($A$37="","",$A$37)</f>
        <v>45292</v>
      </c>
      <c r="B198" s="251"/>
      <c r="C198" s="251"/>
      <c r="D198" s="251"/>
      <c r="E198" s="251"/>
      <c r="F198" s="251"/>
      <c r="G198" s="252">
        <f t="shared" si="62"/>
        <v>0</v>
      </c>
      <c r="H198" s="251"/>
      <c r="I198" s="251"/>
      <c r="J198" s="251"/>
      <c r="K198" s="251"/>
      <c r="L198" s="251"/>
      <c r="M198" s="251"/>
      <c r="N198" s="251"/>
      <c r="O198" s="251"/>
      <c r="P198" s="256">
        <f t="shared" si="61"/>
        <v>0</v>
      </c>
      <c r="Q198" s="262"/>
      <c r="R198" s="262"/>
      <c r="S198" s="262"/>
      <c r="T198" s="262"/>
      <c r="U198" s="254">
        <f t="shared" si="63"/>
        <v>0</v>
      </c>
      <c r="V198" s="254">
        <f t="shared" si="64"/>
        <v>0</v>
      </c>
    </row>
    <row r="199" spans="1:22">
      <c r="A199" s="255">
        <f>IF($A$38="","",$A$38)</f>
        <v>45323</v>
      </c>
      <c r="B199" s="251"/>
      <c r="C199" s="251"/>
      <c r="D199" s="251"/>
      <c r="E199" s="251"/>
      <c r="F199" s="251"/>
      <c r="G199" s="252">
        <f t="shared" si="62"/>
        <v>0</v>
      </c>
      <c r="H199" s="251"/>
      <c r="I199" s="251"/>
      <c r="J199" s="251"/>
      <c r="K199" s="251"/>
      <c r="L199" s="251"/>
      <c r="M199" s="251"/>
      <c r="N199" s="251"/>
      <c r="O199" s="251"/>
      <c r="P199" s="256">
        <f t="shared" si="61"/>
        <v>0</v>
      </c>
      <c r="Q199" s="262"/>
      <c r="R199" s="262"/>
      <c r="S199" s="262"/>
      <c r="T199" s="262"/>
      <c r="U199" s="254">
        <f t="shared" si="63"/>
        <v>0</v>
      </c>
      <c r="V199" s="254">
        <f t="shared" si="64"/>
        <v>0</v>
      </c>
    </row>
    <row r="200" spans="1:22">
      <c r="A200" s="245" t="s">
        <v>524</v>
      </c>
      <c r="B200" s="254">
        <f t="shared" ref="B200:I200" si="65">+SUM(B188:B199)</f>
        <v>0</v>
      </c>
      <c r="C200" s="254">
        <f t="shared" si="65"/>
        <v>0</v>
      </c>
      <c r="D200" s="254">
        <f t="shared" si="65"/>
        <v>0</v>
      </c>
      <c r="E200" s="254">
        <f t="shared" si="65"/>
        <v>0</v>
      </c>
      <c r="F200" s="254">
        <f t="shared" si="65"/>
        <v>0</v>
      </c>
      <c r="G200" s="254">
        <f t="shared" si="65"/>
        <v>0</v>
      </c>
      <c r="H200" s="254">
        <f t="shared" si="65"/>
        <v>0</v>
      </c>
      <c r="I200" s="254">
        <f t="shared" si="65"/>
        <v>0</v>
      </c>
      <c r="J200" s="254">
        <f t="shared" ref="J200:O200" si="66">+SUM(J188:J199)</f>
        <v>0</v>
      </c>
      <c r="K200" s="254">
        <f t="shared" si="66"/>
        <v>0</v>
      </c>
      <c r="L200" s="254">
        <f t="shared" si="66"/>
        <v>0</v>
      </c>
      <c r="M200" s="254">
        <f t="shared" si="66"/>
        <v>0</v>
      </c>
      <c r="N200" s="254">
        <f t="shared" si="66"/>
        <v>0</v>
      </c>
      <c r="O200" s="254">
        <f t="shared" si="66"/>
        <v>0</v>
      </c>
      <c r="P200" s="254">
        <f t="shared" ref="P200:V200" si="67">+SUM(P188:P199)</f>
        <v>0</v>
      </c>
      <c r="Q200" s="254">
        <f t="shared" si="67"/>
        <v>0</v>
      </c>
      <c r="R200" s="254">
        <f t="shared" si="67"/>
        <v>0</v>
      </c>
      <c r="S200" s="254">
        <f t="shared" si="67"/>
        <v>0</v>
      </c>
      <c r="T200" s="254">
        <f t="shared" si="67"/>
        <v>0</v>
      </c>
      <c r="U200" s="254">
        <f t="shared" si="67"/>
        <v>0</v>
      </c>
      <c r="V200" s="254">
        <f t="shared" si="67"/>
        <v>0</v>
      </c>
    </row>
    <row r="201" spans="1:22">
      <c r="A201" s="245" t="s">
        <v>525</v>
      </c>
      <c r="B201" s="254">
        <f>IFERROR(B200/(COUNTA(A188:A199)-COUNTIF(A188:A199,"")),0)</f>
        <v>0</v>
      </c>
      <c r="C201" s="254">
        <f>IFERROR(C200/(COUNTA(A188:A199)-COUNTIF(A188:A199,"")),0)</f>
        <v>0</v>
      </c>
      <c r="D201" s="254">
        <f>IFERROR(D200/(COUNTA(A188:A199)-COUNTIF(A188:A199,"")),0)</f>
        <v>0</v>
      </c>
      <c r="E201" s="254">
        <f>IFERROR(E200/(COUNTA(A188:A199)-COUNTIF(A188:A199,"")),0)</f>
        <v>0</v>
      </c>
      <c r="F201" s="254">
        <f>IFERROR(F200/(COUNTA(A188:A199)-COUNTIF(A188:A199,"")),0)</f>
        <v>0</v>
      </c>
      <c r="G201" s="254">
        <f>IFERROR(G200/(COUNTA(A188:A199)-COUNTIF(A188:A199,"")),0)</f>
        <v>0</v>
      </c>
      <c r="H201" s="254">
        <f>IFERROR(H200/(COUNTA(A188:A199)-COUNTIF(A188:A199,"")),0)</f>
        <v>0</v>
      </c>
      <c r="I201" s="254">
        <f>IFERROR(I200/(COUNTA(A188:A199)-COUNTIF(A188:A199,"")),0)</f>
        <v>0</v>
      </c>
      <c r="J201" s="254">
        <f>IFERROR(J200/(COUNTA(A188:A199)-COUNTIF(A188:A199,"")),0)</f>
        <v>0</v>
      </c>
      <c r="K201" s="254">
        <f>IFERROR(K200/(COUNTA(A188:A199)-COUNTIF(A188:A199,"")),0)</f>
        <v>0</v>
      </c>
      <c r="L201" s="254">
        <f>IFERROR(L200/(COUNTA(A188:A199)-COUNTIF(A188:A199,"")),0)</f>
        <v>0</v>
      </c>
      <c r="M201" s="254">
        <f>IFERROR(M200/(COUNTA(A188:A199)-COUNTIF(A188:A199,"")),0)</f>
        <v>0</v>
      </c>
      <c r="N201" s="254">
        <f>IFERROR(N200/(COUNTA(A188:A199)-COUNTIF(A188:A199,"")),0)</f>
        <v>0</v>
      </c>
      <c r="O201" s="254">
        <f>IFERROR(O200/(COUNTA(A188:A199)-COUNTIF(A188:A199,"")),0)</f>
        <v>0</v>
      </c>
      <c r="P201" s="254">
        <f>IFERROR(P200/(COUNTA(A188:A199)-COUNTIF(A188:A199,"")),0)</f>
        <v>0</v>
      </c>
      <c r="Q201" s="259"/>
      <c r="R201" s="259"/>
      <c r="S201" s="246">
        <f>IFERROR(R200/S200*100,0)</f>
        <v>0</v>
      </c>
      <c r="T201" s="246">
        <f>IFERROR(Q200/T200*100,0)</f>
        <v>0</v>
      </c>
      <c r="U201" s="254">
        <f>IFERROR(U200/COUNTA(A188:A199),0)</f>
        <v>0</v>
      </c>
      <c r="V201" s="254">
        <f>IFERROR(V200/COUNTA(A188:A199),0)</f>
        <v>0</v>
      </c>
    </row>
    <row r="202" spans="1:22" ht="38.25">
      <c r="A202" s="245" t="s">
        <v>526</v>
      </c>
      <c r="B202" s="254">
        <f>O185+B201</f>
        <v>0</v>
      </c>
      <c r="C202" s="254">
        <f>O185+C201</f>
        <v>0</v>
      </c>
      <c r="D202" s="254">
        <f>O185+D201</f>
        <v>0</v>
      </c>
      <c r="E202" s="254"/>
      <c r="F202" s="254"/>
      <c r="G202" s="254">
        <f>O185+G201</f>
        <v>0</v>
      </c>
      <c r="H202" s="254"/>
      <c r="I202" s="254"/>
      <c r="J202" s="254"/>
      <c r="K202" s="254"/>
      <c r="L202" s="254"/>
      <c r="M202" s="254"/>
      <c r="N202" s="254"/>
      <c r="O202" s="254"/>
      <c r="P202" s="254"/>
      <c r="Q202" s="259"/>
      <c r="R202" s="259"/>
      <c r="S202" s="260" t="s">
        <v>527</v>
      </c>
      <c r="T202" s="260" t="s">
        <v>528</v>
      </c>
      <c r="U202" s="260"/>
      <c r="V202" s="260"/>
    </row>
    <row r="203" spans="1:22"/>
    <row r="204" spans="1:22"/>
    <row r="205" spans="1:22"/>
    <row r="206" spans="1:22" ht="12.75" customHeight="1">
      <c r="A206" s="432" t="s">
        <v>504</v>
      </c>
      <c r="B206" s="432"/>
      <c r="C206" s="437"/>
      <c r="D206" s="438"/>
      <c r="E206" s="438"/>
      <c r="F206" s="438"/>
      <c r="G206" s="438"/>
      <c r="H206" s="438"/>
      <c r="I206" s="438"/>
      <c r="J206" s="438"/>
      <c r="K206" s="438"/>
      <c r="L206" s="438"/>
      <c r="M206" s="438"/>
      <c r="N206" s="438"/>
      <c r="O206" s="438"/>
      <c r="P206" s="438"/>
      <c r="Q206" s="438"/>
      <c r="R206" s="438"/>
      <c r="S206" s="438"/>
      <c r="T206" s="439"/>
      <c r="U206" s="247"/>
      <c r="V206" s="247"/>
    </row>
    <row r="207" spans="1:22" ht="12.75" customHeight="1">
      <c r="A207" s="432" t="s">
        <v>530</v>
      </c>
      <c r="B207" s="432"/>
      <c r="C207" s="440"/>
      <c r="D207" s="440"/>
      <c r="E207" s="440"/>
      <c r="F207" s="440"/>
      <c r="G207" s="440"/>
      <c r="H207" s="441" t="s">
        <v>532</v>
      </c>
      <c r="I207" s="441"/>
      <c r="J207" s="440"/>
      <c r="K207" s="440"/>
      <c r="L207" s="440"/>
      <c r="M207" s="440"/>
      <c r="N207" s="440"/>
      <c r="O207" s="440"/>
      <c r="P207" s="440"/>
      <c r="Q207" s="440"/>
      <c r="R207" s="440"/>
      <c r="S207" s="440"/>
      <c r="T207" s="440"/>
      <c r="U207" s="247"/>
      <c r="V207" s="247"/>
    </row>
    <row r="208" spans="1:22" ht="25.5" customHeight="1">
      <c r="A208" s="432" t="s">
        <v>533</v>
      </c>
      <c r="B208" s="432"/>
      <c r="C208" s="437"/>
      <c r="D208" s="439"/>
      <c r="E208" s="249" t="s">
        <v>535</v>
      </c>
      <c r="F208" s="442"/>
      <c r="G208" s="443"/>
      <c r="H208" s="443"/>
      <c r="I208" s="444"/>
      <c r="J208" s="249" t="s">
        <v>537</v>
      </c>
      <c r="K208" s="442"/>
      <c r="L208" s="443"/>
      <c r="M208" s="444"/>
      <c r="N208" s="248" t="s">
        <v>538</v>
      </c>
      <c r="O208" s="445"/>
      <c r="P208" s="446"/>
      <c r="Q208" s="446"/>
      <c r="R208" s="446"/>
      <c r="S208" s="446"/>
      <c r="T208" s="447"/>
      <c r="U208" s="261"/>
      <c r="V208" s="261"/>
    </row>
    <row r="209" spans="1:22" ht="38.25" customHeight="1">
      <c r="A209" s="239" t="s">
        <v>161</v>
      </c>
      <c r="B209" s="434" t="s">
        <v>539</v>
      </c>
      <c r="C209" s="434"/>
      <c r="D209" s="434"/>
      <c r="E209" s="240" t="s">
        <v>540</v>
      </c>
      <c r="F209" s="240" t="s">
        <v>541</v>
      </c>
      <c r="G209" s="239" t="s">
        <v>542</v>
      </c>
      <c r="H209" s="239" t="s">
        <v>543</v>
      </c>
      <c r="I209" s="239" t="s">
        <v>544</v>
      </c>
      <c r="J209" s="240" t="s">
        <v>545</v>
      </c>
      <c r="K209" s="240" t="s">
        <v>546</v>
      </c>
      <c r="L209" s="435" t="s">
        <v>547</v>
      </c>
      <c r="M209" s="436"/>
      <c r="N209" s="435" t="s">
        <v>548</v>
      </c>
      <c r="O209" s="436"/>
      <c r="P209" s="239" t="s">
        <v>549</v>
      </c>
      <c r="Q209" s="239" t="s">
        <v>516</v>
      </c>
      <c r="R209" s="239" t="s">
        <v>517</v>
      </c>
      <c r="S209" s="239" t="s">
        <v>518</v>
      </c>
      <c r="T209" s="239" t="s">
        <v>519</v>
      </c>
      <c r="U209" s="239" t="s">
        <v>550</v>
      </c>
      <c r="V209" s="239" t="s">
        <v>551</v>
      </c>
    </row>
    <row r="210" spans="1:22">
      <c r="A210" s="239"/>
      <c r="B210" s="239">
        <v>10</v>
      </c>
      <c r="C210" s="239">
        <v>20</v>
      </c>
      <c r="D210" s="239">
        <v>30</v>
      </c>
      <c r="E210" s="239"/>
      <c r="F210" s="239"/>
      <c r="G210" s="239"/>
      <c r="H210" s="239"/>
      <c r="I210" s="239"/>
      <c r="J210" s="239"/>
      <c r="K210" s="239"/>
      <c r="L210" s="239" t="s">
        <v>522</v>
      </c>
      <c r="M210" s="239" t="s">
        <v>523</v>
      </c>
      <c r="N210" s="239" t="s">
        <v>522</v>
      </c>
      <c r="O210" s="239" t="s">
        <v>523</v>
      </c>
      <c r="P210" s="239"/>
      <c r="Q210" s="239"/>
      <c r="R210" s="239"/>
      <c r="S210" s="239"/>
      <c r="T210" s="239"/>
      <c r="U210" s="239"/>
      <c r="V210" s="239"/>
    </row>
    <row r="211" spans="1:22">
      <c r="A211" s="255">
        <f>IF($A$27="","",$A$27)</f>
        <v>44986</v>
      </c>
      <c r="B211" s="251"/>
      <c r="C211" s="251"/>
      <c r="D211" s="251"/>
      <c r="E211" s="251"/>
      <c r="F211" s="251"/>
      <c r="G211" s="252">
        <f>IFERROR(AVERAGE(B211:D211),0)</f>
        <v>0</v>
      </c>
      <c r="H211" s="251"/>
      <c r="I211" s="251"/>
      <c r="J211" s="251"/>
      <c r="K211" s="251"/>
      <c r="L211" s="251"/>
      <c r="M211" s="251"/>
      <c r="N211" s="251"/>
      <c r="O211" s="251"/>
      <c r="P211" s="256">
        <f t="shared" ref="P211:P222" si="68">+H211-I211-J211-M211+L211</f>
        <v>0</v>
      </c>
      <c r="Q211" s="262"/>
      <c r="R211" s="262"/>
      <c r="S211" s="262"/>
      <c r="T211" s="262"/>
      <c r="U211" s="254">
        <f>H211-J211-M211</f>
        <v>0</v>
      </c>
      <c r="V211" s="254">
        <f>I211-L211</f>
        <v>0</v>
      </c>
    </row>
    <row r="212" spans="1:22">
      <c r="A212" s="255">
        <f>IF($A$28="","",$A$28)</f>
        <v>45017</v>
      </c>
      <c r="B212" s="251"/>
      <c r="C212" s="251"/>
      <c r="D212" s="251"/>
      <c r="E212" s="251"/>
      <c r="F212" s="251"/>
      <c r="G212" s="252">
        <f t="shared" ref="G212:G222" si="69">IFERROR(AVERAGE(B212:D212),0)</f>
        <v>0</v>
      </c>
      <c r="H212" s="251"/>
      <c r="I212" s="251"/>
      <c r="J212" s="251"/>
      <c r="K212" s="251"/>
      <c r="L212" s="251"/>
      <c r="M212" s="251"/>
      <c r="N212" s="251"/>
      <c r="O212" s="251"/>
      <c r="P212" s="256">
        <f t="shared" si="68"/>
        <v>0</v>
      </c>
      <c r="Q212" s="262"/>
      <c r="R212" s="262"/>
      <c r="S212" s="262"/>
      <c r="T212" s="262"/>
      <c r="U212" s="254">
        <f t="shared" ref="U212:U222" si="70">H212-J212-M212</f>
        <v>0</v>
      </c>
      <c r="V212" s="254">
        <f t="shared" ref="V212:V222" si="71">I212-L212</f>
        <v>0</v>
      </c>
    </row>
    <row r="213" spans="1:22">
      <c r="A213" s="255">
        <f>IF($A$29="","",$A$29)</f>
        <v>45047</v>
      </c>
      <c r="B213" s="251"/>
      <c r="C213" s="251"/>
      <c r="D213" s="251"/>
      <c r="E213" s="251"/>
      <c r="F213" s="251"/>
      <c r="G213" s="252">
        <f t="shared" si="69"/>
        <v>0</v>
      </c>
      <c r="H213" s="251"/>
      <c r="I213" s="251"/>
      <c r="J213" s="251"/>
      <c r="K213" s="251"/>
      <c r="L213" s="251"/>
      <c r="M213" s="251"/>
      <c r="N213" s="251"/>
      <c r="O213" s="251"/>
      <c r="P213" s="256">
        <f t="shared" si="68"/>
        <v>0</v>
      </c>
      <c r="Q213" s="262"/>
      <c r="R213" s="262"/>
      <c r="S213" s="262"/>
      <c r="T213" s="262"/>
      <c r="U213" s="254">
        <f t="shared" si="70"/>
        <v>0</v>
      </c>
      <c r="V213" s="254">
        <f t="shared" si="71"/>
        <v>0</v>
      </c>
    </row>
    <row r="214" spans="1:22">
      <c r="A214" s="255">
        <f>IF($A$30="","",$A$30)</f>
        <v>45078</v>
      </c>
      <c r="B214" s="251"/>
      <c r="C214" s="251"/>
      <c r="D214" s="251"/>
      <c r="E214" s="251"/>
      <c r="F214" s="251"/>
      <c r="G214" s="252">
        <f t="shared" si="69"/>
        <v>0</v>
      </c>
      <c r="H214" s="251"/>
      <c r="I214" s="251"/>
      <c r="J214" s="251"/>
      <c r="K214" s="251"/>
      <c r="L214" s="251"/>
      <c r="M214" s="251"/>
      <c r="N214" s="251"/>
      <c r="O214" s="251"/>
      <c r="P214" s="256">
        <f t="shared" si="68"/>
        <v>0</v>
      </c>
      <c r="Q214" s="262"/>
      <c r="R214" s="262"/>
      <c r="S214" s="262"/>
      <c r="T214" s="262"/>
      <c r="U214" s="254">
        <f t="shared" si="70"/>
        <v>0</v>
      </c>
      <c r="V214" s="254">
        <f t="shared" si="71"/>
        <v>0</v>
      </c>
    </row>
    <row r="215" spans="1:22">
      <c r="A215" s="255">
        <f>IF($A$31="","",$A$31)</f>
        <v>45108</v>
      </c>
      <c r="B215" s="251"/>
      <c r="C215" s="251"/>
      <c r="D215" s="251"/>
      <c r="E215" s="251"/>
      <c r="F215" s="251"/>
      <c r="G215" s="252">
        <f t="shared" si="69"/>
        <v>0</v>
      </c>
      <c r="H215" s="251"/>
      <c r="I215" s="251"/>
      <c r="J215" s="251"/>
      <c r="K215" s="251"/>
      <c r="L215" s="251"/>
      <c r="M215" s="251"/>
      <c r="N215" s="251"/>
      <c r="O215" s="251"/>
      <c r="P215" s="256">
        <f t="shared" si="68"/>
        <v>0</v>
      </c>
      <c r="Q215" s="262"/>
      <c r="R215" s="262"/>
      <c r="S215" s="262"/>
      <c r="T215" s="262"/>
      <c r="U215" s="254">
        <f t="shared" si="70"/>
        <v>0</v>
      </c>
      <c r="V215" s="254">
        <f t="shared" si="71"/>
        <v>0</v>
      </c>
    </row>
    <row r="216" spans="1:22">
      <c r="A216" s="255">
        <f>IF($A$32="","",$A$32)</f>
        <v>45139</v>
      </c>
      <c r="B216" s="251"/>
      <c r="C216" s="251"/>
      <c r="D216" s="251"/>
      <c r="E216" s="251"/>
      <c r="F216" s="251"/>
      <c r="G216" s="252">
        <f t="shared" si="69"/>
        <v>0</v>
      </c>
      <c r="H216" s="251"/>
      <c r="I216" s="251"/>
      <c r="J216" s="251"/>
      <c r="K216" s="251"/>
      <c r="L216" s="251"/>
      <c r="M216" s="251"/>
      <c r="N216" s="251"/>
      <c r="O216" s="251"/>
      <c r="P216" s="256">
        <f t="shared" si="68"/>
        <v>0</v>
      </c>
      <c r="Q216" s="262"/>
      <c r="R216" s="262"/>
      <c r="S216" s="262"/>
      <c r="T216" s="262"/>
      <c r="U216" s="254">
        <f t="shared" si="70"/>
        <v>0</v>
      </c>
      <c r="V216" s="254">
        <f t="shared" si="71"/>
        <v>0</v>
      </c>
    </row>
    <row r="217" spans="1:22">
      <c r="A217" s="255">
        <f>IF($A$33="","",$A$33)</f>
        <v>45170</v>
      </c>
      <c r="B217" s="251"/>
      <c r="C217" s="251"/>
      <c r="D217" s="251"/>
      <c r="E217" s="251"/>
      <c r="F217" s="251"/>
      <c r="G217" s="252">
        <f t="shared" si="69"/>
        <v>0</v>
      </c>
      <c r="H217" s="251"/>
      <c r="I217" s="251"/>
      <c r="J217" s="251"/>
      <c r="K217" s="251"/>
      <c r="L217" s="251"/>
      <c r="M217" s="251"/>
      <c r="N217" s="251"/>
      <c r="O217" s="251"/>
      <c r="P217" s="256">
        <f t="shared" si="68"/>
        <v>0</v>
      </c>
      <c r="Q217" s="262"/>
      <c r="R217" s="262"/>
      <c r="S217" s="262"/>
      <c r="T217" s="262"/>
      <c r="U217" s="254">
        <f t="shared" si="70"/>
        <v>0</v>
      </c>
      <c r="V217" s="254">
        <f t="shared" si="71"/>
        <v>0</v>
      </c>
    </row>
    <row r="218" spans="1:22">
      <c r="A218" s="255">
        <f>IF($A$34="","",$A$34)</f>
        <v>45200</v>
      </c>
      <c r="B218" s="251"/>
      <c r="C218" s="251"/>
      <c r="D218" s="251"/>
      <c r="E218" s="251"/>
      <c r="F218" s="251"/>
      <c r="G218" s="252">
        <f t="shared" si="69"/>
        <v>0</v>
      </c>
      <c r="H218" s="251"/>
      <c r="I218" s="251"/>
      <c r="J218" s="251"/>
      <c r="K218" s="251"/>
      <c r="L218" s="251"/>
      <c r="M218" s="251"/>
      <c r="N218" s="251"/>
      <c r="O218" s="251"/>
      <c r="P218" s="256">
        <f t="shared" si="68"/>
        <v>0</v>
      </c>
      <c r="Q218" s="262"/>
      <c r="R218" s="262"/>
      <c r="S218" s="262"/>
      <c r="T218" s="262"/>
      <c r="U218" s="254">
        <f t="shared" si="70"/>
        <v>0</v>
      </c>
      <c r="V218" s="254">
        <f t="shared" si="71"/>
        <v>0</v>
      </c>
    </row>
    <row r="219" spans="1:22">
      <c r="A219" s="255">
        <f>IF($A$35="","",$A$35)</f>
        <v>45231</v>
      </c>
      <c r="B219" s="251"/>
      <c r="C219" s="251"/>
      <c r="D219" s="251"/>
      <c r="E219" s="251"/>
      <c r="F219" s="251"/>
      <c r="G219" s="252">
        <f t="shared" si="69"/>
        <v>0</v>
      </c>
      <c r="H219" s="251"/>
      <c r="I219" s="251"/>
      <c r="J219" s="251"/>
      <c r="K219" s="251"/>
      <c r="L219" s="251"/>
      <c r="M219" s="251"/>
      <c r="N219" s="251"/>
      <c r="O219" s="251"/>
      <c r="P219" s="256">
        <f t="shared" si="68"/>
        <v>0</v>
      </c>
      <c r="Q219" s="262"/>
      <c r="R219" s="262"/>
      <c r="S219" s="262"/>
      <c r="T219" s="262"/>
      <c r="U219" s="254">
        <f t="shared" si="70"/>
        <v>0</v>
      </c>
      <c r="V219" s="254">
        <f t="shared" si="71"/>
        <v>0</v>
      </c>
    </row>
    <row r="220" spans="1:22">
      <c r="A220" s="255">
        <f>IF($A$36="","",$A$36)</f>
        <v>45261</v>
      </c>
      <c r="B220" s="251"/>
      <c r="C220" s="251"/>
      <c r="D220" s="251"/>
      <c r="E220" s="251"/>
      <c r="F220" s="251"/>
      <c r="G220" s="252">
        <f t="shared" si="69"/>
        <v>0</v>
      </c>
      <c r="H220" s="251"/>
      <c r="I220" s="251"/>
      <c r="J220" s="251"/>
      <c r="K220" s="251"/>
      <c r="L220" s="251"/>
      <c r="M220" s="251"/>
      <c r="N220" s="251"/>
      <c r="O220" s="251"/>
      <c r="P220" s="256">
        <f t="shared" si="68"/>
        <v>0</v>
      </c>
      <c r="Q220" s="262"/>
      <c r="R220" s="262"/>
      <c r="S220" s="262"/>
      <c r="T220" s="262"/>
      <c r="U220" s="254">
        <f t="shared" si="70"/>
        <v>0</v>
      </c>
      <c r="V220" s="254">
        <f t="shared" si="71"/>
        <v>0</v>
      </c>
    </row>
    <row r="221" spans="1:22">
      <c r="A221" s="255">
        <f>IF($A$37="","",$A$37)</f>
        <v>45292</v>
      </c>
      <c r="B221" s="251"/>
      <c r="C221" s="251"/>
      <c r="D221" s="251"/>
      <c r="E221" s="251"/>
      <c r="F221" s="251"/>
      <c r="G221" s="252">
        <f t="shared" si="69"/>
        <v>0</v>
      </c>
      <c r="H221" s="251"/>
      <c r="I221" s="251"/>
      <c r="J221" s="251"/>
      <c r="K221" s="251"/>
      <c r="L221" s="251"/>
      <c r="M221" s="251"/>
      <c r="N221" s="251"/>
      <c r="O221" s="251"/>
      <c r="P221" s="256">
        <f t="shared" si="68"/>
        <v>0</v>
      </c>
      <c r="Q221" s="262"/>
      <c r="R221" s="262"/>
      <c r="S221" s="262"/>
      <c r="T221" s="262"/>
      <c r="U221" s="254">
        <f t="shared" si="70"/>
        <v>0</v>
      </c>
      <c r="V221" s="254">
        <f t="shared" si="71"/>
        <v>0</v>
      </c>
    </row>
    <row r="222" spans="1:22">
      <c r="A222" s="255">
        <f>IF($A$38="","",$A$38)</f>
        <v>45323</v>
      </c>
      <c r="B222" s="251"/>
      <c r="C222" s="251"/>
      <c r="D222" s="251"/>
      <c r="E222" s="251"/>
      <c r="F222" s="251"/>
      <c r="G222" s="252">
        <f t="shared" si="69"/>
        <v>0</v>
      </c>
      <c r="H222" s="251"/>
      <c r="I222" s="251"/>
      <c r="J222" s="251"/>
      <c r="K222" s="251"/>
      <c r="L222" s="251"/>
      <c r="M222" s="251"/>
      <c r="N222" s="251"/>
      <c r="O222" s="251"/>
      <c r="P222" s="256">
        <f t="shared" si="68"/>
        <v>0</v>
      </c>
      <c r="Q222" s="262"/>
      <c r="R222" s="262"/>
      <c r="S222" s="262"/>
      <c r="T222" s="262"/>
      <c r="U222" s="254">
        <f t="shared" si="70"/>
        <v>0</v>
      </c>
      <c r="V222" s="254">
        <f t="shared" si="71"/>
        <v>0</v>
      </c>
    </row>
    <row r="223" spans="1:22">
      <c r="A223" s="245" t="s">
        <v>524</v>
      </c>
      <c r="B223" s="254">
        <f t="shared" ref="B223:I223" si="72">+SUM(B211:B222)</f>
        <v>0</v>
      </c>
      <c r="C223" s="254">
        <f t="shared" si="72"/>
        <v>0</v>
      </c>
      <c r="D223" s="254">
        <f t="shared" si="72"/>
        <v>0</v>
      </c>
      <c r="E223" s="254">
        <f t="shared" si="72"/>
        <v>0</v>
      </c>
      <c r="F223" s="254">
        <f t="shared" si="72"/>
        <v>0</v>
      </c>
      <c r="G223" s="254">
        <f t="shared" si="72"/>
        <v>0</v>
      </c>
      <c r="H223" s="254">
        <f t="shared" si="72"/>
        <v>0</v>
      </c>
      <c r="I223" s="254">
        <f t="shared" si="72"/>
        <v>0</v>
      </c>
      <c r="J223" s="254">
        <f t="shared" ref="J223:O223" si="73">+SUM(J211:J222)</f>
        <v>0</v>
      </c>
      <c r="K223" s="254">
        <f t="shared" si="73"/>
        <v>0</v>
      </c>
      <c r="L223" s="254">
        <f t="shared" si="73"/>
        <v>0</v>
      </c>
      <c r="M223" s="254">
        <f t="shared" si="73"/>
        <v>0</v>
      </c>
      <c r="N223" s="254">
        <f t="shared" si="73"/>
        <v>0</v>
      </c>
      <c r="O223" s="254">
        <f t="shared" si="73"/>
        <v>0</v>
      </c>
      <c r="P223" s="254">
        <f t="shared" ref="P223:V223" si="74">+SUM(P211:P222)</f>
        <v>0</v>
      </c>
      <c r="Q223" s="254">
        <f t="shared" si="74"/>
        <v>0</v>
      </c>
      <c r="R223" s="254">
        <f t="shared" si="74"/>
        <v>0</v>
      </c>
      <c r="S223" s="254">
        <f t="shared" si="74"/>
        <v>0</v>
      </c>
      <c r="T223" s="254">
        <f t="shared" si="74"/>
        <v>0</v>
      </c>
      <c r="U223" s="254">
        <f t="shared" si="74"/>
        <v>0</v>
      </c>
      <c r="V223" s="254">
        <f t="shared" si="74"/>
        <v>0</v>
      </c>
    </row>
    <row r="224" spans="1:22">
      <c r="A224" s="245" t="s">
        <v>525</v>
      </c>
      <c r="B224" s="254">
        <f>IFERROR(B223/(COUNTA(A211:A222)-COUNTIF(A211:A222,"")),0)</f>
        <v>0</v>
      </c>
      <c r="C224" s="254">
        <f>IFERROR(C223/(COUNTA(A211:A222)-COUNTIF(A211:A222,"")),0)</f>
        <v>0</v>
      </c>
      <c r="D224" s="254">
        <f>IFERROR(D223/(COUNTA(A211:A222)-COUNTIF(A211:A222,"")),0)</f>
        <v>0</v>
      </c>
      <c r="E224" s="254">
        <f>IFERROR(E223/(COUNTA(A211:A222)-COUNTIF(A211:A222,"")),0)</f>
        <v>0</v>
      </c>
      <c r="F224" s="254">
        <f>IFERROR(F223/(COUNTA(A211:A222)-COUNTIF(A211:A222,"")),0)</f>
        <v>0</v>
      </c>
      <c r="G224" s="254">
        <f>IFERROR(G223/(COUNTA(A211:A222)-COUNTIF(A211:A222,"")),0)</f>
        <v>0</v>
      </c>
      <c r="H224" s="254">
        <f>IFERROR(H223/(COUNTA(A211:A222)-COUNTIF(A211:A222,"")),0)</f>
        <v>0</v>
      </c>
      <c r="I224" s="254">
        <f>IFERROR(I223/(COUNTA(A211:A222)-COUNTIF(A211:A222,"")),0)</f>
        <v>0</v>
      </c>
      <c r="J224" s="254">
        <f>IFERROR(J223/(COUNTA(A211:A222)-COUNTIF(A211:A222,"")),0)</f>
        <v>0</v>
      </c>
      <c r="K224" s="254">
        <f>IFERROR(K223/(COUNTA(A211:A222)-COUNTIF(A211:A222,"")),0)</f>
        <v>0</v>
      </c>
      <c r="L224" s="254">
        <f>IFERROR(L223/(COUNTA(A211:A222)-COUNTIF(A211:A222,"")),0)</f>
        <v>0</v>
      </c>
      <c r="M224" s="254">
        <f>IFERROR(M223/(COUNTA(A211:A222)-COUNTIF(A211:A222,"")),0)</f>
        <v>0</v>
      </c>
      <c r="N224" s="254">
        <f>IFERROR(N223/(COUNTA(A211:A222)-COUNTIF(A211:A222,"")),0)</f>
        <v>0</v>
      </c>
      <c r="O224" s="254">
        <f>IFERROR(O223/(COUNTA(A211:A222)-COUNTIF(A211:A222,"")),0)</f>
        <v>0</v>
      </c>
      <c r="P224" s="254">
        <f>IFERROR(P223/(COUNTA(A211:A222)-COUNTIF(A211:A222,"")),0)</f>
        <v>0</v>
      </c>
      <c r="Q224" s="259"/>
      <c r="R224" s="259"/>
      <c r="S224" s="246">
        <f>IFERROR(R223/S223*100,0)</f>
        <v>0</v>
      </c>
      <c r="T224" s="246">
        <f>IFERROR(Q223/T223*100,0)</f>
        <v>0</v>
      </c>
      <c r="U224" s="254">
        <f>IFERROR(U223/COUNTA(A211:A222),0)</f>
        <v>0</v>
      </c>
      <c r="V224" s="254">
        <f>IFERROR(V223/COUNTA(A211:A222),0)</f>
        <v>0</v>
      </c>
    </row>
    <row r="225" spans="1:22" ht="38.25">
      <c r="A225" s="245" t="s">
        <v>526</v>
      </c>
      <c r="B225" s="254">
        <f>O208+B224</f>
        <v>0</v>
      </c>
      <c r="C225" s="254">
        <f>O208+C224</f>
        <v>0</v>
      </c>
      <c r="D225" s="254">
        <f>O208+D224</f>
        <v>0</v>
      </c>
      <c r="E225" s="254"/>
      <c r="F225" s="254"/>
      <c r="G225" s="254">
        <f>O208+G224</f>
        <v>0</v>
      </c>
      <c r="H225" s="254"/>
      <c r="I225" s="254"/>
      <c r="J225" s="254"/>
      <c r="K225" s="254"/>
      <c r="L225" s="254"/>
      <c r="M225" s="254"/>
      <c r="N225" s="254"/>
      <c r="O225" s="254"/>
      <c r="P225" s="254"/>
      <c r="Q225" s="259"/>
      <c r="R225" s="259"/>
      <c r="S225" s="260" t="s">
        <v>527</v>
      </c>
      <c r="T225" s="260" t="s">
        <v>528</v>
      </c>
      <c r="U225" s="260"/>
      <c r="V225" s="260"/>
    </row>
    <row r="226" spans="1:22"/>
    <row r="227" spans="1:22"/>
    <row r="228" spans="1:22"/>
    <row r="229" spans="1:22" ht="12.75" customHeight="1">
      <c r="A229" s="432" t="s">
        <v>504</v>
      </c>
      <c r="B229" s="432"/>
      <c r="C229" s="437"/>
      <c r="D229" s="438"/>
      <c r="E229" s="438"/>
      <c r="F229" s="438"/>
      <c r="G229" s="438"/>
      <c r="H229" s="438"/>
      <c r="I229" s="438"/>
      <c r="J229" s="438"/>
      <c r="K229" s="438"/>
      <c r="L229" s="438"/>
      <c r="M229" s="438"/>
      <c r="N229" s="438"/>
      <c r="O229" s="438"/>
      <c r="P229" s="438"/>
      <c r="Q229" s="438"/>
      <c r="R229" s="438"/>
      <c r="S229" s="438"/>
      <c r="T229" s="439"/>
      <c r="U229" s="247"/>
      <c r="V229" s="247"/>
    </row>
    <row r="230" spans="1:22" ht="12.75" customHeight="1">
      <c r="A230" s="432" t="s">
        <v>530</v>
      </c>
      <c r="B230" s="432"/>
      <c r="C230" s="440"/>
      <c r="D230" s="440"/>
      <c r="E230" s="440"/>
      <c r="F230" s="440"/>
      <c r="G230" s="440"/>
      <c r="H230" s="441" t="s">
        <v>532</v>
      </c>
      <c r="I230" s="441"/>
      <c r="J230" s="440"/>
      <c r="K230" s="440"/>
      <c r="L230" s="440"/>
      <c r="M230" s="440"/>
      <c r="N230" s="440"/>
      <c r="O230" s="440"/>
      <c r="P230" s="440"/>
      <c r="Q230" s="440"/>
      <c r="R230" s="440"/>
      <c r="S230" s="440"/>
      <c r="T230" s="440"/>
      <c r="U230" s="247"/>
      <c r="V230" s="247"/>
    </row>
    <row r="231" spans="1:22" ht="25.5" customHeight="1">
      <c r="A231" s="432" t="s">
        <v>533</v>
      </c>
      <c r="B231" s="432"/>
      <c r="C231" s="437"/>
      <c r="D231" s="439"/>
      <c r="E231" s="249" t="s">
        <v>535</v>
      </c>
      <c r="F231" s="442"/>
      <c r="G231" s="443"/>
      <c r="H231" s="443"/>
      <c r="I231" s="444"/>
      <c r="J231" s="249" t="s">
        <v>537</v>
      </c>
      <c r="K231" s="442"/>
      <c r="L231" s="443"/>
      <c r="M231" s="444"/>
      <c r="N231" s="248" t="s">
        <v>538</v>
      </c>
      <c r="O231" s="445"/>
      <c r="P231" s="446"/>
      <c r="Q231" s="446"/>
      <c r="R231" s="446"/>
      <c r="S231" s="446"/>
      <c r="T231" s="447"/>
      <c r="U231" s="261"/>
      <c r="V231" s="261"/>
    </row>
    <row r="232" spans="1:22" ht="38.25" customHeight="1">
      <c r="A232" s="239" t="s">
        <v>161</v>
      </c>
      <c r="B232" s="434" t="s">
        <v>539</v>
      </c>
      <c r="C232" s="434"/>
      <c r="D232" s="434"/>
      <c r="E232" s="240" t="s">
        <v>540</v>
      </c>
      <c r="F232" s="240" t="s">
        <v>541</v>
      </c>
      <c r="G232" s="239" t="s">
        <v>542</v>
      </c>
      <c r="H232" s="239" t="s">
        <v>543</v>
      </c>
      <c r="I232" s="239" t="s">
        <v>544</v>
      </c>
      <c r="J232" s="240" t="s">
        <v>545</v>
      </c>
      <c r="K232" s="240" t="s">
        <v>546</v>
      </c>
      <c r="L232" s="435" t="s">
        <v>547</v>
      </c>
      <c r="M232" s="436"/>
      <c r="N232" s="435" t="s">
        <v>548</v>
      </c>
      <c r="O232" s="436"/>
      <c r="P232" s="239" t="s">
        <v>549</v>
      </c>
      <c r="Q232" s="239" t="s">
        <v>516</v>
      </c>
      <c r="R232" s="239" t="s">
        <v>517</v>
      </c>
      <c r="S232" s="239" t="s">
        <v>518</v>
      </c>
      <c r="T232" s="239" t="s">
        <v>519</v>
      </c>
      <c r="U232" s="239" t="s">
        <v>550</v>
      </c>
      <c r="V232" s="239" t="s">
        <v>551</v>
      </c>
    </row>
    <row r="233" spans="1:22">
      <c r="A233" s="239"/>
      <c r="B233" s="239">
        <v>10</v>
      </c>
      <c r="C233" s="239">
        <v>20</v>
      </c>
      <c r="D233" s="239">
        <v>30</v>
      </c>
      <c r="E233" s="239"/>
      <c r="F233" s="239"/>
      <c r="G233" s="239"/>
      <c r="H233" s="239"/>
      <c r="I233" s="239"/>
      <c r="J233" s="239"/>
      <c r="K233" s="239"/>
      <c r="L233" s="239" t="s">
        <v>522</v>
      </c>
      <c r="M233" s="239" t="s">
        <v>523</v>
      </c>
      <c r="N233" s="239" t="s">
        <v>522</v>
      </c>
      <c r="O233" s="239" t="s">
        <v>523</v>
      </c>
      <c r="P233" s="239"/>
      <c r="Q233" s="239"/>
      <c r="R233" s="239"/>
      <c r="S233" s="239"/>
      <c r="T233" s="239"/>
      <c r="U233" s="239"/>
      <c r="V233" s="239"/>
    </row>
    <row r="234" spans="1:22">
      <c r="A234" s="255">
        <f>IF($A$27="","",$A$27)</f>
        <v>44986</v>
      </c>
      <c r="B234" s="251"/>
      <c r="C234" s="251"/>
      <c r="D234" s="251"/>
      <c r="E234" s="251"/>
      <c r="F234" s="251"/>
      <c r="G234" s="252">
        <f>IFERROR(AVERAGE(B234:D234),0)</f>
        <v>0</v>
      </c>
      <c r="H234" s="251"/>
      <c r="I234" s="251"/>
      <c r="J234" s="251"/>
      <c r="K234" s="251"/>
      <c r="L234" s="251"/>
      <c r="M234" s="251"/>
      <c r="N234" s="251"/>
      <c r="O234" s="251"/>
      <c r="P234" s="256">
        <f t="shared" ref="P234:P245" si="75">+H234-I234-J234-M234+L234</f>
        <v>0</v>
      </c>
      <c r="Q234" s="262"/>
      <c r="R234" s="262"/>
      <c r="S234" s="262"/>
      <c r="T234" s="262"/>
      <c r="U234" s="254">
        <f>H234-J234-M234</f>
        <v>0</v>
      </c>
      <c r="V234" s="254">
        <f>I234-L234</f>
        <v>0</v>
      </c>
    </row>
    <row r="235" spans="1:22">
      <c r="A235" s="255">
        <f>IF($A$28="","",$A$28)</f>
        <v>45017</v>
      </c>
      <c r="B235" s="251"/>
      <c r="C235" s="251"/>
      <c r="D235" s="251"/>
      <c r="E235" s="251"/>
      <c r="F235" s="251"/>
      <c r="G235" s="252">
        <f t="shared" ref="G235:G245" si="76">IFERROR(AVERAGE(B235:D235),0)</f>
        <v>0</v>
      </c>
      <c r="H235" s="251"/>
      <c r="I235" s="251"/>
      <c r="J235" s="251"/>
      <c r="K235" s="251"/>
      <c r="L235" s="251"/>
      <c r="M235" s="251"/>
      <c r="N235" s="251"/>
      <c r="O235" s="251"/>
      <c r="P235" s="256">
        <f t="shared" si="75"/>
        <v>0</v>
      </c>
      <c r="Q235" s="262"/>
      <c r="R235" s="262"/>
      <c r="S235" s="262"/>
      <c r="T235" s="262"/>
      <c r="U235" s="254">
        <f t="shared" ref="U235:U245" si="77">H235-J235-M235</f>
        <v>0</v>
      </c>
      <c r="V235" s="254">
        <f t="shared" ref="V235:V245" si="78">I235-L235</f>
        <v>0</v>
      </c>
    </row>
    <row r="236" spans="1:22">
      <c r="A236" s="255">
        <f>IF($A$29="","",$A$29)</f>
        <v>45047</v>
      </c>
      <c r="B236" s="251"/>
      <c r="C236" s="251"/>
      <c r="D236" s="251"/>
      <c r="E236" s="251"/>
      <c r="F236" s="251"/>
      <c r="G236" s="252">
        <f t="shared" si="76"/>
        <v>0</v>
      </c>
      <c r="H236" s="251"/>
      <c r="I236" s="251"/>
      <c r="J236" s="251"/>
      <c r="K236" s="251"/>
      <c r="L236" s="251"/>
      <c r="M236" s="251"/>
      <c r="N236" s="251"/>
      <c r="O236" s="251"/>
      <c r="P236" s="256">
        <f t="shared" si="75"/>
        <v>0</v>
      </c>
      <c r="Q236" s="262"/>
      <c r="R236" s="262"/>
      <c r="S236" s="262"/>
      <c r="T236" s="262"/>
      <c r="U236" s="254">
        <f t="shared" si="77"/>
        <v>0</v>
      </c>
      <c r="V236" s="254">
        <f t="shared" si="78"/>
        <v>0</v>
      </c>
    </row>
    <row r="237" spans="1:22">
      <c r="A237" s="255">
        <f>IF($A$30="","",$A$30)</f>
        <v>45078</v>
      </c>
      <c r="B237" s="251"/>
      <c r="C237" s="251"/>
      <c r="D237" s="251"/>
      <c r="E237" s="251"/>
      <c r="F237" s="251"/>
      <c r="G237" s="252">
        <f t="shared" si="76"/>
        <v>0</v>
      </c>
      <c r="H237" s="251"/>
      <c r="I237" s="251"/>
      <c r="J237" s="251"/>
      <c r="K237" s="251"/>
      <c r="L237" s="251"/>
      <c r="M237" s="251"/>
      <c r="N237" s="251"/>
      <c r="O237" s="251"/>
      <c r="P237" s="256">
        <f t="shared" si="75"/>
        <v>0</v>
      </c>
      <c r="Q237" s="262"/>
      <c r="R237" s="262"/>
      <c r="S237" s="262"/>
      <c r="T237" s="262"/>
      <c r="U237" s="254">
        <f t="shared" si="77"/>
        <v>0</v>
      </c>
      <c r="V237" s="254">
        <f t="shared" si="78"/>
        <v>0</v>
      </c>
    </row>
    <row r="238" spans="1:22">
      <c r="A238" s="255">
        <f>IF($A$31="","",$A$31)</f>
        <v>45108</v>
      </c>
      <c r="B238" s="251"/>
      <c r="C238" s="251"/>
      <c r="D238" s="251"/>
      <c r="E238" s="251"/>
      <c r="F238" s="251"/>
      <c r="G238" s="252">
        <f t="shared" si="76"/>
        <v>0</v>
      </c>
      <c r="H238" s="251"/>
      <c r="I238" s="251"/>
      <c r="J238" s="251"/>
      <c r="K238" s="251"/>
      <c r="L238" s="251"/>
      <c r="M238" s="251"/>
      <c r="N238" s="251"/>
      <c r="O238" s="251"/>
      <c r="P238" s="256">
        <f t="shared" si="75"/>
        <v>0</v>
      </c>
      <c r="Q238" s="262"/>
      <c r="R238" s="262"/>
      <c r="S238" s="262"/>
      <c r="T238" s="262"/>
      <c r="U238" s="254">
        <f t="shared" si="77"/>
        <v>0</v>
      </c>
      <c r="V238" s="254">
        <f t="shared" si="78"/>
        <v>0</v>
      </c>
    </row>
    <row r="239" spans="1:22">
      <c r="A239" s="255">
        <f>IF($A$32="","",$A$32)</f>
        <v>45139</v>
      </c>
      <c r="B239" s="251"/>
      <c r="C239" s="251"/>
      <c r="D239" s="251"/>
      <c r="E239" s="251"/>
      <c r="F239" s="251"/>
      <c r="G239" s="252">
        <f t="shared" si="76"/>
        <v>0</v>
      </c>
      <c r="H239" s="251"/>
      <c r="I239" s="251"/>
      <c r="J239" s="251"/>
      <c r="K239" s="251"/>
      <c r="L239" s="251"/>
      <c r="M239" s="251"/>
      <c r="N239" s="251"/>
      <c r="O239" s="251"/>
      <c r="P239" s="256">
        <f t="shared" si="75"/>
        <v>0</v>
      </c>
      <c r="Q239" s="262"/>
      <c r="R239" s="262"/>
      <c r="S239" s="262"/>
      <c r="T239" s="262"/>
      <c r="U239" s="254">
        <f t="shared" si="77"/>
        <v>0</v>
      </c>
      <c r="V239" s="254">
        <f t="shared" si="78"/>
        <v>0</v>
      </c>
    </row>
    <row r="240" spans="1:22">
      <c r="A240" s="255">
        <f>IF($A$33="","",$A$33)</f>
        <v>45170</v>
      </c>
      <c r="B240" s="251"/>
      <c r="C240" s="251"/>
      <c r="D240" s="251"/>
      <c r="E240" s="251"/>
      <c r="F240" s="251"/>
      <c r="G240" s="252">
        <f t="shared" si="76"/>
        <v>0</v>
      </c>
      <c r="H240" s="251"/>
      <c r="I240" s="251"/>
      <c r="J240" s="251"/>
      <c r="K240" s="251"/>
      <c r="L240" s="251"/>
      <c r="M240" s="251"/>
      <c r="N240" s="251"/>
      <c r="O240" s="251"/>
      <c r="P240" s="256">
        <f t="shared" si="75"/>
        <v>0</v>
      </c>
      <c r="Q240" s="262"/>
      <c r="R240" s="262"/>
      <c r="S240" s="262"/>
      <c r="T240" s="262"/>
      <c r="U240" s="254">
        <f t="shared" si="77"/>
        <v>0</v>
      </c>
      <c r="V240" s="254">
        <f t="shared" si="78"/>
        <v>0</v>
      </c>
    </row>
    <row r="241" spans="1:22">
      <c r="A241" s="255">
        <f>IF($A$34="","",$A$34)</f>
        <v>45200</v>
      </c>
      <c r="B241" s="251"/>
      <c r="C241" s="251"/>
      <c r="D241" s="251"/>
      <c r="E241" s="251"/>
      <c r="F241" s="251"/>
      <c r="G241" s="252">
        <f t="shared" si="76"/>
        <v>0</v>
      </c>
      <c r="H241" s="251"/>
      <c r="I241" s="251"/>
      <c r="J241" s="251"/>
      <c r="K241" s="251"/>
      <c r="L241" s="251"/>
      <c r="M241" s="251"/>
      <c r="N241" s="251"/>
      <c r="O241" s="251"/>
      <c r="P241" s="256">
        <f t="shared" si="75"/>
        <v>0</v>
      </c>
      <c r="Q241" s="262"/>
      <c r="R241" s="262"/>
      <c r="S241" s="262"/>
      <c r="T241" s="262"/>
      <c r="U241" s="254">
        <f t="shared" si="77"/>
        <v>0</v>
      </c>
      <c r="V241" s="254">
        <f t="shared" si="78"/>
        <v>0</v>
      </c>
    </row>
    <row r="242" spans="1:22">
      <c r="A242" s="255">
        <f>IF($A$35="","",$A$35)</f>
        <v>45231</v>
      </c>
      <c r="B242" s="251"/>
      <c r="C242" s="251"/>
      <c r="D242" s="251"/>
      <c r="E242" s="251"/>
      <c r="F242" s="251"/>
      <c r="G242" s="252">
        <f t="shared" si="76"/>
        <v>0</v>
      </c>
      <c r="H242" s="251"/>
      <c r="I242" s="251"/>
      <c r="J242" s="251"/>
      <c r="K242" s="251"/>
      <c r="L242" s="251"/>
      <c r="M242" s="251"/>
      <c r="N242" s="251"/>
      <c r="O242" s="251"/>
      <c r="P242" s="256">
        <f t="shared" si="75"/>
        <v>0</v>
      </c>
      <c r="Q242" s="262"/>
      <c r="R242" s="262"/>
      <c r="S242" s="262"/>
      <c r="T242" s="262"/>
      <c r="U242" s="254">
        <f t="shared" si="77"/>
        <v>0</v>
      </c>
      <c r="V242" s="254">
        <f t="shared" si="78"/>
        <v>0</v>
      </c>
    </row>
    <row r="243" spans="1:22">
      <c r="A243" s="255">
        <f>IF($A$36="","",$A$36)</f>
        <v>45261</v>
      </c>
      <c r="B243" s="251"/>
      <c r="C243" s="251"/>
      <c r="D243" s="251"/>
      <c r="E243" s="251"/>
      <c r="F243" s="251"/>
      <c r="G243" s="252">
        <f t="shared" si="76"/>
        <v>0</v>
      </c>
      <c r="H243" s="251"/>
      <c r="I243" s="251"/>
      <c r="J243" s="251"/>
      <c r="K243" s="251"/>
      <c r="L243" s="251"/>
      <c r="M243" s="251"/>
      <c r="N243" s="251"/>
      <c r="O243" s="251"/>
      <c r="P243" s="256">
        <f t="shared" si="75"/>
        <v>0</v>
      </c>
      <c r="Q243" s="262"/>
      <c r="R243" s="262"/>
      <c r="S243" s="262"/>
      <c r="T243" s="262"/>
      <c r="U243" s="254">
        <f t="shared" si="77"/>
        <v>0</v>
      </c>
      <c r="V243" s="254">
        <f t="shared" si="78"/>
        <v>0</v>
      </c>
    </row>
    <row r="244" spans="1:22">
      <c r="A244" s="255">
        <f>IF($A$37="","",$A$37)</f>
        <v>45292</v>
      </c>
      <c r="B244" s="251"/>
      <c r="C244" s="251"/>
      <c r="D244" s="251"/>
      <c r="E244" s="251"/>
      <c r="F244" s="251"/>
      <c r="G244" s="252">
        <f t="shared" si="76"/>
        <v>0</v>
      </c>
      <c r="H244" s="251"/>
      <c r="I244" s="251"/>
      <c r="J244" s="251"/>
      <c r="K244" s="251"/>
      <c r="L244" s="251"/>
      <c r="M244" s="251"/>
      <c r="N244" s="251"/>
      <c r="O244" s="251"/>
      <c r="P244" s="256">
        <f t="shared" si="75"/>
        <v>0</v>
      </c>
      <c r="Q244" s="262"/>
      <c r="R244" s="262"/>
      <c r="S244" s="262"/>
      <c r="T244" s="262"/>
      <c r="U244" s="254">
        <f t="shared" si="77"/>
        <v>0</v>
      </c>
      <c r="V244" s="254">
        <f t="shared" si="78"/>
        <v>0</v>
      </c>
    </row>
    <row r="245" spans="1:22">
      <c r="A245" s="255">
        <f>IF($A$38="","",$A$38)</f>
        <v>45323</v>
      </c>
      <c r="B245" s="251"/>
      <c r="C245" s="251"/>
      <c r="D245" s="251"/>
      <c r="E245" s="251"/>
      <c r="F245" s="251"/>
      <c r="G245" s="252">
        <f t="shared" si="76"/>
        <v>0</v>
      </c>
      <c r="H245" s="251"/>
      <c r="I245" s="251"/>
      <c r="J245" s="251"/>
      <c r="K245" s="251"/>
      <c r="L245" s="251"/>
      <c r="M245" s="251"/>
      <c r="N245" s="251"/>
      <c r="O245" s="251"/>
      <c r="P245" s="256">
        <f t="shared" si="75"/>
        <v>0</v>
      </c>
      <c r="Q245" s="262"/>
      <c r="R245" s="262"/>
      <c r="S245" s="262"/>
      <c r="T245" s="262"/>
      <c r="U245" s="254">
        <f t="shared" si="77"/>
        <v>0</v>
      </c>
      <c r="V245" s="254">
        <f t="shared" si="78"/>
        <v>0</v>
      </c>
    </row>
    <row r="246" spans="1:22">
      <c r="A246" s="245" t="s">
        <v>524</v>
      </c>
      <c r="B246" s="254">
        <f t="shared" ref="B246:I246" si="79">+SUM(B234:B245)</f>
        <v>0</v>
      </c>
      <c r="C246" s="254">
        <f t="shared" si="79"/>
        <v>0</v>
      </c>
      <c r="D246" s="254">
        <f t="shared" si="79"/>
        <v>0</v>
      </c>
      <c r="E246" s="254">
        <f t="shared" si="79"/>
        <v>0</v>
      </c>
      <c r="F246" s="254">
        <f t="shared" si="79"/>
        <v>0</v>
      </c>
      <c r="G246" s="254">
        <f t="shared" si="79"/>
        <v>0</v>
      </c>
      <c r="H246" s="254">
        <f t="shared" si="79"/>
        <v>0</v>
      </c>
      <c r="I246" s="254">
        <f t="shared" si="79"/>
        <v>0</v>
      </c>
      <c r="J246" s="254">
        <f t="shared" ref="J246:O246" si="80">+SUM(J234:J245)</f>
        <v>0</v>
      </c>
      <c r="K246" s="254">
        <f t="shared" si="80"/>
        <v>0</v>
      </c>
      <c r="L246" s="254">
        <f t="shared" si="80"/>
        <v>0</v>
      </c>
      <c r="M246" s="254">
        <f t="shared" si="80"/>
        <v>0</v>
      </c>
      <c r="N246" s="254">
        <f t="shared" si="80"/>
        <v>0</v>
      </c>
      <c r="O246" s="254">
        <f t="shared" si="80"/>
        <v>0</v>
      </c>
      <c r="P246" s="254">
        <f t="shared" ref="P246:V246" si="81">+SUM(P234:P245)</f>
        <v>0</v>
      </c>
      <c r="Q246" s="254">
        <f t="shared" si="81"/>
        <v>0</v>
      </c>
      <c r="R246" s="254">
        <f t="shared" si="81"/>
        <v>0</v>
      </c>
      <c r="S246" s="254">
        <f t="shared" si="81"/>
        <v>0</v>
      </c>
      <c r="T246" s="254">
        <f t="shared" si="81"/>
        <v>0</v>
      </c>
      <c r="U246" s="254">
        <f t="shared" si="81"/>
        <v>0</v>
      </c>
      <c r="V246" s="254">
        <f t="shared" si="81"/>
        <v>0</v>
      </c>
    </row>
    <row r="247" spans="1:22">
      <c r="A247" s="245" t="s">
        <v>525</v>
      </c>
      <c r="B247" s="254">
        <f>IFERROR(B246/(COUNTA(A234:A245)-COUNTIF(A234:A245,"")),0)</f>
        <v>0</v>
      </c>
      <c r="C247" s="254">
        <f>IFERROR(C246/(COUNTA(A234:A245)-COUNTIF(A234:A245,"")),0)</f>
        <v>0</v>
      </c>
      <c r="D247" s="254">
        <f>IFERROR(D246/(COUNTA(A234:A245)-COUNTIF(A234:A245,"")),0)</f>
        <v>0</v>
      </c>
      <c r="E247" s="254">
        <f>IFERROR(E246/(COUNTA(A234:A245)-COUNTIF(A234:A245,"")),0)</f>
        <v>0</v>
      </c>
      <c r="F247" s="254">
        <f>IFERROR(F246/(COUNTA(A234:A245)-COUNTIF(A234:A245,"")),0)</f>
        <v>0</v>
      </c>
      <c r="G247" s="254">
        <f>IFERROR(G246/(COUNTA(A234:A245)-COUNTIF(A234:A245,"")),0)</f>
        <v>0</v>
      </c>
      <c r="H247" s="254">
        <f>IFERROR(H246/(COUNTA(A234:A245)-COUNTIF(A234:A245,"")),0)</f>
        <v>0</v>
      </c>
      <c r="I247" s="254">
        <f>IFERROR(I246/(COUNTA(A234:A245)-COUNTIF(A234:A245,"")),0)</f>
        <v>0</v>
      </c>
      <c r="J247" s="254">
        <f>IFERROR(J246/(COUNTA(A234:A245)-COUNTIF(A234:A245,"")),0)</f>
        <v>0</v>
      </c>
      <c r="K247" s="254">
        <f>IFERROR(K246/(COUNTA(A234:A245)-COUNTIF(A234:A245,"")),0)</f>
        <v>0</v>
      </c>
      <c r="L247" s="254">
        <f>IFERROR(L246/(COUNTA(A234:A245)-COUNTIF(A234:A245,"")),0)</f>
        <v>0</v>
      </c>
      <c r="M247" s="254">
        <f>IFERROR(M246/(COUNTA(A234:A245)-COUNTIF(A234:A245,"")),0)</f>
        <v>0</v>
      </c>
      <c r="N247" s="254">
        <f>IFERROR(N246/(COUNTA(A234:A245)-COUNTIF(A234:A245,"")),0)</f>
        <v>0</v>
      </c>
      <c r="O247" s="254">
        <f>IFERROR(O246/(COUNTA(A234:A245)-COUNTIF(A234:A245,"")),0)</f>
        <v>0</v>
      </c>
      <c r="P247" s="254">
        <f>IFERROR(P246/(COUNTA(A234:A245)-COUNTIF(A234:A245,"")),0)</f>
        <v>0</v>
      </c>
      <c r="Q247" s="259"/>
      <c r="R247" s="259"/>
      <c r="S247" s="246">
        <f>IFERROR(R246/S246*100,0)</f>
        <v>0</v>
      </c>
      <c r="T247" s="246">
        <f>IFERROR(Q246/T246*100,0)</f>
        <v>0</v>
      </c>
      <c r="U247" s="254">
        <f>IFERROR(U246/COUNTA(A234:A245),0)</f>
        <v>0</v>
      </c>
      <c r="V247" s="254">
        <f>IFERROR(V246/COUNTA(A234:A245),0)</f>
        <v>0</v>
      </c>
    </row>
    <row r="248" spans="1:22" ht="38.25">
      <c r="A248" s="245" t="s">
        <v>526</v>
      </c>
      <c r="B248" s="254">
        <f>O231+B247</f>
        <v>0</v>
      </c>
      <c r="C248" s="254">
        <f>O231+C247</f>
        <v>0</v>
      </c>
      <c r="D248" s="254">
        <f>O231+D247</f>
        <v>0</v>
      </c>
      <c r="E248" s="254"/>
      <c r="F248" s="254"/>
      <c r="G248" s="254">
        <f>O231+G247</f>
        <v>0</v>
      </c>
      <c r="H248" s="254"/>
      <c r="I248" s="254"/>
      <c r="J248" s="254"/>
      <c r="K248" s="254"/>
      <c r="L248" s="254"/>
      <c r="M248" s="254"/>
      <c r="N248" s="254"/>
      <c r="O248" s="254"/>
      <c r="P248" s="254"/>
      <c r="Q248" s="259"/>
      <c r="R248" s="259"/>
      <c r="S248" s="260" t="s">
        <v>527</v>
      </c>
      <c r="T248" s="260" t="s">
        <v>528</v>
      </c>
      <c r="U248" s="260"/>
      <c r="V248" s="260"/>
    </row>
    <row r="249" spans="1:22"/>
    <row r="250" spans="1:22"/>
    <row r="251" spans="1:22"/>
    <row r="252" spans="1:22" ht="12.75" customHeight="1">
      <c r="A252" s="432" t="s">
        <v>504</v>
      </c>
      <c r="B252" s="432"/>
      <c r="C252" s="437"/>
      <c r="D252" s="438"/>
      <c r="E252" s="438"/>
      <c r="F252" s="438"/>
      <c r="G252" s="438"/>
      <c r="H252" s="438"/>
      <c r="I252" s="438"/>
      <c r="J252" s="438"/>
      <c r="K252" s="438"/>
      <c r="L252" s="438"/>
      <c r="M252" s="438"/>
      <c r="N252" s="438"/>
      <c r="O252" s="438"/>
      <c r="P252" s="438"/>
      <c r="Q252" s="438"/>
      <c r="R252" s="438"/>
      <c r="S252" s="438"/>
      <c r="T252" s="439"/>
      <c r="U252" s="247"/>
      <c r="V252" s="247"/>
    </row>
    <row r="253" spans="1:22" ht="12.75" customHeight="1">
      <c r="A253" s="432" t="s">
        <v>530</v>
      </c>
      <c r="B253" s="432"/>
      <c r="C253" s="440"/>
      <c r="D253" s="440"/>
      <c r="E253" s="440"/>
      <c r="F253" s="440"/>
      <c r="G253" s="440"/>
      <c r="H253" s="441" t="s">
        <v>532</v>
      </c>
      <c r="I253" s="441"/>
      <c r="J253" s="440"/>
      <c r="K253" s="440"/>
      <c r="L253" s="440"/>
      <c r="M253" s="440"/>
      <c r="N253" s="440"/>
      <c r="O253" s="440"/>
      <c r="P253" s="440"/>
      <c r="Q253" s="440"/>
      <c r="R253" s="440"/>
      <c r="S253" s="440"/>
      <c r="T253" s="440"/>
      <c r="U253" s="247"/>
      <c r="V253" s="247"/>
    </row>
    <row r="254" spans="1:22" ht="25.5" customHeight="1">
      <c r="A254" s="432" t="s">
        <v>533</v>
      </c>
      <c r="B254" s="432"/>
      <c r="C254" s="437"/>
      <c r="D254" s="439"/>
      <c r="E254" s="249" t="s">
        <v>535</v>
      </c>
      <c r="F254" s="442"/>
      <c r="G254" s="443"/>
      <c r="H254" s="443"/>
      <c r="I254" s="444"/>
      <c r="J254" s="249" t="s">
        <v>537</v>
      </c>
      <c r="K254" s="442"/>
      <c r="L254" s="443"/>
      <c r="M254" s="444"/>
      <c r="N254" s="248" t="s">
        <v>538</v>
      </c>
      <c r="O254" s="445"/>
      <c r="P254" s="446"/>
      <c r="Q254" s="446"/>
      <c r="R254" s="446"/>
      <c r="S254" s="446"/>
      <c r="T254" s="447"/>
      <c r="U254" s="261"/>
      <c r="V254" s="261"/>
    </row>
    <row r="255" spans="1:22" ht="38.25" customHeight="1">
      <c r="A255" s="239" t="s">
        <v>161</v>
      </c>
      <c r="B255" s="434" t="s">
        <v>539</v>
      </c>
      <c r="C255" s="434"/>
      <c r="D255" s="434"/>
      <c r="E255" s="240" t="s">
        <v>540</v>
      </c>
      <c r="F255" s="240" t="s">
        <v>541</v>
      </c>
      <c r="G255" s="239" t="s">
        <v>542</v>
      </c>
      <c r="H255" s="239" t="s">
        <v>543</v>
      </c>
      <c r="I255" s="239" t="s">
        <v>544</v>
      </c>
      <c r="J255" s="240" t="s">
        <v>545</v>
      </c>
      <c r="K255" s="240" t="s">
        <v>546</v>
      </c>
      <c r="L255" s="435" t="s">
        <v>547</v>
      </c>
      <c r="M255" s="436"/>
      <c r="N255" s="435" t="s">
        <v>548</v>
      </c>
      <c r="O255" s="436"/>
      <c r="P255" s="239" t="s">
        <v>549</v>
      </c>
      <c r="Q255" s="239" t="s">
        <v>516</v>
      </c>
      <c r="R255" s="239" t="s">
        <v>517</v>
      </c>
      <c r="S255" s="239" t="s">
        <v>518</v>
      </c>
      <c r="T255" s="239" t="s">
        <v>519</v>
      </c>
      <c r="U255" s="239" t="s">
        <v>550</v>
      </c>
      <c r="V255" s="239" t="s">
        <v>551</v>
      </c>
    </row>
    <row r="256" spans="1:22">
      <c r="A256" s="239"/>
      <c r="B256" s="239">
        <v>10</v>
      </c>
      <c r="C256" s="239">
        <v>20</v>
      </c>
      <c r="D256" s="239">
        <v>30</v>
      </c>
      <c r="E256" s="239"/>
      <c r="F256" s="239"/>
      <c r="G256" s="239"/>
      <c r="H256" s="239"/>
      <c r="I256" s="239"/>
      <c r="J256" s="239"/>
      <c r="K256" s="239"/>
      <c r="L256" s="239" t="s">
        <v>522</v>
      </c>
      <c r="M256" s="239" t="s">
        <v>523</v>
      </c>
      <c r="N256" s="239" t="s">
        <v>522</v>
      </c>
      <c r="O256" s="239" t="s">
        <v>523</v>
      </c>
      <c r="P256" s="239"/>
      <c r="Q256" s="239"/>
      <c r="R256" s="239"/>
      <c r="S256" s="239"/>
      <c r="T256" s="239"/>
      <c r="U256" s="239"/>
      <c r="V256" s="239"/>
    </row>
    <row r="257" spans="1:22">
      <c r="A257" s="255">
        <f>IF($A$27="","",$A$27)</f>
        <v>44986</v>
      </c>
      <c r="B257" s="251"/>
      <c r="C257" s="251"/>
      <c r="D257" s="251"/>
      <c r="E257" s="251"/>
      <c r="F257" s="251"/>
      <c r="G257" s="252">
        <f>IFERROR(AVERAGE(B257:D257),0)</f>
        <v>0</v>
      </c>
      <c r="H257" s="251"/>
      <c r="I257" s="251"/>
      <c r="J257" s="251"/>
      <c r="K257" s="251"/>
      <c r="L257" s="251"/>
      <c r="M257" s="251"/>
      <c r="N257" s="251"/>
      <c r="O257" s="251"/>
      <c r="P257" s="256">
        <f t="shared" ref="P257:P268" si="82">+H257-I257-J257-M257+L257</f>
        <v>0</v>
      </c>
      <c r="Q257" s="262"/>
      <c r="R257" s="262"/>
      <c r="S257" s="262"/>
      <c r="T257" s="262"/>
      <c r="U257" s="254">
        <f>H257-J257-M257</f>
        <v>0</v>
      </c>
      <c r="V257" s="254">
        <f>I257-L257</f>
        <v>0</v>
      </c>
    </row>
    <row r="258" spans="1:22">
      <c r="A258" s="255">
        <f>IF($A$28="","",$A$28)</f>
        <v>45017</v>
      </c>
      <c r="B258" s="251"/>
      <c r="C258" s="251"/>
      <c r="D258" s="251"/>
      <c r="E258" s="251"/>
      <c r="F258" s="251"/>
      <c r="G258" s="252">
        <f t="shared" ref="G258:G268" si="83">IFERROR(AVERAGE(B258:D258),0)</f>
        <v>0</v>
      </c>
      <c r="H258" s="251"/>
      <c r="I258" s="251"/>
      <c r="J258" s="251"/>
      <c r="K258" s="251"/>
      <c r="L258" s="251"/>
      <c r="M258" s="251"/>
      <c r="N258" s="251"/>
      <c r="O258" s="251"/>
      <c r="P258" s="256">
        <f t="shared" si="82"/>
        <v>0</v>
      </c>
      <c r="Q258" s="262"/>
      <c r="R258" s="262"/>
      <c r="S258" s="262"/>
      <c r="T258" s="262"/>
      <c r="U258" s="254">
        <f t="shared" ref="U258:U268" si="84">H258-J258-M258</f>
        <v>0</v>
      </c>
      <c r="V258" s="254">
        <f t="shared" ref="V258:V268" si="85">I258-L258</f>
        <v>0</v>
      </c>
    </row>
    <row r="259" spans="1:22">
      <c r="A259" s="255">
        <f>IF($A$29="","",$A$29)</f>
        <v>45047</v>
      </c>
      <c r="B259" s="251"/>
      <c r="C259" s="251"/>
      <c r="D259" s="251"/>
      <c r="E259" s="251"/>
      <c r="F259" s="251"/>
      <c r="G259" s="252">
        <f t="shared" si="83"/>
        <v>0</v>
      </c>
      <c r="H259" s="251"/>
      <c r="I259" s="251"/>
      <c r="J259" s="251"/>
      <c r="K259" s="251"/>
      <c r="L259" s="251"/>
      <c r="M259" s="251"/>
      <c r="N259" s="251"/>
      <c r="O259" s="251"/>
      <c r="P259" s="256">
        <f t="shared" si="82"/>
        <v>0</v>
      </c>
      <c r="Q259" s="262"/>
      <c r="R259" s="262"/>
      <c r="S259" s="262"/>
      <c r="T259" s="262"/>
      <c r="U259" s="254">
        <f t="shared" si="84"/>
        <v>0</v>
      </c>
      <c r="V259" s="254">
        <f t="shared" si="85"/>
        <v>0</v>
      </c>
    </row>
    <row r="260" spans="1:22">
      <c r="A260" s="255">
        <f>IF($A$30="","",$A$30)</f>
        <v>45078</v>
      </c>
      <c r="B260" s="251"/>
      <c r="C260" s="251"/>
      <c r="D260" s="251"/>
      <c r="E260" s="251"/>
      <c r="F260" s="251"/>
      <c r="G260" s="252">
        <f t="shared" si="83"/>
        <v>0</v>
      </c>
      <c r="H260" s="251"/>
      <c r="I260" s="251"/>
      <c r="J260" s="251"/>
      <c r="K260" s="251"/>
      <c r="L260" s="251"/>
      <c r="M260" s="251"/>
      <c r="N260" s="251"/>
      <c r="O260" s="251"/>
      <c r="P260" s="256">
        <f t="shared" si="82"/>
        <v>0</v>
      </c>
      <c r="Q260" s="262"/>
      <c r="R260" s="262"/>
      <c r="S260" s="262"/>
      <c r="T260" s="262"/>
      <c r="U260" s="254">
        <f t="shared" si="84"/>
        <v>0</v>
      </c>
      <c r="V260" s="254">
        <f t="shared" si="85"/>
        <v>0</v>
      </c>
    </row>
    <row r="261" spans="1:22">
      <c r="A261" s="255">
        <f>IF($A$31="","",$A$31)</f>
        <v>45108</v>
      </c>
      <c r="B261" s="251"/>
      <c r="C261" s="251"/>
      <c r="D261" s="251"/>
      <c r="E261" s="251"/>
      <c r="F261" s="251"/>
      <c r="G261" s="252">
        <f t="shared" si="83"/>
        <v>0</v>
      </c>
      <c r="H261" s="251"/>
      <c r="I261" s="251"/>
      <c r="J261" s="251"/>
      <c r="K261" s="251"/>
      <c r="L261" s="251"/>
      <c r="M261" s="251"/>
      <c r="N261" s="251"/>
      <c r="O261" s="251"/>
      <c r="P261" s="256">
        <f t="shared" si="82"/>
        <v>0</v>
      </c>
      <c r="Q261" s="262"/>
      <c r="R261" s="262"/>
      <c r="S261" s="262"/>
      <c r="T261" s="262"/>
      <c r="U261" s="254">
        <f t="shared" si="84"/>
        <v>0</v>
      </c>
      <c r="V261" s="254">
        <f t="shared" si="85"/>
        <v>0</v>
      </c>
    </row>
    <row r="262" spans="1:22">
      <c r="A262" s="255">
        <f>IF($A$32="","",$A$32)</f>
        <v>45139</v>
      </c>
      <c r="B262" s="251"/>
      <c r="C262" s="251"/>
      <c r="D262" s="251"/>
      <c r="E262" s="251"/>
      <c r="F262" s="251"/>
      <c r="G262" s="252">
        <f t="shared" si="83"/>
        <v>0</v>
      </c>
      <c r="H262" s="251"/>
      <c r="I262" s="251"/>
      <c r="J262" s="251"/>
      <c r="K262" s="251"/>
      <c r="L262" s="251"/>
      <c r="M262" s="251"/>
      <c r="N262" s="251"/>
      <c r="O262" s="251"/>
      <c r="P262" s="256">
        <f t="shared" si="82"/>
        <v>0</v>
      </c>
      <c r="Q262" s="262"/>
      <c r="R262" s="262"/>
      <c r="S262" s="262"/>
      <c r="T262" s="262"/>
      <c r="U262" s="254">
        <f t="shared" si="84"/>
        <v>0</v>
      </c>
      <c r="V262" s="254">
        <f t="shared" si="85"/>
        <v>0</v>
      </c>
    </row>
    <row r="263" spans="1:22">
      <c r="A263" s="255">
        <f>IF($A$33="","",$A$33)</f>
        <v>45170</v>
      </c>
      <c r="B263" s="251"/>
      <c r="C263" s="251"/>
      <c r="D263" s="251"/>
      <c r="E263" s="251"/>
      <c r="F263" s="251"/>
      <c r="G263" s="252">
        <f t="shared" si="83"/>
        <v>0</v>
      </c>
      <c r="H263" s="251"/>
      <c r="I263" s="251"/>
      <c r="J263" s="251"/>
      <c r="K263" s="251"/>
      <c r="L263" s="251"/>
      <c r="M263" s="251"/>
      <c r="N263" s="251"/>
      <c r="O263" s="251"/>
      <c r="P263" s="256">
        <f t="shared" si="82"/>
        <v>0</v>
      </c>
      <c r="Q263" s="262"/>
      <c r="R263" s="262"/>
      <c r="S263" s="262"/>
      <c r="T263" s="262"/>
      <c r="U263" s="254">
        <f t="shared" si="84"/>
        <v>0</v>
      </c>
      <c r="V263" s="254">
        <f t="shared" si="85"/>
        <v>0</v>
      </c>
    </row>
    <row r="264" spans="1:22">
      <c r="A264" s="255">
        <f>IF($A$34="","",$A$34)</f>
        <v>45200</v>
      </c>
      <c r="B264" s="251"/>
      <c r="C264" s="251"/>
      <c r="D264" s="251"/>
      <c r="E264" s="251"/>
      <c r="F264" s="251"/>
      <c r="G264" s="252">
        <f t="shared" si="83"/>
        <v>0</v>
      </c>
      <c r="H264" s="251"/>
      <c r="I264" s="251"/>
      <c r="J264" s="251"/>
      <c r="K264" s="251"/>
      <c r="L264" s="251"/>
      <c r="M264" s="251"/>
      <c r="N264" s="251"/>
      <c r="O264" s="251"/>
      <c r="P264" s="256">
        <f t="shared" si="82"/>
        <v>0</v>
      </c>
      <c r="Q264" s="262"/>
      <c r="R264" s="262"/>
      <c r="S264" s="262"/>
      <c r="T264" s="262"/>
      <c r="U264" s="254">
        <f t="shared" si="84"/>
        <v>0</v>
      </c>
      <c r="V264" s="254">
        <f t="shared" si="85"/>
        <v>0</v>
      </c>
    </row>
    <row r="265" spans="1:22">
      <c r="A265" s="255">
        <f>IF($A$35="","",$A$35)</f>
        <v>45231</v>
      </c>
      <c r="B265" s="251"/>
      <c r="C265" s="251"/>
      <c r="D265" s="251"/>
      <c r="E265" s="251"/>
      <c r="F265" s="251"/>
      <c r="G265" s="252">
        <f t="shared" si="83"/>
        <v>0</v>
      </c>
      <c r="H265" s="251"/>
      <c r="I265" s="251"/>
      <c r="J265" s="251"/>
      <c r="K265" s="251"/>
      <c r="L265" s="251"/>
      <c r="M265" s="251"/>
      <c r="N265" s="251"/>
      <c r="O265" s="251"/>
      <c r="P265" s="256">
        <f t="shared" si="82"/>
        <v>0</v>
      </c>
      <c r="Q265" s="262"/>
      <c r="R265" s="262"/>
      <c r="S265" s="262"/>
      <c r="T265" s="262"/>
      <c r="U265" s="254">
        <f t="shared" si="84"/>
        <v>0</v>
      </c>
      <c r="V265" s="254">
        <f t="shared" si="85"/>
        <v>0</v>
      </c>
    </row>
    <row r="266" spans="1:22">
      <c r="A266" s="255">
        <f>IF($A$36="","",$A$36)</f>
        <v>45261</v>
      </c>
      <c r="B266" s="251"/>
      <c r="C266" s="251"/>
      <c r="D266" s="251"/>
      <c r="E266" s="251"/>
      <c r="F266" s="251"/>
      <c r="G266" s="252">
        <f t="shared" si="83"/>
        <v>0</v>
      </c>
      <c r="H266" s="251"/>
      <c r="I266" s="251"/>
      <c r="J266" s="251"/>
      <c r="K266" s="251"/>
      <c r="L266" s="251"/>
      <c r="M266" s="251"/>
      <c r="N266" s="251"/>
      <c r="O266" s="251"/>
      <c r="P266" s="256">
        <f t="shared" si="82"/>
        <v>0</v>
      </c>
      <c r="Q266" s="262"/>
      <c r="R266" s="262"/>
      <c r="S266" s="262"/>
      <c r="T266" s="262"/>
      <c r="U266" s="254">
        <f t="shared" si="84"/>
        <v>0</v>
      </c>
      <c r="V266" s="254">
        <f t="shared" si="85"/>
        <v>0</v>
      </c>
    </row>
    <row r="267" spans="1:22">
      <c r="A267" s="255">
        <f>IF($A$37="","",$A$37)</f>
        <v>45292</v>
      </c>
      <c r="B267" s="251"/>
      <c r="C267" s="251"/>
      <c r="D267" s="251"/>
      <c r="E267" s="251"/>
      <c r="F267" s="251"/>
      <c r="G267" s="252">
        <f t="shared" si="83"/>
        <v>0</v>
      </c>
      <c r="H267" s="251"/>
      <c r="I267" s="251"/>
      <c r="J267" s="251"/>
      <c r="K267" s="251"/>
      <c r="L267" s="251"/>
      <c r="M267" s="251"/>
      <c r="N267" s="251"/>
      <c r="O267" s="251"/>
      <c r="P267" s="256">
        <f t="shared" si="82"/>
        <v>0</v>
      </c>
      <c r="Q267" s="262"/>
      <c r="R267" s="262"/>
      <c r="S267" s="262"/>
      <c r="T267" s="262"/>
      <c r="U267" s="254">
        <f t="shared" si="84"/>
        <v>0</v>
      </c>
      <c r="V267" s="254">
        <f t="shared" si="85"/>
        <v>0</v>
      </c>
    </row>
    <row r="268" spans="1:22">
      <c r="A268" s="255">
        <f>IF($A$38="","",$A$38)</f>
        <v>45323</v>
      </c>
      <c r="B268" s="251"/>
      <c r="C268" s="251"/>
      <c r="D268" s="251"/>
      <c r="E268" s="251"/>
      <c r="F268" s="251"/>
      <c r="G268" s="252">
        <f t="shared" si="83"/>
        <v>0</v>
      </c>
      <c r="H268" s="251"/>
      <c r="I268" s="251"/>
      <c r="J268" s="251"/>
      <c r="K268" s="251"/>
      <c r="L268" s="251"/>
      <c r="M268" s="251"/>
      <c r="N268" s="251"/>
      <c r="O268" s="251"/>
      <c r="P268" s="256">
        <f t="shared" si="82"/>
        <v>0</v>
      </c>
      <c r="Q268" s="262"/>
      <c r="R268" s="262"/>
      <c r="S268" s="262"/>
      <c r="T268" s="262"/>
      <c r="U268" s="254">
        <f t="shared" si="84"/>
        <v>0</v>
      </c>
      <c r="V268" s="254">
        <f t="shared" si="85"/>
        <v>0</v>
      </c>
    </row>
    <row r="269" spans="1:22">
      <c r="A269" s="245" t="s">
        <v>524</v>
      </c>
      <c r="B269" s="254">
        <f t="shared" ref="B269:I269" si="86">+SUM(B257:B268)</f>
        <v>0</v>
      </c>
      <c r="C269" s="254">
        <f t="shared" si="86"/>
        <v>0</v>
      </c>
      <c r="D269" s="254">
        <f t="shared" si="86"/>
        <v>0</v>
      </c>
      <c r="E269" s="254">
        <f t="shared" si="86"/>
        <v>0</v>
      </c>
      <c r="F269" s="254">
        <f t="shared" si="86"/>
        <v>0</v>
      </c>
      <c r="G269" s="254">
        <f t="shared" si="86"/>
        <v>0</v>
      </c>
      <c r="H269" s="254">
        <f t="shared" si="86"/>
        <v>0</v>
      </c>
      <c r="I269" s="254">
        <f t="shared" si="86"/>
        <v>0</v>
      </c>
      <c r="J269" s="254">
        <f t="shared" ref="J269:O269" si="87">+SUM(J257:J268)</f>
        <v>0</v>
      </c>
      <c r="K269" s="254">
        <f t="shared" si="87"/>
        <v>0</v>
      </c>
      <c r="L269" s="254">
        <f t="shared" si="87"/>
        <v>0</v>
      </c>
      <c r="M269" s="254">
        <f t="shared" si="87"/>
        <v>0</v>
      </c>
      <c r="N269" s="254">
        <f t="shared" si="87"/>
        <v>0</v>
      </c>
      <c r="O269" s="254">
        <f t="shared" si="87"/>
        <v>0</v>
      </c>
      <c r="P269" s="254">
        <f t="shared" ref="P269:V269" si="88">+SUM(P257:P268)</f>
        <v>0</v>
      </c>
      <c r="Q269" s="254">
        <f t="shared" si="88"/>
        <v>0</v>
      </c>
      <c r="R269" s="254">
        <f t="shared" si="88"/>
        <v>0</v>
      </c>
      <c r="S269" s="254">
        <f t="shared" si="88"/>
        <v>0</v>
      </c>
      <c r="T269" s="254">
        <f t="shared" si="88"/>
        <v>0</v>
      </c>
      <c r="U269" s="254">
        <f t="shared" si="88"/>
        <v>0</v>
      </c>
      <c r="V269" s="254">
        <f t="shared" si="88"/>
        <v>0</v>
      </c>
    </row>
    <row r="270" spans="1:22">
      <c r="A270" s="245" t="s">
        <v>525</v>
      </c>
      <c r="B270" s="254">
        <f>IFERROR(B269/(COUNTA(A257:A268)-COUNTIF(A257:A268,"")),0)</f>
        <v>0</v>
      </c>
      <c r="C270" s="254">
        <f>IFERROR(C269/(COUNTA(A257:A268)-COUNTIF(A257:A268,"")),0)</f>
        <v>0</v>
      </c>
      <c r="D270" s="254">
        <f>IFERROR(D269/(COUNTA(A257:A268)-COUNTIF(A257:A268,"")),0)</f>
        <v>0</v>
      </c>
      <c r="E270" s="254">
        <f>IFERROR(E269/(COUNTA(A257:A268)-COUNTIF(A257:A268,"")),0)</f>
        <v>0</v>
      </c>
      <c r="F270" s="254">
        <f>IFERROR(F269/(COUNTA(A257:A268)-COUNTIF(A257:A268,"")),0)</f>
        <v>0</v>
      </c>
      <c r="G270" s="254">
        <f>IFERROR(G269/(COUNTA(A257:A268)-COUNTIF(A257:A268,"")),0)</f>
        <v>0</v>
      </c>
      <c r="H270" s="254">
        <f>IFERROR(H269/(COUNTA(A257:A268)-COUNTIF(A257:A268,"")),0)</f>
        <v>0</v>
      </c>
      <c r="I270" s="254">
        <f>IFERROR(I269/(COUNTA(A257:A268)-COUNTIF(A257:A268,"")),0)</f>
        <v>0</v>
      </c>
      <c r="J270" s="254">
        <f>IFERROR(J269/(COUNTA(A257:A268)-COUNTIF(A257:A268,"")),0)</f>
        <v>0</v>
      </c>
      <c r="K270" s="254">
        <f>IFERROR(K269/(COUNTA(A257:A268)-COUNTIF(A257:A268,"")),0)</f>
        <v>0</v>
      </c>
      <c r="L270" s="254">
        <f>IFERROR(L269/(COUNTA(A257:A268)-COUNTIF(A257:A268,"")),0)</f>
        <v>0</v>
      </c>
      <c r="M270" s="254">
        <f>IFERROR(M269/(COUNTA(A257:A268)-COUNTIF(A257:A268,"")),0)</f>
        <v>0</v>
      </c>
      <c r="N270" s="254">
        <f>IFERROR(N269/(COUNTA(A257:A268)-COUNTIF(A257:A268,"")),0)</f>
        <v>0</v>
      </c>
      <c r="O270" s="254">
        <f>IFERROR(O269/(COUNTA(A257:A268)-COUNTIF(A257:A268,"")),0)</f>
        <v>0</v>
      </c>
      <c r="P270" s="254">
        <f>IFERROR(P269/(COUNTA(A257:A268)-COUNTIF(A257:A268,"")),0)</f>
        <v>0</v>
      </c>
      <c r="Q270" s="259"/>
      <c r="R270" s="259"/>
      <c r="S270" s="246">
        <f>IFERROR(R269/S269*100,0)</f>
        <v>0</v>
      </c>
      <c r="T270" s="246">
        <f>IFERROR(Q269/T269*100,0)</f>
        <v>0</v>
      </c>
      <c r="U270" s="254">
        <f>IFERROR(U269/COUNTA(A257:A268),0)</f>
        <v>0</v>
      </c>
      <c r="V270" s="254">
        <f>IFERROR(V269/COUNTA(A257:A268),0)</f>
        <v>0</v>
      </c>
    </row>
    <row r="271" spans="1:22" ht="38.25">
      <c r="A271" s="245" t="s">
        <v>526</v>
      </c>
      <c r="B271" s="254">
        <f>O254+B270</f>
        <v>0</v>
      </c>
      <c r="C271" s="254">
        <f>O254+C270</f>
        <v>0</v>
      </c>
      <c r="D271" s="254">
        <f>O254+D270</f>
        <v>0</v>
      </c>
      <c r="E271" s="254"/>
      <c r="F271" s="254"/>
      <c r="G271" s="254">
        <f>O254+G270</f>
        <v>0</v>
      </c>
      <c r="H271" s="254"/>
      <c r="I271" s="254"/>
      <c r="J271" s="254"/>
      <c r="K271" s="254"/>
      <c r="L271" s="254"/>
      <c r="M271" s="254"/>
      <c r="N271" s="254"/>
      <c r="O271" s="254"/>
      <c r="P271" s="254"/>
      <c r="Q271" s="259"/>
      <c r="R271" s="259"/>
      <c r="S271" s="260" t="s">
        <v>527</v>
      </c>
      <c r="T271" s="260" t="s">
        <v>528</v>
      </c>
      <c r="U271" s="260"/>
      <c r="V271" s="260"/>
    </row>
    <row r="272" spans="1:22"/>
    <row r="273" spans="1:22"/>
    <row r="274" spans="1:22"/>
    <row r="275" spans="1:22" ht="12.75" customHeight="1">
      <c r="A275" s="432" t="s">
        <v>504</v>
      </c>
      <c r="B275" s="432"/>
      <c r="C275" s="437"/>
      <c r="D275" s="438"/>
      <c r="E275" s="438"/>
      <c r="F275" s="438"/>
      <c r="G275" s="438"/>
      <c r="H275" s="438"/>
      <c r="I275" s="438"/>
      <c r="J275" s="438"/>
      <c r="K275" s="438"/>
      <c r="L275" s="438"/>
      <c r="M275" s="438"/>
      <c r="N275" s="438"/>
      <c r="O275" s="438"/>
      <c r="P275" s="438"/>
      <c r="Q275" s="438"/>
      <c r="R275" s="438"/>
      <c r="S275" s="438"/>
      <c r="T275" s="439"/>
      <c r="U275" s="247"/>
      <c r="V275" s="247"/>
    </row>
    <row r="276" spans="1:22" ht="12.75" customHeight="1">
      <c r="A276" s="432" t="s">
        <v>530</v>
      </c>
      <c r="B276" s="432"/>
      <c r="C276" s="440"/>
      <c r="D276" s="440"/>
      <c r="E276" s="440"/>
      <c r="F276" s="440"/>
      <c r="G276" s="440"/>
      <c r="H276" s="441" t="s">
        <v>532</v>
      </c>
      <c r="I276" s="441"/>
      <c r="J276" s="440"/>
      <c r="K276" s="440"/>
      <c r="L276" s="440"/>
      <c r="M276" s="440"/>
      <c r="N276" s="440"/>
      <c r="O276" s="440"/>
      <c r="P276" s="440"/>
      <c r="Q276" s="440"/>
      <c r="R276" s="440"/>
      <c r="S276" s="440"/>
      <c r="T276" s="440"/>
      <c r="U276" s="247"/>
      <c r="V276" s="247"/>
    </row>
    <row r="277" spans="1:22" ht="25.5" customHeight="1">
      <c r="A277" s="432" t="s">
        <v>533</v>
      </c>
      <c r="B277" s="432"/>
      <c r="C277" s="437"/>
      <c r="D277" s="439"/>
      <c r="E277" s="249" t="s">
        <v>535</v>
      </c>
      <c r="F277" s="442"/>
      <c r="G277" s="443"/>
      <c r="H277" s="443"/>
      <c r="I277" s="444"/>
      <c r="J277" s="249" t="s">
        <v>537</v>
      </c>
      <c r="K277" s="442"/>
      <c r="L277" s="443"/>
      <c r="M277" s="444"/>
      <c r="N277" s="248" t="s">
        <v>538</v>
      </c>
      <c r="O277" s="445"/>
      <c r="P277" s="446"/>
      <c r="Q277" s="446"/>
      <c r="R277" s="446"/>
      <c r="S277" s="446"/>
      <c r="T277" s="447"/>
      <c r="U277" s="261"/>
      <c r="V277" s="261"/>
    </row>
    <row r="278" spans="1:22" ht="38.25" customHeight="1">
      <c r="A278" s="239" t="s">
        <v>161</v>
      </c>
      <c r="B278" s="434" t="s">
        <v>539</v>
      </c>
      <c r="C278" s="434"/>
      <c r="D278" s="434"/>
      <c r="E278" s="240" t="s">
        <v>540</v>
      </c>
      <c r="F278" s="240" t="s">
        <v>541</v>
      </c>
      <c r="G278" s="239" t="s">
        <v>542</v>
      </c>
      <c r="H278" s="239" t="s">
        <v>543</v>
      </c>
      <c r="I278" s="239" t="s">
        <v>544</v>
      </c>
      <c r="J278" s="240" t="s">
        <v>545</v>
      </c>
      <c r="K278" s="240" t="s">
        <v>546</v>
      </c>
      <c r="L278" s="435" t="s">
        <v>547</v>
      </c>
      <c r="M278" s="436"/>
      <c r="N278" s="435" t="s">
        <v>548</v>
      </c>
      <c r="O278" s="436"/>
      <c r="P278" s="239" t="s">
        <v>549</v>
      </c>
      <c r="Q278" s="239" t="s">
        <v>516</v>
      </c>
      <c r="R278" s="239" t="s">
        <v>517</v>
      </c>
      <c r="S278" s="239" t="s">
        <v>518</v>
      </c>
      <c r="T278" s="239" t="s">
        <v>519</v>
      </c>
      <c r="U278" s="239" t="s">
        <v>550</v>
      </c>
      <c r="V278" s="239" t="s">
        <v>551</v>
      </c>
    </row>
    <row r="279" spans="1:22">
      <c r="A279" s="239"/>
      <c r="B279" s="239">
        <v>10</v>
      </c>
      <c r="C279" s="239">
        <v>20</v>
      </c>
      <c r="D279" s="239">
        <v>30</v>
      </c>
      <c r="E279" s="239"/>
      <c r="F279" s="239"/>
      <c r="G279" s="239"/>
      <c r="H279" s="239"/>
      <c r="I279" s="239"/>
      <c r="J279" s="239"/>
      <c r="K279" s="239"/>
      <c r="L279" s="239" t="s">
        <v>522</v>
      </c>
      <c r="M279" s="239" t="s">
        <v>523</v>
      </c>
      <c r="N279" s="239" t="s">
        <v>522</v>
      </c>
      <c r="O279" s="239" t="s">
        <v>523</v>
      </c>
      <c r="P279" s="239"/>
      <c r="Q279" s="239"/>
      <c r="R279" s="239"/>
      <c r="S279" s="239"/>
      <c r="T279" s="239"/>
      <c r="U279" s="239"/>
      <c r="V279" s="239"/>
    </row>
    <row r="280" spans="1:22">
      <c r="A280" s="255">
        <f>IF($A$27="","",$A$27)</f>
        <v>44986</v>
      </c>
      <c r="B280" s="251"/>
      <c r="C280" s="251"/>
      <c r="D280" s="251"/>
      <c r="E280" s="251"/>
      <c r="F280" s="251"/>
      <c r="G280" s="252">
        <f>IFERROR(AVERAGE(B280:D280),0)</f>
        <v>0</v>
      </c>
      <c r="H280" s="251"/>
      <c r="I280" s="251"/>
      <c r="J280" s="251"/>
      <c r="K280" s="251"/>
      <c r="L280" s="251"/>
      <c r="M280" s="251"/>
      <c r="N280" s="251"/>
      <c r="O280" s="251"/>
      <c r="P280" s="256">
        <f t="shared" ref="P280:P291" si="89">+H280-I280-J280-M280+L280</f>
        <v>0</v>
      </c>
      <c r="Q280" s="262"/>
      <c r="R280" s="262"/>
      <c r="S280" s="262"/>
      <c r="T280" s="262"/>
      <c r="U280" s="254">
        <f>H280-J280-M280</f>
        <v>0</v>
      </c>
      <c r="V280" s="254">
        <f>I280-L280</f>
        <v>0</v>
      </c>
    </row>
    <row r="281" spans="1:22">
      <c r="A281" s="255">
        <f>IF($A$28="","",$A$28)</f>
        <v>45017</v>
      </c>
      <c r="B281" s="251"/>
      <c r="C281" s="251"/>
      <c r="D281" s="251"/>
      <c r="E281" s="251"/>
      <c r="F281" s="251"/>
      <c r="G281" s="252">
        <f t="shared" ref="G281:G291" si="90">IFERROR(AVERAGE(B281:D281),0)</f>
        <v>0</v>
      </c>
      <c r="H281" s="251"/>
      <c r="I281" s="251"/>
      <c r="J281" s="251"/>
      <c r="K281" s="251"/>
      <c r="L281" s="251"/>
      <c r="M281" s="251"/>
      <c r="N281" s="251"/>
      <c r="O281" s="251"/>
      <c r="P281" s="256">
        <f t="shared" si="89"/>
        <v>0</v>
      </c>
      <c r="Q281" s="262"/>
      <c r="R281" s="262"/>
      <c r="S281" s="262"/>
      <c r="T281" s="262"/>
      <c r="U281" s="254">
        <f t="shared" ref="U281:U291" si="91">H281-J281-M281</f>
        <v>0</v>
      </c>
      <c r="V281" s="254">
        <f t="shared" ref="V281:V291" si="92">I281-L281</f>
        <v>0</v>
      </c>
    </row>
    <row r="282" spans="1:22">
      <c r="A282" s="255">
        <f>IF($A$29="","",$A$29)</f>
        <v>45047</v>
      </c>
      <c r="B282" s="251"/>
      <c r="C282" s="251"/>
      <c r="D282" s="251"/>
      <c r="E282" s="251"/>
      <c r="F282" s="251"/>
      <c r="G282" s="252">
        <f t="shared" si="90"/>
        <v>0</v>
      </c>
      <c r="H282" s="251"/>
      <c r="I282" s="251"/>
      <c r="J282" s="251"/>
      <c r="K282" s="251"/>
      <c r="L282" s="251"/>
      <c r="M282" s="251"/>
      <c r="N282" s="251"/>
      <c r="O282" s="251"/>
      <c r="P282" s="256">
        <f t="shared" si="89"/>
        <v>0</v>
      </c>
      <c r="Q282" s="262"/>
      <c r="R282" s="262"/>
      <c r="S282" s="262"/>
      <c r="T282" s="262"/>
      <c r="U282" s="254">
        <f t="shared" si="91"/>
        <v>0</v>
      </c>
      <c r="V282" s="254">
        <f t="shared" si="92"/>
        <v>0</v>
      </c>
    </row>
    <row r="283" spans="1:22">
      <c r="A283" s="255">
        <f>IF($A$30="","",$A$30)</f>
        <v>45078</v>
      </c>
      <c r="B283" s="251"/>
      <c r="C283" s="251"/>
      <c r="D283" s="251"/>
      <c r="E283" s="251"/>
      <c r="F283" s="251"/>
      <c r="G283" s="252">
        <f t="shared" si="90"/>
        <v>0</v>
      </c>
      <c r="H283" s="251"/>
      <c r="I283" s="251"/>
      <c r="J283" s="251"/>
      <c r="K283" s="251"/>
      <c r="L283" s="251"/>
      <c r="M283" s="251"/>
      <c r="N283" s="251"/>
      <c r="O283" s="251"/>
      <c r="P283" s="256">
        <f t="shared" si="89"/>
        <v>0</v>
      </c>
      <c r="Q283" s="262"/>
      <c r="R283" s="262"/>
      <c r="S283" s="262"/>
      <c r="T283" s="262"/>
      <c r="U283" s="254">
        <f t="shared" si="91"/>
        <v>0</v>
      </c>
      <c r="V283" s="254">
        <f t="shared" si="92"/>
        <v>0</v>
      </c>
    </row>
    <row r="284" spans="1:22">
      <c r="A284" s="255">
        <f>IF($A$31="","",$A$31)</f>
        <v>45108</v>
      </c>
      <c r="B284" s="251"/>
      <c r="C284" s="251"/>
      <c r="D284" s="251"/>
      <c r="E284" s="251"/>
      <c r="F284" s="251"/>
      <c r="G284" s="252">
        <f t="shared" si="90"/>
        <v>0</v>
      </c>
      <c r="H284" s="251"/>
      <c r="I284" s="251"/>
      <c r="J284" s="251"/>
      <c r="K284" s="251"/>
      <c r="L284" s="251"/>
      <c r="M284" s="251"/>
      <c r="N284" s="251"/>
      <c r="O284" s="251"/>
      <c r="P284" s="256">
        <f t="shared" si="89"/>
        <v>0</v>
      </c>
      <c r="Q284" s="262"/>
      <c r="R284" s="262"/>
      <c r="S284" s="262"/>
      <c r="T284" s="262"/>
      <c r="U284" s="254">
        <f t="shared" si="91"/>
        <v>0</v>
      </c>
      <c r="V284" s="254">
        <f t="shared" si="92"/>
        <v>0</v>
      </c>
    </row>
    <row r="285" spans="1:22">
      <c r="A285" s="255">
        <f>IF($A$32="","",$A$32)</f>
        <v>45139</v>
      </c>
      <c r="B285" s="251"/>
      <c r="C285" s="251"/>
      <c r="D285" s="251"/>
      <c r="E285" s="251"/>
      <c r="F285" s="251"/>
      <c r="G285" s="252">
        <f t="shared" si="90"/>
        <v>0</v>
      </c>
      <c r="H285" s="251"/>
      <c r="I285" s="251"/>
      <c r="J285" s="251"/>
      <c r="K285" s="251"/>
      <c r="L285" s="251"/>
      <c r="M285" s="251"/>
      <c r="N285" s="251"/>
      <c r="O285" s="251"/>
      <c r="P285" s="256">
        <f t="shared" si="89"/>
        <v>0</v>
      </c>
      <c r="Q285" s="262"/>
      <c r="R285" s="262"/>
      <c r="S285" s="262"/>
      <c r="T285" s="262"/>
      <c r="U285" s="254">
        <f t="shared" si="91"/>
        <v>0</v>
      </c>
      <c r="V285" s="254">
        <f t="shared" si="92"/>
        <v>0</v>
      </c>
    </row>
    <row r="286" spans="1:22">
      <c r="A286" s="255">
        <f>IF($A$33="","",$A$33)</f>
        <v>45170</v>
      </c>
      <c r="B286" s="251"/>
      <c r="C286" s="251"/>
      <c r="D286" s="251"/>
      <c r="E286" s="251"/>
      <c r="F286" s="251"/>
      <c r="G286" s="252">
        <f t="shared" si="90"/>
        <v>0</v>
      </c>
      <c r="H286" s="251"/>
      <c r="I286" s="251"/>
      <c r="J286" s="251"/>
      <c r="K286" s="251"/>
      <c r="L286" s="251"/>
      <c r="M286" s="251"/>
      <c r="N286" s="251"/>
      <c r="O286" s="251"/>
      <c r="P286" s="256">
        <f t="shared" si="89"/>
        <v>0</v>
      </c>
      <c r="Q286" s="262"/>
      <c r="R286" s="262"/>
      <c r="S286" s="262"/>
      <c r="T286" s="262"/>
      <c r="U286" s="254">
        <f t="shared" si="91"/>
        <v>0</v>
      </c>
      <c r="V286" s="254">
        <f t="shared" si="92"/>
        <v>0</v>
      </c>
    </row>
    <row r="287" spans="1:22">
      <c r="A287" s="255">
        <f>IF($A$34="","",$A$34)</f>
        <v>45200</v>
      </c>
      <c r="B287" s="251"/>
      <c r="C287" s="251"/>
      <c r="D287" s="251"/>
      <c r="E287" s="251"/>
      <c r="F287" s="251"/>
      <c r="G287" s="252">
        <f t="shared" si="90"/>
        <v>0</v>
      </c>
      <c r="H287" s="251"/>
      <c r="I287" s="251"/>
      <c r="J287" s="251"/>
      <c r="K287" s="251"/>
      <c r="L287" s="251"/>
      <c r="M287" s="251"/>
      <c r="N287" s="251"/>
      <c r="O287" s="251"/>
      <c r="P287" s="256">
        <f t="shared" si="89"/>
        <v>0</v>
      </c>
      <c r="Q287" s="262"/>
      <c r="R287" s="262"/>
      <c r="S287" s="262"/>
      <c r="T287" s="262"/>
      <c r="U287" s="254">
        <f t="shared" si="91"/>
        <v>0</v>
      </c>
      <c r="V287" s="254">
        <f t="shared" si="92"/>
        <v>0</v>
      </c>
    </row>
    <row r="288" spans="1:22">
      <c r="A288" s="255">
        <f>IF($A$35="","",$A$35)</f>
        <v>45231</v>
      </c>
      <c r="B288" s="251"/>
      <c r="C288" s="251"/>
      <c r="D288" s="251"/>
      <c r="E288" s="251"/>
      <c r="F288" s="251"/>
      <c r="G288" s="252">
        <f t="shared" si="90"/>
        <v>0</v>
      </c>
      <c r="H288" s="251"/>
      <c r="I288" s="251"/>
      <c r="J288" s="251"/>
      <c r="K288" s="251"/>
      <c r="L288" s="251"/>
      <c r="M288" s="251"/>
      <c r="N288" s="251"/>
      <c r="O288" s="251"/>
      <c r="P288" s="256">
        <f t="shared" si="89"/>
        <v>0</v>
      </c>
      <c r="Q288" s="262"/>
      <c r="R288" s="262"/>
      <c r="S288" s="262"/>
      <c r="T288" s="262"/>
      <c r="U288" s="254">
        <f t="shared" si="91"/>
        <v>0</v>
      </c>
      <c r="V288" s="254">
        <f t="shared" si="92"/>
        <v>0</v>
      </c>
    </row>
    <row r="289" spans="1:22">
      <c r="A289" s="255">
        <f>IF($A$36="","",$A$36)</f>
        <v>45261</v>
      </c>
      <c r="B289" s="251"/>
      <c r="C289" s="251"/>
      <c r="D289" s="251"/>
      <c r="E289" s="251"/>
      <c r="F289" s="251"/>
      <c r="G289" s="252">
        <f t="shared" si="90"/>
        <v>0</v>
      </c>
      <c r="H289" s="251"/>
      <c r="I289" s="251"/>
      <c r="J289" s="251"/>
      <c r="K289" s="251"/>
      <c r="L289" s="251"/>
      <c r="M289" s="251"/>
      <c r="N289" s="251"/>
      <c r="O289" s="251"/>
      <c r="P289" s="256">
        <f t="shared" si="89"/>
        <v>0</v>
      </c>
      <c r="Q289" s="262"/>
      <c r="R289" s="262"/>
      <c r="S289" s="262"/>
      <c r="T289" s="262"/>
      <c r="U289" s="254">
        <f t="shared" si="91"/>
        <v>0</v>
      </c>
      <c r="V289" s="254">
        <f t="shared" si="92"/>
        <v>0</v>
      </c>
    </row>
    <row r="290" spans="1:22">
      <c r="A290" s="255">
        <f>IF($A$37="","",$A$37)</f>
        <v>45292</v>
      </c>
      <c r="B290" s="251"/>
      <c r="C290" s="251"/>
      <c r="D290" s="251"/>
      <c r="E290" s="251"/>
      <c r="F290" s="251"/>
      <c r="G290" s="252">
        <f t="shared" si="90"/>
        <v>0</v>
      </c>
      <c r="H290" s="251"/>
      <c r="I290" s="251"/>
      <c r="J290" s="251"/>
      <c r="K290" s="251"/>
      <c r="L290" s="251"/>
      <c r="M290" s="251"/>
      <c r="N290" s="251"/>
      <c r="O290" s="251"/>
      <c r="P290" s="256">
        <f t="shared" si="89"/>
        <v>0</v>
      </c>
      <c r="Q290" s="262"/>
      <c r="R290" s="262"/>
      <c r="S290" s="262"/>
      <c r="T290" s="262"/>
      <c r="U290" s="254">
        <f t="shared" si="91"/>
        <v>0</v>
      </c>
      <c r="V290" s="254">
        <f t="shared" si="92"/>
        <v>0</v>
      </c>
    </row>
    <row r="291" spans="1:22">
      <c r="A291" s="255">
        <f>IF($A$38="","",$A$38)</f>
        <v>45323</v>
      </c>
      <c r="B291" s="251"/>
      <c r="C291" s="251"/>
      <c r="D291" s="251"/>
      <c r="E291" s="251"/>
      <c r="F291" s="251"/>
      <c r="G291" s="252">
        <f t="shared" si="90"/>
        <v>0</v>
      </c>
      <c r="H291" s="251"/>
      <c r="I291" s="251"/>
      <c r="J291" s="251"/>
      <c r="K291" s="251"/>
      <c r="L291" s="251"/>
      <c r="M291" s="251"/>
      <c r="N291" s="251"/>
      <c r="O291" s="251"/>
      <c r="P291" s="256">
        <f t="shared" si="89"/>
        <v>0</v>
      </c>
      <c r="Q291" s="262"/>
      <c r="R291" s="262"/>
      <c r="S291" s="262"/>
      <c r="T291" s="262"/>
      <c r="U291" s="254">
        <f t="shared" si="91"/>
        <v>0</v>
      </c>
      <c r="V291" s="254">
        <f t="shared" si="92"/>
        <v>0</v>
      </c>
    </row>
    <row r="292" spans="1:22">
      <c r="A292" s="245" t="s">
        <v>524</v>
      </c>
      <c r="B292" s="254">
        <f t="shared" ref="B292:I292" si="93">+SUM(B280:B291)</f>
        <v>0</v>
      </c>
      <c r="C292" s="254">
        <f t="shared" si="93"/>
        <v>0</v>
      </c>
      <c r="D292" s="254">
        <f t="shared" si="93"/>
        <v>0</v>
      </c>
      <c r="E292" s="254">
        <f t="shared" si="93"/>
        <v>0</v>
      </c>
      <c r="F292" s="254">
        <f t="shared" si="93"/>
        <v>0</v>
      </c>
      <c r="G292" s="254">
        <f t="shared" si="93"/>
        <v>0</v>
      </c>
      <c r="H292" s="254">
        <f t="shared" si="93"/>
        <v>0</v>
      </c>
      <c r="I292" s="254">
        <f t="shared" si="93"/>
        <v>0</v>
      </c>
      <c r="J292" s="254">
        <f t="shared" ref="J292:O292" si="94">+SUM(J280:J291)</f>
        <v>0</v>
      </c>
      <c r="K292" s="254">
        <f t="shared" si="94"/>
        <v>0</v>
      </c>
      <c r="L292" s="254">
        <f t="shared" si="94"/>
        <v>0</v>
      </c>
      <c r="M292" s="254">
        <f t="shared" si="94"/>
        <v>0</v>
      </c>
      <c r="N292" s="254">
        <f t="shared" si="94"/>
        <v>0</v>
      </c>
      <c r="O292" s="254">
        <f t="shared" si="94"/>
        <v>0</v>
      </c>
      <c r="P292" s="254">
        <f t="shared" ref="P292:V292" si="95">+SUM(P280:P291)</f>
        <v>0</v>
      </c>
      <c r="Q292" s="254">
        <f t="shared" si="95"/>
        <v>0</v>
      </c>
      <c r="R292" s="254">
        <f t="shared" si="95"/>
        <v>0</v>
      </c>
      <c r="S292" s="254">
        <f t="shared" si="95"/>
        <v>0</v>
      </c>
      <c r="T292" s="254">
        <f t="shared" si="95"/>
        <v>0</v>
      </c>
      <c r="U292" s="254">
        <f t="shared" si="95"/>
        <v>0</v>
      </c>
      <c r="V292" s="254">
        <f t="shared" si="95"/>
        <v>0</v>
      </c>
    </row>
    <row r="293" spans="1:22">
      <c r="A293" s="245" t="s">
        <v>525</v>
      </c>
      <c r="B293" s="254">
        <f>IFERROR(B292/(COUNTA(A280:A291)-COUNTIF(A280:A291,"")),0)</f>
        <v>0</v>
      </c>
      <c r="C293" s="254">
        <f>IFERROR(C292/(COUNTA(A280:A291)-COUNTIF(A280:A291,"")),0)</f>
        <v>0</v>
      </c>
      <c r="D293" s="254">
        <f>IFERROR(D292/(COUNTA(A280:A291)-COUNTIF(A280:A291,"")),0)</f>
        <v>0</v>
      </c>
      <c r="E293" s="254">
        <f>IFERROR(E292/(COUNTA(A280:A291)-COUNTIF(A280:A291,"")),0)</f>
        <v>0</v>
      </c>
      <c r="F293" s="254">
        <f>IFERROR(F292/(COUNTA(A280:A291)-COUNTIF(A280:A291,"")),0)</f>
        <v>0</v>
      </c>
      <c r="G293" s="254">
        <f>IFERROR(G292/(COUNTA(A280:A291)-COUNTIF(A280:A291,"")),0)</f>
        <v>0</v>
      </c>
      <c r="H293" s="254">
        <f>IFERROR(H292/(COUNTA(A280:A291)-COUNTIF(A280:A291,"")),0)</f>
        <v>0</v>
      </c>
      <c r="I293" s="254">
        <f>IFERROR(I292/(COUNTA(A280:A291)-COUNTIF(A280:A291,"")),0)</f>
        <v>0</v>
      </c>
      <c r="J293" s="254">
        <f>IFERROR(J292/(COUNTA(A280:A291)-COUNTIF(A280:A291,"")),0)</f>
        <v>0</v>
      </c>
      <c r="K293" s="254">
        <f>IFERROR(K292/(COUNTA(A280:A291)-COUNTIF(A280:A291,"")),0)</f>
        <v>0</v>
      </c>
      <c r="L293" s="254">
        <f>IFERROR(L292/(COUNTA(A280:A291)-COUNTIF(A280:A291,"")),0)</f>
        <v>0</v>
      </c>
      <c r="M293" s="254">
        <f>IFERROR(M292/(COUNTA(A280:A291)-COUNTIF(A280:A291,"")),0)</f>
        <v>0</v>
      </c>
      <c r="N293" s="254">
        <f>IFERROR(N292/(COUNTA(A280:A291)-COUNTIF(A280:A291,"")),0)</f>
        <v>0</v>
      </c>
      <c r="O293" s="254">
        <f>IFERROR(O292/(COUNTA(A280:A291)-COUNTIF(A280:A291,"")),0)</f>
        <v>0</v>
      </c>
      <c r="P293" s="254">
        <f>IFERROR(P292/(COUNTA(A280:A291)-COUNTIF(A280:A291,"")),0)</f>
        <v>0</v>
      </c>
      <c r="Q293" s="259"/>
      <c r="R293" s="259"/>
      <c r="S293" s="246">
        <f>IFERROR(R292/S292*100,0)</f>
        <v>0</v>
      </c>
      <c r="T293" s="246">
        <f>IFERROR(Q292/T292*100,0)</f>
        <v>0</v>
      </c>
      <c r="U293" s="254">
        <f>IFERROR(U292/COUNTA(A280:A291),0)</f>
        <v>0</v>
      </c>
      <c r="V293" s="254">
        <f>IFERROR(V292/COUNTA(A280:A291),0)</f>
        <v>0</v>
      </c>
    </row>
    <row r="294" spans="1:22" ht="38.25">
      <c r="A294" s="245" t="s">
        <v>526</v>
      </c>
      <c r="B294" s="254">
        <f>O277+B293</f>
        <v>0</v>
      </c>
      <c r="C294" s="254">
        <f>O277+C293</f>
        <v>0</v>
      </c>
      <c r="D294" s="254">
        <f>O277+D293</f>
        <v>0</v>
      </c>
      <c r="E294" s="254"/>
      <c r="F294" s="254"/>
      <c r="G294" s="254">
        <f>O277+G293</f>
        <v>0</v>
      </c>
      <c r="H294" s="254"/>
      <c r="I294" s="254"/>
      <c r="J294" s="254"/>
      <c r="K294" s="254"/>
      <c r="L294" s="254"/>
      <c r="M294" s="254"/>
      <c r="N294" s="254"/>
      <c r="O294" s="254"/>
      <c r="P294" s="254"/>
      <c r="Q294" s="259"/>
      <c r="R294" s="259"/>
      <c r="S294" s="260" t="s">
        <v>527</v>
      </c>
      <c r="T294" s="260" t="s">
        <v>528</v>
      </c>
      <c r="U294" s="260"/>
      <c r="V294" s="260"/>
    </row>
    <row r="295" spans="1:22"/>
    <row r="296" spans="1:22"/>
    <row r="297" spans="1:22"/>
    <row r="298" spans="1:22" ht="12.75" customHeight="1">
      <c r="A298" s="432" t="s">
        <v>504</v>
      </c>
      <c r="B298" s="432"/>
      <c r="C298" s="437"/>
      <c r="D298" s="438"/>
      <c r="E298" s="438"/>
      <c r="F298" s="438"/>
      <c r="G298" s="438"/>
      <c r="H298" s="438"/>
      <c r="I298" s="438"/>
      <c r="J298" s="438"/>
      <c r="K298" s="438"/>
      <c r="L298" s="438"/>
      <c r="M298" s="438"/>
      <c r="N298" s="438"/>
      <c r="O298" s="438"/>
      <c r="P298" s="438"/>
      <c r="Q298" s="438"/>
      <c r="R298" s="438"/>
      <c r="S298" s="438"/>
      <c r="T298" s="439"/>
      <c r="U298" s="247"/>
      <c r="V298" s="247"/>
    </row>
    <row r="299" spans="1:22" ht="12.75" customHeight="1">
      <c r="A299" s="432" t="s">
        <v>530</v>
      </c>
      <c r="B299" s="432"/>
      <c r="C299" s="440"/>
      <c r="D299" s="440"/>
      <c r="E299" s="440"/>
      <c r="F299" s="440"/>
      <c r="G299" s="440"/>
      <c r="H299" s="441" t="s">
        <v>532</v>
      </c>
      <c r="I299" s="441"/>
      <c r="J299" s="440"/>
      <c r="K299" s="440"/>
      <c r="L299" s="440"/>
      <c r="M299" s="440"/>
      <c r="N299" s="440"/>
      <c r="O299" s="440"/>
      <c r="P299" s="440"/>
      <c r="Q299" s="440"/>
      <c r="R299" s="440"/>
      <c r="S299" s="440"/>
      <c r="T299" s="440"/>
      <c r="U299" s="247"/>
      <c r="V299" s="247"/>
    </row>
    <row r="300" spans="1:22" ht="25.5" customHeight="1">
      <c r="A300" s="432" t="s">
        <v>533</v>
      </c>
      <c r="B300" s="432"/>
      <c r="C300" s="437"/>
      <c r="D300" s="439"/>
      <c r="E300" s="249" t="s">
        <v>535</v>
      </c>
      <c r="F300" s="442"/>
      <c r="G300" s="443"/>
      <c r="H300" s="443"/>
      <c r="I300" s="444"/>
      <c r="J300" s="249" t="s">
        <v>537</v>
      </c>
      <c r="K300" s="442"/>
      <c r="L300" s="443"/>
      <c r="M300" s="444"/>
      <c r="N300" s="248" t="s">
        <v>538</v>
      </c>
      <c r="O300" s="445"/>
      <c r="P300" s="446"/>
      <c r="Q300" s="446"/>
      <c r="R300" s="446"/>
      <c r="S300" s="446"/>
      <c r="T300" s="447"/>
      <c r="U300" s="261"/>
      <c r="V300" s="261"/>
    </row>
    <row r="301" spans="1:22" ht="38.25" customHeight="1">
      <c r="A301" s="239" t="s">
        <v>161</v>
      </c>
      <c r="B301" s="434" t="s">
        <v>539</v>
      </c>
      <c r="C301" s="434"/>
      <c r="D301" s="434"/>
      <c r="E301" s="240" t="s">
        <v>540</v>
      </c>
      <c r="F301" s="240" t="s">
        <v>541</v>
      </c>
      <c r="G301" s="239" t="s">
        <v>542</v>
      </c>
      <c r="H301" s="239" t="s">
        <v>543</v>
      </c>
      <c r="I301" s="239" t="s">
        <v>544</v>
      </c>
      <c r="J301" s="240" t="s">
        <v>545</v>
      </c>
      <c r="K301" s="240" t="s">
        <v>546</v>
      </c>
      <c r="L301" s="435" t="s">
        <v>547</v>
      </c>
      <c r="M301" s="436"/>
      <c r="N301" s="435" t="s">
        <v>548</v>
      </c>
      <c r="O301" s="436"/>
      <c r="P301" s="239" t="s">
        <v>549</v>
      </c>
      <c r="Q301" s="239" t="s">
        <v>516</v>
      </c>
      <c r="R301" s="239" t="s">
        <v>517</v>
      </c>
      <c r="S301" s="239" t="s">
        <v>518</v>
      </c>
      <c r="T301" s="239" t="s">
        <v>519</v>
      </c>
      <c r="U301" s="239" t="s">
        <v>550</v>
      </c>
      <c r="V301" s="239" t="s">
        <v>551</v>
      </c>
    </row>
    <row r="302" spans="1:22">
      <c r="A302" s="239"/>
      <c r="B302" s="239">
        <v>10</v>
      </c>
      <c r="C302" s="239">
        <v>20</v>
      </c>
      <c r="D302" s="239">
        <v>30</v>
      </c>
      <c r="E302" s="239"/>
      <c r="F302" s="239"/>
      <c r="G302" s="239"/>
      <c r="H302" s="239"/>
      <c r="I302" s="239"/>
      <c r="J302" s="239"/>
      <c r="K302" s="239"/>
      <c r="L302" s="239" t="s">
        <v>522</v>
      </c>
      <c r="M302" s="239" t="s">
        <v>523</v>
      </c>
      <c r="N302" s="239" t="s">
        <v>522</v>
      </c>
      <c r="O302" s="239" t="s">
        <v>523</v>
      </c>
      <c r="P302" s="239"/>
      <c r="Q302" s="239"/>
      <c r="R302" s="239"/>
      <c r="S302" s="239"/>
      <c r="T302" s="239"/>
      <c r="U302" s="239"/>
      <c r="V302" s="239"/>
    </row>
    <row r="303" spans="1:22">
      <c r="A303" s="255">
        <f>IF($A$27="","",$A$27)</f>
        <v>44986</v>
      </c>
      <c r="B303" s="251"/>
      <c r="C303" s="251"/>
      <c r="D303" s="251"/>
      <c r="E303" s="251"/>
      <c r="F303" s="251"/>
      <c r="G303" s="252">
        <f>IFERROR(AVERAGE(B303:D303),0)</f>
        <v>0</v>
      </c>
      <c r="H303" s="251"/>
      <c r="I303" s="251"/>
      <c r="J303" s="251"/>
      <c r="K303" s="251"/>
      <c r="L303" s="251"/>
      <c r="M303" s="251"/>
      <c r="N303" s="251"/>
      <c r="O303" s="251"/>
      <c r="P303" s="256">
        <f t="shared" ref="P303:P314" si="96">+H303-I303-J303-M303+L303</f>
        <v>0</v>
      </c>
      <c r="Q303" s="262"/>
      <c r="R303" s="262"/>
      <c r="S303" s="262"/>
      <c r="T303" s="262"/>
      <c r="U303" s="254">
        <f>H303-J303-M303</f>
        <v>0</v>
      </c>
      <c r="V303" s="254">
        <f>I303-L303</f>
        <v>0</v>
      </c>
    </row>
    <row r="304" spans="1:22">
      <c r="A304" s="255">
        <f>IF($A$28="","",$A$28)</f>
        <v>45017</v>
      </c>
      <c r="B304" s="251"/>
      <c r="C304" s="251"/>
      <c r="D304" s="251"/>
      <c r="E304" s="251"/>
      <c r="F304" s="251"/>
      <c r="G304" s="252">
        <f t="shared" ref="G304:G314" si="97">IFERROR(AVERAGE(B304:D304),0)</f>
        <v>0</v>
      </c>
      <c r="H304" s="251"/>
      <c r="I304" s="251"/>
      <c r="J304" s="251"/>
      <c r="K304" s="251"/>
      <c r="L304" s="251"/>
      <c r="M304" s="251"/>
      <c r="N304" s="251"/>
      <c r="O304" s="251"/>
      <c r="P304" s="256">
        <f t="shared" si="96"/>
        <v>0</v>
      </c>
      <c r="Q304" s="262"/>
      <c r="R304" s="262"/>
      <c r="S304" s="262"/>
      <c r="T304" s="262"/>
      <c r="U304" s="254">
        <f t="shared" ref="U304:U314" si="98">H304-J304-M304</f>
        <v>0</v>
      </c>
      <c r="V304" s="254">
        <f t="shared" ref="V304:V314" si="99">I304-L304</f>
        <v>0</v>
      </c>
    </row>
    <row r="305" spans="1:22">
      <c r="A305" s="255">
        <f>IF($A$29="","",$A$29)</f>
        <v>45047</v>
      </c>
      <c r="B305" s="251"/>
      <c r="C305" s="251"/>
      <c r="D305" s="251"/>
      <c r="E305" s="251"/>
      <c r="F305" s="251"/>
      <c r="G305" s="252">
        <f t="shared" si="97"/>
        <v>0</v>
      </c>
      <c r="H305" s="251"/>
      <c r="I305" s="251"/>
      <c r="J305" s="251"/>
      <c r="K305" s="251"/>
      <c r="L305" s="251"/>
      <c r="M305" s="251"/>
      <c r="N305" s="251"/>
      <c r="O305" s="251"/>
      <c r="P305" s="256">
        <f t="shared" si="96"/>
        <v>0</v>
      </c>
      <c r="Q305" s="262"/>
      <c r="R305" s="262"/>
      <c r="S305" s="262"/>
      <c r="T305" s="262"/>
      <c r="U305" s="254">
        <f t="shared" si="98"/>
        <v>0</v>
      </c>
      <c r="V305" s="254">
        <f t="shared" si="99"/>
        <v>0</v>
      </c>
    </row>
    <row r="306" spans="1:22">
      <c r="A306" s="255">
        <f>IF($A$30="","",$A$30)</f>
        <v>45078</v>
      </c>
      <c r="B306" s="251"/>
      <c r="C306" s="251"/>
      <c r="D306" s="251"/>
      <c r="E306" s="251"/>
      <c r="F306" s="251"/>
      <c r="G306" s="252">
        <f t="shared" si="97"/>
        <v>0</v>
      </c>
      <c r="H306" s="251"/>
      <c r="I306" s="251"/>
      <c r="J306" s="251"/>
      <c r="K306" s="251"/>
      <c r="L306" s="251"/>
      <c r="M306" s="251"/>
      <c r="N306" s="251"/>
      <c r="O306" s="251"/>
      <c r="P306" s="256">
        <f t="shared" si="96"/>
        <v>0</v>
      </c>
      <c r="Q306" s="262"/>
      <c r="R306" s="262"/>
      <c r="S306" s="262"/>
      <c r="T306" s="262"/>
      <c r="U306" s="254">
        <f t="shared" si="98"/>
        <v>0</v>
      </c>
      <c r="V306" s="254">
        <f t="shared" si="99"/>
        <v>0</v>
      </c>
    </row>
    <row r="307" spans="1:22">
      <c r="A307" s="255">
        <f>IF($A$31="","",$A$31)</f>
        <v>45108</v>
      </c>
      <c r="B307" s="251"/>
      <c r="C307" s="251"/>
      <c r="D307" s="251"/>
      <c r="E307" s="251"/>
      <c r="F307" s="251"/>
      <c r="G307" s="252">
        <f t="shared" si="97"/>
        <v>0</v>
      </c>
      <c r="H307" s="251"/>
      <c r="I307" s="251"/>
      <c r="J307" s="251"/>
      <c r="K307" s="251"/>
      <c r="L307" s="251"/>
      <c r="M307" s="251"/>
      <c r="N307" s="251"/>
      <c r="O307" s="251"/>
      <c r="P307" s="256">
        <f t="shared" si="96"/>
        <v>0</v>
      </c>
      <c r="Q307" s="262"/>
      <c r="R307" s="262"/>
      <c r="S307" s="262"/>
      <c r="T307" s="262"/>
      <c r="U307" s="254">
        <f t="shared" si="98"/>
        <v>0</v>
      </c>
      <c r="V307" s="254">
        <f t="shared" si="99"/>
        <v>0</v>
      </c>
    </row>
    <row r="308" spans="1:22">
      <c r="A308" s="255">
        <f>IF($A$32="","",$A$32)</f>
        <v>45139</v>
      </c>
      <c r="B308" s="251"/>
      <c r="C308" s="251"/>
      <c r="D308" s="251"/>
      <c r="E308" s="251"/>
      <c r="F308" s="251"/>
      <c r="G308" s="252">
        <f t="shared" si="97"/>
        <v>0</v>
      </c>
      <c r="H308" s="251"/>
      <c r="I308" s="251"/>
      <c r="J308" s="251"/>
      <c r="K308" s="251"/>
      <c r="L308" s="251"/>
      <c r="M308" s="251"/>
      <c r="N308" s="251"/>
      <c r="O308" s="251"/>
      <c r="P308" s="256">
        <f t="shared" si="96"/>
        <v>0</v>
      </c>
      <c r="Q308" s="262"/>
      <c r="R308" s="262"/>
      <c r="S308" s="262"/>
      <c r="T308" s="262"/>
      <c r="U308" s="254">
        <f t="shared" si="98"/>
        <v>0</v>
      </c>
      <c r="V308" s="254">
        <f t="shared" si="99"/>
        <v>0</v>
      </c>
    </row>
    <row r="309" spans="1:22">
      <c r="A309" s="255">
        <f>IF($A$33="","",$A$33)</f>
        <v>45170</v>
      </c>
      <c r="B309" s="251"/>
      <c r="C309" s="251"/>
      <c r="D309" s="251"/>
      <c r="E309" s="251"/>
      <c r="F309" s="251"/>
      <c r="G309" s="252">
        <f t="shared" si="97"/>
        <v>0</v>
      </c>
      <c r="H309" s="251"/>
      <c r="I309" s="251"/>
      <c r="J309" s="251"/>
      <c r="K309" s="251"/>
      <c r="L309" s="251"/>
      <c r="M309" s="251"/>
      <c r="N309" s="251"/>
      <c r="O309" s="251"/>
      <c r="P309" s="256">
        <f t="shared" si="96"/>
        <v>0</v>
      </c>
      <c r="Q309" s="262"/>
      <c r="R309" s="262"/>
      <c r="S309" s="262"/>
      <c r="T309" s="262"/>
      <c r="U309" s="254">
        <f t="shared" si="98"/>
        <v>0</v>
      </c>
      <c r="V309" s="254">
        <f t="shared" si="99"/>
        <v>0</v>
      </c>
    </row>
    <row r="310" spans="1:22">
      <c r="A310" s="255">
        <f>IF($A$34="","",$A$34)</f>
        <v>45200</v>
      </c>
      <c r="B310" s="251"/>
      <c r="C310" s="251"/>
      <c r="D310" s="251"/>
      <c r="E310" s="251"/>
      <c r="F310" s="251"/>
      <c r="G310" s="252">
        <f t="shared" si="97"/>
        <v>0</v>
      </c>
      <c r="H310" s="251"/>
      <c r="I310" s="251"/>
      <c r="J310" s="251"/>
      <c r="K310" s="251"/>
      <c r="L310" s="251"/>
      <c r="M310" s="251"/>
      <c r="N310" s="251"/>
      <c r="O310" s="251"/>
      <c r="P310" s="256">
        <f t="shared" si="96"/>
        <v>0</v>
      </c>
      <c r="Q310" s="262"/>
      <c r="R310" s="262"/>
      <c r="S310" s="262"/>
      <c r="T310" s="262"/>
      <c r="U310" s="254">
        <f t="shared" si="98"/>
        <v>0</v>
      </c>
      <c r="V310" s="254">
        <f t="shared" si="99"/>
        <v>0</v>
      </c>
    </row>
    <row r="311" spans="1:22">
      <c r="A311" s="255">
        <f>IF($A$35="","",$A$35)</f>
        <v>45231</v>
      </c>
      <c r="B311" s="251"/>
      <c r="C311" s="251"/>
      <c r="D311" s="251"/>
      <c r="E311" s="251"/>
      <c r="F311" s="251"/>
      <c r="G311" s="252">
        <f t="shared" si="97"/>
        <v>0</v>
      </c>
      <c r="H311" s="251"/>
      <c r="I311" s="251"/>
      <c r="J311" s="251"/>
      <c r="K311" s="251"/>
      <c r="L311" s="251"/>
      <c r="M311" s="251"/>
      <c r="N311" s="251"/>
      <c r="O311" s="251"/>
      <c r="P311" s="256">
        <f t="shared" si="96"/>
        <v>0</v>
      </c>
      <c r="Q311" s="262"/>
      <c r="R311" s="262"/>
      <c r="S311" s="262"/>
      <c r="T311" s="262"/>
      <c r="U311" s="254">
        <f t="shared" si="98"/>
        <v>0</v>
      </c>
      <c r="V311" s="254">
        <f t="shared" si="99"/>
        <v>0</v>
      </c>
    </row>
    <row r="312" spans="1:22">
      <c r="A312" s="255">
        <f>IF($A$36="","",$A$36)</f>
        <v>45261</v>
      </c>
      <c r="B312" s="251"/>
      <c r="C312" s="251"/>
      <c r="D312" s="251"/>
      <c r="E312" s="251"/>
      <c r="F312" s="251"/>
      <c r="G312" s="252">
        <f t="shared" si="97"/>
        <v>0</v>
      </c>
      <c r="H312" s="251"/>
      <c r="I312" s="251"/>
      <c r="J312" s="251"/>
      <c r="K312" s="251"/>
      <c r="L312" s="251"/>
      <c r="M312" s="251"/>
      <c r="N312" s="251"/>
      <c r="O312" s="251"/>
      <c r="P312" s="256">
        <f t="shared" si="96"/>
        <v>0</v>
      </c>
      <c r="Q312" s="262"/>
      <c r="R312" s="262"/>
      <c r="S312" s="262"/>
      <c r="T312" s="262"/>
      <c r="U312" s="254">
        <f t="shared" si="98"/>
        <v>0</v>
      </c>
      <c r="V312" s="254">
        <f t="shared" si="99"/>
        <v>0</v>
      </c>
    </row>
    <row r="313" spans="1:22">
      <c r="A313" s="255">
        <f>IF($A$37="","",$A$37)</f>
        <v>45292</v>
      </c>
      <c r="B313" s="251"/>
      <c r="C313" s="251"/>
      <c r="D313" s="251"/>
      <c r="E313" s="251"/>
      <c r="F313" s="251"/>
      <c r="G313" s="252">
        <f t="shared" si="97"/>
        <v>0</v>
      </c>
      <c r="H313" s="251"/>
      <c r="I313" s="251"/>
      <c r="J313" s="251"/>
      <c r="K313" s="251"/>
      <c r="L313" s="251"/>
      <c r="M313" s="251"/>
      <c r="N313" s="251"/>
      <c r="O313" s="251"/>
      <c r="P313" s="256">
        <f t="shared" si="96"/>
        <v>0</v>
      </c>
      <c r="Q313" s="262"/>
      <c r="R313" s="262"/>
      <c r="S313" s="262"/>
      <c r="T313" s="262"/>
      <c r="U313" s="254">
        <f t="shared" si="98"/>
        <v>0</v>
      </c>
      <c r="V313" s="254">
        <f t="shared" si="99"/>
        <v>0</v>
      </c>
    </row>
    <row r="314" spans="1:22">
      <c r="A314" s="255">
        <f>IF($A$38="","",$A$38)</f>
        <v>45323</v>
      </c>
      <c r="B314" s="251"/>
      <c r="C314" s="251"/>
      <c r="D314" s="251"/>
      <c r="E314" s="251"/>
      <c r="F314" s="251"/>
      <c r="G314" s="252">
        <f t="shared" si="97"/>
        <v>0</v>
      </c>
      <c r="H314" s="251"/>
      <c r="I314" s="251"/>
      <c r="J314" s="251"/>
      <c r="K314" s="251"/>
      <c r="L314" s="251"/>
      <c r="M314" s="251"/>
      <c r="N314" s="251"/>
      <c r="O314" s="251"/>
      <c r="P314" s="256">
        <f t="shared" si="96"/>
        <v>0</v>
      </c>
      <c r="Q314" s="262"/>
      <c r="R314" s="262"/>
      <c r="S314" s="262"/>
      <c r="T314" s="262"/>
      <c r="U314" s="254">
        <f t="shared" si="98"/>
        <v>0</v>
      </c>
      <c r="V314" s="254">
        <f t="shared" si="99"/>
        <v>0</v>
      </c>
    </row>
    <row r="315" spans="1:22">
      <c r="A315" s="245" t="s">
        <v>524</v>
      </c>
      <c r="B315" s="254">
        <f t="shared" ref="B315:I315" si="100">+SUM(B303:B314)</f>
        <v>0</v>
      </c>
      <c r="C315" s="254">
        <f t="shared" si="100"/>
        <v>0</v>
      </c>
      <c r="D315" s="254">
        <f t="shared" si="100"/>
        <v>0</v>
      </c>
      <c r="E315" s="254">
        <f t="shared" si="100"/>
        <v>0</v>
      </c>
      <c r="F315" s="254">
        <f t="shared" si="100"/>
        <v>0</v>
      </c>
      <c r="G315" s="254">
        <f t="shared" si="100"/>
        <v>0</v>
      </c>
      <c r="H315" s="254">
        <f t="shared" si="100"/>
        <v>0</v>
      </c>
      <c r="I315" s="254">
        <f t="shared" si="100"/>
        <v>0</v>
      </c>
      <c r="J315" s="254">
        <f t="shared" ref="J315:O315" si="101">+SUM(J303:J314)</f>
        <v>0</v>
      </c>
      <c r="K315" s="254">
        <f t="shared" si="101"/>
        <v>0</v>
      </c>
      <c r="L315" s="254">
        <f t="shared" si="101"/>
        <v>0</v>
      </c>
      <c r="M315" s="254">
        <f t="shared" si="101"/>
        <v>0</v>
      </c>
      <c r="N315" s="254">
        <f t="shared" si="101"/>
        <v>0</v>
      </c>
      <c r="O315" s="254">
        <f t="shared" si="101"/>
        <v>0</v>
      </c>
      <c r="P315" s="254">
        <f t="shared" ref="P315:V315" si="102">+SUM(P303:P314)</f>
        <v>0</v>
      </c>
      <c r="Q315" s="254">
        <f t="shared" si="102"/>
        <v>0</v>
      </c>
      <c r="R315" s="254">
        <f t="shared" si="102"/>
        <v>0</v>
      </c>
      <c r="S315" s="254">
        <f t="shared" si="102"/>
        <v>0</v>
      </c>
      <c r="T315" s="254">
        <f t="shared" si="102"/>
        <v>0</v>
      </c>
      <c r="U315" s="254">
        <f t="shared" si="102"/>
        <v>0</v>
      </c>
      <c r="V315" s="254">
        <f t="shared" si="102"/>
        <v>0</v>
      </c>
    </row>
    <row r="316" spans="1:22">
      <c r="A316" s="245" t="s">
        <v>525</v>
      </c>
      <c r="B316" s="254">
        <f>IFERROR(B315/(COUNTA(A303:A314)-COUNTIF(A303:A314,"")),0)</f>
        <v>0</v>
      </c>
      <c r="C316" s="254">
        <f>IFERROR(C315/(COUNTA(A303:A314)-COUNTIF(A303:A314,"")),0)</f>
        <v>0</v>
      </c>
      <c r="D316" s="254">
        <f>IFERROR(D315/(COUNTA(A303:A314)-COUNTIF(A303:A314,"")),0)</f>
        <v>0</v>
      </c>
      <c r="E316" s="254">
        <f>IFERROR(E315/(COUNTA(A303:A314)-COUNTIF(A303:A314,"")),0)</f>
        <v>0</v>
      </c>
      <c r="F316" s="254">
        <f>IFERROR(F315/(COUNTA(A303:A314)-COUNTIF(A303:A314,"")),0)</f>
        <v>0</v>
      </c>
      <c r="G316" s="254">
        <f>IFERROR(G315/(COUNTA(A303:A314)-COUNTIF(A303:A314,"")),0)</f>
        <v>0</v>
      </c>
      <c r="H316" s="254">
        <f>IFERROR(H315/(COUNTA(A303:A314)-COUNTIF(A303:A314,"")),0)</f>
        <v>0</v>
      </c>
      <c r="I316" s="254">
        <f>IFERROR(I315/(COUNTA(A303:A314)-COUNTIF(A303:A314,"")),0)</f>
        <v>0</v>
      </c>
      <c r="J316" s="254">
        <f>IFERROR(J315/(COUNTA(A303:A314)-COUNTIF(A303:A314,"")),0)</f>
        <v>0</v>
      </c>
      <c r="K316" s="254">
        <f>IFERROR(K315/(COUNTA(A303:A314)-COUNTIF(A303:A314,"")),0)</f>
        <v>0</v>
      </c>
      <c r="L316" s="254">
        <f>IFERROR(L315/(COUNTA(A303:A314)-COUNTIF(A303:A314,"")),0)</f>
        <v>0</v>
      </c>
      <c r="M316" s="254">
        <f>IFERROR(M315/(COUNTA(A303:A314)-COUNTIF(A303:A314,"")),0)</f>
        <v>0</v>
      </c>
      <c r="N316" s="254">
        <f>IFERROR(N315/(COUNTA(A303:A314)-COUNTIF(A303:A314,"")),0)</f>
        <v>0</v>
      </c>
      <c r="O316" s="254">
        <f>IFERROR(O315/(COUNTA(A303:A314)-COUNTIF(A303:A314,"")),0)</f>
        <v>0</v>
      </c>
      <c r="P316" s="254">
        <f>IFERROR(P315/(COUNTA(A303:A314)-COUNTIF(A303:A314,"")),0)</f>
        <v>0</v>
      </c>
      <c r="Q316" s="259"/>
      <c r="R316" s="259"/>
      <c r="S316" s="246">
        <f>IFERROR(R315/S315*100,0)</f>
        <v>0</v>
      </c>
      <c r="T316" s="246">
        <f>IFERROR(Q315/T315*100,0)</f>
        <v>0</v>
      </c>
      <c r="U316" s="254">
        <f>IFERROR(U315/COUNTA(A303:A314),0)</f>
        <v>0</v>
      </c>
      <c r="V316" s="254">
        <f>IFERROR(V315/COUNTA(A303:A314),0)</f>
        <v>0</v>
      </c>
    </row>
    <row r="317" spans="1:22" ht="38.25">
      <c r="A317" s="245" t="s">
        <v>526</v>
      </c>
      <c r="B317" s="254">
        <f>O300+B316</f>
        <v>0</v>
      </c>
      <c r="C317" s="254">
        <f>O300+C316</f>
        <v>0</v>
      </c>
      <c r="D317" s="254">
        <f>O300+D316</f>
        <v>0</v>
      </c>
      <c r="E317" s="254"/>
      <c r="F317" s="254"/>
      <c r="G317" s="254">
        <f>O300+G316</f>
        <v>0</v>
      </c>
      <c r="H317" s="254"/>
      <c r="I317" s="254"/>
      <c r="J317" s="254"/>
      <c r="K317" s="254"/>
      <c r="L317" s="254"/>
      <c r="M317" s="254"/>
      <c r="N317" s="254"/>
      <c r="O317" s="254"/>
      <c r="P317" s="254"/>
      <c r="Q317" s="259"/>
      <c r="R317" s="259"/>
      <c r="S317" s="260" t="s">
        <v>527</v>
      </c>
      <c r="T317" s="260" t="s">
        <v>528</v>
      </c>
      <c r="U317" s="260"/>
      <c r="V317" s="260"/>
    </row>
    <row r="318" spans="1:22"/>
    <row r="319" spans="1:22"/>
    <row r="320" spans="1:22"/>
    <row r="321" spans="1:22" ht="12.75" customHeight="1">
      <c r="A321" s="432" t="s">
        <v>504</v>
      </c>
      <c r="B321" s="432"/>
      <c r="C321" s="437"/>
      <c r="D321" s="438"/>
      <c r="E321" s="438"/>
      <c r="F321" s="438"/>
      <c r="G321" s="438"/>
      <c r="H321" s="438"/>
      <c r="I321" s="438"/>
      <c r="J321" s="438"/>
      <c r="K321" s="438"/>
      <c r="L321" s="438"/>
      <c r="M321" s="438"/>
      <c r="N321" s="438"/>
      <c r="O321" s="438"/>
      <c r="P321" s="438"/>
      <c r="Q321" s="438"/>
      <c r="R321" s="438"/>
      <c r="S321" s="438"/>
      <c r="T321" s="439"/>
      <c r="U321" s="247"/>
      <c r="V321" s="247"/>
    </row>
    <row r="322" spans="1:22" ht="12.75" customHeight="1">
      <c r="A322" s="432" t="s">
        <v>530</v>
      </c>
      <c r="B322" s="432"/>
      <c r="C322" s="440"/>
      <c r="D322" s="440"/>
      <c r="E322" s="440"/>
      <c r="F322" s="440"/>
      <c r="G322" s="440"/>
      <c r="H322" s="441" t="s">
        <v>532</v>
      </c>
      <c r="I322" s="441"/>
      <c r="J322" s="440"/>
      <c r="K322" s="440"/>
      <c r="L322" s="440"/>
      <c r="M322" s="440"/>
      <c r="N322" s="440"/>
      <c r="O322" s="440"/>
      <c r="P322" s="440"/>
      <c r="Q322" s="440"/>
      <c r="R322" s="440"/>
      <c r="S322" s="440"/>
      <c r="T322" s="440"/>
      <c r="U322" s="247"/>
      <c r="V322" s="247"/>
    </row>
    <row r="323" spans="1:22" ht="25.5" customHeight="1">
      <c r="A323" s="432" t="s">
        <v>533</v>
      </c>
      <c r="B323" s="432"/>
      <c r="C323" s="437"/>
      <c r="D323" s="439"/>
      <c r="E323" s="249" t="s">
        <v>535</v>
      </c>
      <c r="F323" s="442"/>
      <c r="G323" s="443"/>
      <c r="H323" s="443"/>
      <c r="I323" s="444"/>
      <c r="J323" s="249" t="s">
        <v>537</v>
      </c>
      <c r="K323" s="442"/>
      <c r="L323" s="443"/>
      <c r="M323" s="444"/>
      <c r="N323" s="248" t="s">
        <v>538</v>
      </c>
      <c r="O323" s="445"/>
      <c r="P323" s="446"/>
      <c r="Q323" s="446"/>
      <c r="R323" s="446"/>
      <c r="S323" s="446"/>
      <c r="T323" s="447"/>
      <c r="U323" s="261"/>
      <c r="V323" s="261"/>
    </row>
    <row r="324" spans="1:22" ht="38.25" customHeight="1">
      <c r="A324" s="239" t="s">
        <v>161</v>
      </c>
      <c r="B324" s="434" t="s">
        <v>539</v>
      </c>
      <c r="C324" s="434"/>
      <c r="D324" s="434"/>
      <c r="E324" s="240" t="s">
        <v>540</v>
      </c>
      <c r="F324" s="240" t="s">
        <v>541</v>
      </c>
      <c r="G324" s="239" t="s">
        <v>542</v>
      </c>
      <c r="H324" s="239" t="s">
        <v>543</v>
      </c>
      <c r="I324" s="239" t="s">
        <v>544</v>
      </c>
      <c r="J324" s="240" t="s">
        <v>545</v>
      </c>
      <c r="K324" s="240" t="s">
        <v>546</v>
      </c>
      <c r="L324" s="435" t="s">
        <v>547</v>
      </c>
      <c r="M324" s="436"/>
      <c r="N324" s="435" t="s">
        <v>548</v>
      </c>
      <c r="O324" s="436"/>
      <c r="P324" s="239" t="s">
        <v>549</v>
      </c>
      <c r="Q324" s="239" t="s">
        <v>516</v>
      </c>
      <c r="R324" s="239" t="s">
        <v>517</v>
      </c>
      <c r="S324" s="239" t="s">
        <v>518</v>
      </c>
      <c r="T324" s="239" t="s">
        <v>519</v>
      </c>
      <c r="U324" s="239" t="s">
        <v>550</v>
      </c>
      <c r="V324" s="239" t="s">
        <v>551</v>
      </c>
    </row>
    <row r="325" spans="1:22">
      <c r="A325" s="239"/>
      <c r="B325" s="239">
        <v>10</v>
      </c>
      <c r="C325" s="239">
        <v>20</v>
      </c>
      <c r="D325" s="239">
        <v>30</v>
      </c>
      <c r="E325" s="239"/>
      <c r="F325" s="239"/>
      <c r="G325" s="239"/>
      <c r="H325" s="239"/>
      <c r="I325" s="239"/>
      <c r="J325" s="239"/>
      <c r="K325" s="239"/>
      <c r="L325" s="239" t="s">
        <v>522</v>
      </c>
      <c r="M325" s="239" t="s">
        <v>523</v>
      </c>
      <c r="N325" s="239" t="s">
        <v>522</v>
      </c>
      <c r="O325" s="239" t="s">
        <v>523</v>
      </c>
      <c r="P325" s="239"/>
      <c r="Q325" s="239"/>
      <c r="R325" s="239"/>
      <c r="S325" s="239"/>
      <c r="T325" s="239"/>
      <c r="U325" s="239"/>
      <c r="V325" s="239"/>
    </row>
    <row r="326" spans="1:22">
      <c r="A326" s="255">
        <f>IF($A$27="","",$A$27)</f>
        <v>44986</v>
      </c>
      <c r="B326" s="251"/>
      <c r="C326" s="251"/>
      <c r="D326" s="251"/>
      <c r="E326" s="251"/>
      <c r="F326" s="251"/>
      <c r="G326" s="252">
        <f>IFERROR(AVERAGE(B326:D326),0)</f>
        <v>0</v>
      </c>
      <c r="H326" s="251"/>
      <c r="I326" s="251"/>
      <c r="J326" s="251"/>
      <c r="K326" s="251"/>
      <c r="L326" s="251"/>
      <c r="M326" s="251"/>
      <c r="N326" s="251"/>
      <c r="O326" s="251"/>
      <c r="P326" s="256">
        <f t="shared" ref="P326:P337" si="103">+H326-I326-J326-M326+L326</f>
        <v>0</v>
      </c>
      <c r="Q326" s="262"/>
      <c r="R326" s="262"/>
      <c r="S326" s="262"/>
      <c r="T326" s="262"/>
      <c r="U326" s="254">
        <f>H326-J326-M326</f>
        <v>0</v>
      </c>
      <c r="V326" s="254">
        <f>I326-L326</f>
        <v>0</v>
      </c>
    </row>
    <row r="327" spans="1:22">
      <c r="A327" s="255">
        <f>IF($A$28="","",$A$28)</f>
        <v>45017</v>
      </c>
      <c r="B327" s="251"/>
      <c r="C327" s="251"/>
      <c r="D327" s="251"/>
      <c r="E327" s="251"/>
      <c r="F327" s="251"/>
      <c r="G327" s="252">
        <f t="shared" ref="G327:G337" si="104">IFERROR(AVERAGE(B327:D327),0)</f>
        <v>0</v>
      </c>
      <c r="H327" s="251"/>
      <c r="I327" s="251"/>
      <c r="J327" s="251"/>
      <c r="K327" s="251"/>
      <c r="L327" s="251"/>
      <c r="M327" s="251"/>
      <c r="N327" s="251"/>
      <c r="O327" s="251"/>
      <c r="P327" s="256">
        <f t="shared" si="103"/>
        <v>0</v>
      </c>
      <c r="Q327" s="262"/>
      <c r="R327" s="262"/>
      <c r="S327" s="262"/>
      <c r="T327" s="262"/>
      <c r="U327" s="254">
        <f t="shared" ref="U327:U337" si="105">H327-J327-M327</f>
        <v>0</v>
      </c>
      <c r="V327" s="254">
        <f t="shared" ref="V327:V337" si="106">I327-L327</f>
        <v>0</v>
      </c>
    </row>
    <row r="328" spans="1:22">
      <c r="A328" s="255">
        <f>IF($A$29="","",$A$29)</f>
        <v>45047</v>
      </c>
      <c r="B328" s="251"/>
      <c r="C328" s="251"/>
      <c r="D328" s="251"/>
      <c r="E328" s="251"/>
      <c r="F328" s="251"/>
      <c r="G328" s="252">
        <f t="shared" si="104"/>
        <v>0</v>
      </c>
      <c r="H328" s="251"/>
      <c r="I328" s="251"/>
      <c r="J328" s="251"/>
      <c r="K328" s="251"/>
      <c r="L328" s="251"/>
      <c r="M328" s="251"/>
      <c r="N328" s="251"/>
      <c r="O328" s="251"/>
      <c r="P328" s="256">
        <f t="shared" si="103"/>
        <v>0</v>
      </c>
      <c r="Q328" s="262"/>
      <c r="R328" s="262"/>
      <c r="S328" s="262"/>
      <c r="T328" s="262"/>
      <c r="U328" s="254">
        <f t="shared" si="105"/>
        <v>0</v>
      </c>
      <c r="V328" s="254">
        <f t="shared" si="106"/>
        <v>0</v>
      </c>
    </row>
    <row r="329" spans="1:22">
      <c r="A329" s="255">
        <f>IF($A$30="","",$A$30)</f>
        <v>45078</v>
      </c>
      <c r="B329" s="251"/>
      <c r="C329" s="251"/>
      <c r="D329" s="251"/>
      <c r="E329" s="251"/>
      <c r="F329" s="251"/>
      <c r="G329" s="252">
        <f t="shared" si="104"/>
        <v>0</v>
      </c>
      <c r="H329" s="251"/>
      <c r="I329" s="251"/>
      <c r="J329" s="251"/>
      <c r="K329" s="251"/>
      <c r="L329" s="251"/>
      <c r="M329" s="251"/>
      <c r="N329" s="251"/>
      <c r="O329" s="251"/>
      <c r="P329" s="256">
        <f t="shared" si="103"/>
        <v>0</v>
      </c>
      <c r="Q329" s="262"/>
      <c r="R329" s="262"/>
      <c r="S329" s="262"/>
      <c r="T329" s="262"/>
      <c r="U329" s="254">
        <f t="shared" si="105"/>
        <v>0</v>
      </c>
      <c r="V329" s="254">
        <f t="shared" si="106"/>
        <v>0</v>
      </c>
    </row>
    <row r="330" spans="1:22">
      <c r="A330" s="255">
        <f>IF($A$31="","",$A$31)</f>
        <v>45108</v>
      </c>
      <c r="B330" s="251"/>
      <c r="C330" s="251"/>
      <c r="D330" s="251"/>
      <c r="E330" s="251"/>
      <c r="F330" s="251"/>
      <c r="G330" s="252">
        <f t="shared" si="104"/>
        <v>0</v>
      </c>
      <c r="H330" s="251"/>
      <c r="I330" s="251"/>
      <c r="J330" s="251"/>
      <c r="K330" s="251"/>
      <c r="L330" s="251"/>
      <c r="M330" s="251"/>
      <c r="N330" s="251"/>
      <c r="O330" s="251"/>
      <c r="P330" s="256">
        <f t="shared" si="103"/>
        <v>0</v>
      </c>
      <c r="Q330" s="262"/>
      <c r="R330" s="262"/>
      <c r="S330" s="262"/>
      <c r="T330" s="262"/>
      <c r="U330" s="254">
        <f t="shared" si="105"/>
        <v>0</v>
      </c>
      <c r="V330" s="254">
        <f t="shared" si="106"/>
        <v>0</v>
      </c>
    </row>
    <row r="331" spans="1:22">
      <c r="A331" s="255">
        <f>IF($A$32="","",$A$32)</f>
        <v>45139</v>
      </c>
      <c r="B331" s="251"/>
      <c r="C331" s="251"/>
      <c r="D331" s="251"/>
      <c r="E331" s="251"/>
      <c r="F331" s="251"/>
      <c r="G331" s="252">
        <f t="shared" si="104"/>
        <v>0</v>
      </c>
      <c r="H331" s="251"/>
      <c r="I331" s="251"/>
      <c r="J331" s="251"/>
      <c r="K331" s="251"/>
      <c r="L331" s="251"/>
      <c r="M331" s="251"/>
      <c r="N331" s="251"/>
      <c r="O331" s="251"/>
      <c r="P331" s="256">
        <f t="shared" si="103"/>
        <v>0</v>
      </c>
      <c r="Q331" s="262"/>
      <c r="R331" s="262"/>
      <c r="S331" s="262"/>
      <c r="T331" s="262"/>
      <c r="U331" s="254">
        <f t="shared" si="105"/>
        <v>0</v>
      </c>
      <c r="V331" s="254">
        <f t="shared" si="106"/>
        <v>0</v>
      </c>
    </row>
    <row r="332" spans="1:22">
      <c r="A332" s="255">
        <f>IF($A$33="","",$A$33)</f>
        <v>45170</v>
      </c>
      <c r="B332" s="251"/>
      <c r="C332" s="251"/>
      <c r="D332" s="251"/>
      <c r="E332" s="251"/>
      <c r="F332" s="251"/>
      <c r="G332" s="252">
        <f t="shared" si="104"/>
        <v>0</v>
      </c>
      <c r="H332" s="251"/>
      <c r="I332" s="251"/>
      <c r="J332" s="251"/>
      <c r="K332" s="251"/>
      <c r="L332" s="251"/>
      <c r="M332" s="251"/>
      <c r="N332" s="251"/>
      <c r="O332" s="251"/>
      <c r="P332" s="256">
        <f t="shared" si="103"/>
        <v>0</v>
      </c>
      <c r="Q332" s="262"/>
      <c r="R332" s="262"/>
      <c r="S332" s="262"/>
      <c r="T332" s="262"/>
      <c r="U332" s="254">
        <f t="shared" si="105"/>
        <v>0</v>
      </c>
      <c r="V332" s="254">
        <f t="shared" si="106"/>
        <v>0</v>
      </c>
    </row>
    <row r="333" spans="1:22">
      <c r="A333" s="255">
        <f>IF($A$34="","",$A$34)</f>
        <v>45200</v>
      </c>
      <c r="B333" s="251"/>
      <c r="C333" s="251"/>
      <c r="D333" s="251"/>
      <c r="E333" s="251"/>
      <c r="F333" s="251"/>
      <c r="G333" s="252">
        <f t="shared" si="104"/>
        <v>0</v>
      </c>
      <c r="H333" s="251"/>
      <c r="I333" s="251"/>
      <c r="J333" s="251"/>
      <c r="K333" s="251"/>
      <c r="L333" s="251"/>
      <c r="M333" s="251"/>
      <c r="N333" s="251"/>
      <c r="O333" s="251"/>
      <c r="P333" s="256">
        <f t="shared" si="103"/>
        <v>0</v>
      </c>
      <c r="Q333" s="262"/>
      <c r="R333" s="262"/>
      <c r="S333" s="262"/>
      <c r="T333" s="262"/>
      <c r="U333" s="254">
        <f t="shared" si="105"/>
        <v>0</v>
      </c>
      <c r="V333" s="254">
        <f t="shared" si="106"/>
        <v>0</v>
      </c>
    </row>
    <row r="334" spans="1:22">
      <c r="A334" s="255">
        <f>IF($A$35="","",$A$35)</f>
        <v>45231</v>
      </c>
      <c r="B334" s="251"/>
      <c r="C334" s="251"/>
      <c r="D334" s="251"/>
      <c r="E334" s="251"/>
      <c r="F334" s="251"/>
      <c r="G334" s="252">
        <f t="shared" si="104"/>
        <v>0</v>
      </c>
      <c r="H334" s="251"/>
      <c r="I334" s="251"/>
      <c r="J334" s="251"/>
      <c r="K334" s="251"/>
      <c r="L334" s="251"/>
      <c r="M334" s="251"/>
      <c r="N334" s="251"/>
      <c r="O334" s="251"/>
      <c r="P334" s="256">
        <f t="shared" si="103"/>
        <v>0</v>
      </c>
      <c r="Q334" s="262"/>
      <c r="R334" s="262"/>
      <c r="S334" s="262"/>
      <c r="T334" s="262"/>
      <c r="U334" s="254">
        <f t="shared" si="105"/>
        <v>0</v>
      </c>
      <c r="V334" s="254">
        <f t="shared" si="106"/>
        <v>0</v>
      </c>
    </row>
    <row r="335" spans="1:22">
      <c r="A335" s="255">
        <f>IF($A$36="","",$A$36)</f>
        <v>45261</v>
      </c>
      <c r="B335" s="251"/>
      <c r="C335" s="251"/>
      <c r="D335" s="251"/>
      <c r="E335" s="251"/>
      <c r="F335" s="251"/>
      <c r="G335" s="252">
        <f t="shared" si="104"/>
        <v>0</v>
      </c>
      <c r="H335" s="251"/>
      <c r="I335" s="251"/>
      <c r="J335" s="251"/>
      <c r="K335" s="251"/>
      <c r="L335" s="251"/>
      <c r="M335" s="251"/>
      <c r="N335" s="251"/>
      <c r="O335" s="251"/>
      <c r="P335" s="256">
        <f t="shared" si="103"/>
        <v>0</v>
      </c>
      <c r="Q335" s="262"/>
      <c r="R335" s="262"/>
      <c r="S335" s="262"/>
      <c r="T335" s="262"/>
      <c r="U335" s="254">
        <f t="shared" si="105"/>
        <v>0</v>
      </c>
      <c r="V335" s="254">
        <f t="shared" si="106"/>
        <v>0</v>
      </c>
    </row>
    <row r="336" spans="1:22">
      <c r="A336" s="255">
        <f>IF($A$37="","",$A$37)</f>
        <v>45292</v>
      </c>
      <c r="B336" s="251"/>
      <c r="C336" s="251"/>
      <c r="D336" s="251"/>
      <c r="E336" s="251"/>
      <c r="F336" s="251"/>
      <c r="G336" s="252">
        <f t="shared" si="104"/>
        <v>0</v>
      </c>
      <c r="H336" s="251"/>
      <c r="I336" s="251"/>
      <c r="J336" s="251"/>
      <c r="K336" s="251"/>
      <c r="L336" s="251"/>
      <c r="M336" s="251"/>
      <c r="N336" s="251"/>
      <c r="O336" s="251"/>
      <c r="P336" s="256">
        <f t="shared" si="103"/>
        <v>0</v>
      </c>
      <c r="Q336" s="262"/>
      <c r="R336" s="262"/>
      <c r="S336" s="262"/>
      <c r="T336" s="262"/>
      <c r="U336" s="254">
        <f t="shared" si="105"/>
        <v>0</v>
      </c>
      <c r="V336" s="254">
        <f t="shared" si="106"/>
        <v>0</v>
      </c>
    </row>
    <row r="337" spans="1:22">
      <c r="A337" s="255">
        <f>IF($A$38="","",$A$38)</f>
        <v>45323</v>
      </c>
      <c r="B337" s="251"/>
      <c r="C337" s="251"/>
      <c r="D337" s="251"/>
      <c r="E337" s="251"/>
      <c r="F337" s="251"/>
      <c r="G337" s="252">
        <f t="shared" si="104"/>
        <v>0</v>
      </c>
      <c r="H337" s="251"/>
      <c r="I337" s="251"/>
      <c r="J337" s="251"/>
      <c r="K337" s="251"/>
      <c r="L337" s="251"/>
      <c r="M337" s="251"/>
      <c r="N337" s="251"/>
      <c r="O337" s="251"/>
      <c r="P337" s="256">
        <f t="shared" si="103"/>
        <v>0</v>
      </c>
      <c r="Q337" s="262"/>
      <c r="R337" s="262"/>
      <c r="S337" s="262"/>
      <c r="T337" s="262"/>
      <c r="U337" s="254">
        <f t="shared" si="105"/>
        <v>0</v>
      </c>
      <c r="V337" s="254">
        <f t="shared" si="106"/>
        <v>0</v>
      </c>
    </row>
    <row r="338" spans="1:22">
      <c r="A338" s="245" t="s">
        <v>524</v>
      </c>
      <c r="B338" s="254">
        <f t="shared" ref="B338:I338" si="107">+SUM(B326:B337)</f>
        <v>0</v>
      </c>
      <c r="C338" s="254">
        <f t="shared" si="107"/>
        <v>0</v>
      </c>
      <c r="D338" s="254">
        <f t="shared" si="107"/>
        <v>0</v>
      </c>
      <c r="E338" s="254">
        <f t="shared" si="107"/>
        <v>0</v>
      </c>
      <c r="F338" s="254">
        <f t="shared" si="107"/>
        <v>0</v>
      </c>
      <c r="G338" s="254">
        <f t="shared" si="107"/>
        <v>0</v>
      </c>
      <c r="H338" s="254">
        <f t="shared" si="107"/>
        <v>0</v>
      </c>
      <c r="I338" s="254">
        <f t="shared" si="107"/>
        <v>0</v>
      </c>
      <c r="J338" s="254">
        <f t="shared" ref="J338:O338" si="108">+SUM(J326:J337)</f>
        <v>0</v>
      </c>
      <c r="K338" s="254">
        <f t="shared" si="108"/>
        <v>0</v>
      </c>
      <c r="L338" s="254">
        <f t="shared" si="108"/>
        <v>0</v>
      </c>
      <c r="M338" s="254">
        <f t="shared" si="108"/>
        <v>0</v>
      </c>
      <c r="N338" s="254">
        <f t="shared" si="108"/>
        <v>0</v>
      </c>
      <c r="O338" s="254">
        <f t="shared" si="108"/>
        <v>0</v>
      </c>
      <c r="P338" s="254">
        <f t="shared" ref="P338:V338" si="109">+SUM(P326:P337)</f>
        <v>0</v>
      </c>
      <c r="Q338" s="254">
        <f t="shared" si="109"/>
        <v>0</v>
      </c>
      <c r="R338" s="254">
        <f t="shared" si="109"/>
        <v>0</v>
      </c>
      <c r="S338" s="254">
        <f t="shared" si="109"/>
        <v>0</v>
      </c>
      <c r="T338" s="254">
        <f t="shared" si="109"/>
        <v>0</v>
      </c>
      <c r="U338" s="254">
        <f t="shared" si="109"/>
        <v>0</v>
      </c>
      <c r="V338" s="254">
        <f t="shared" si="109"/>
        <v>0</v>
      </c>
    </row>
    <row r="339" spans="1:22">
      <c r="A339" s="245" t="s">
        <v>525</v>
      </c>
      <c r="B339" s="254">
        <f>IFERROR(B338/(COUNTA(A326:A337)-COUNTIF(A326:A337,"")),0)</f>
        <v>0</v>
      </c>
      <c r="C339" s="254">
        <f>IFERROR(C338/(COUNTA(A326:A337)-COUNTIF(A326:A337,"")),0)</f>
        <v>0</v>
      </c>
      <c r="D339" s="254">
        <f>IFERROR(D338/(COUNTA(A326:A337)-COUNTIF(A326:A337,"")),0)</f>
        <v>0</v>
      </c>
      <c r="E339" s="254">
        <f>IFERROR(E338/(COUNTA(A326:A337)-COUNTIF(A326:A337,"")),0)</f>
        <v>0</v>
      </c>
      <c r="F339" s="254">
        <f>IFERROR(F338/(COUNTA(A326:A337)-COUNTIF(A326:A337,"")),0)</f>
        <v>0</v>
      </c>
      <c r="G339" s="254">
        <f>IFERROR(G338/(COUNTA(A326:A337)-COUNTIF(A326:A337,"")),0)</f>
        <v>0</v>
      </c>
      <c r="H339" s="254">
        <f>IFERROR(H338/(COUNTA(A326:A337)-COUNTIF(A326:A337,"")),0)</f>
        <v>0</v>
      </c>
      <c r="I339" s="254">
        <f>IFERROR(I338/(COUNTA(A326:A337)-COUNTIF(A326:A337,"")),0)</f>
        <v>0</v>
      </c>
      <c r="J339" s="254">
        <f>IFERROR(J338/(COUNTA(A326:A337)-COUNTIF(A326:A337,"")),0)</f>
        <v>0</v>
      </c>
      <c r="K339" s="254">
        <f>IFERROR(K338/(COUNTA(A326:A337)-COUNTIF(A326:A337,"")),0)</f>
        <v>0</v>
      </c>
      <c r="L339" s="254">
        <f>IFERROR(L338/(COUNTA(A326:A337)-COUNTIF(A326:A337,"")),0)</f>
        <v>0</v>
      </c>
      <c r="M339" s="254">
        <f>IFERROR(M338/(COUNTA(A326:A337)-COUNTIF(A326:A337,"")),0)</f>
        <v>0</v>
      </c>
      <c r="N339" s="254">
        <f>IFERROR(N338/(COUNTA(A326:A337)-COUNTIF(A326:A337,"")),0)</f>
        <v>0</v>
      </c>
      <c r="O339" s="254">
        <f>IFERROR(O338/(COUNTA(A326:A337)-COUNTIF(A326:A337,"")),0)</f>
        <v>0</v>
      </c>
      <c r="P339" s="254">
        <f>IFERROR(P338/(COUNTA(A326:A337)-COUNTIF(A326:A337,"")),0)</f>
        <v>0</v>
      </c>
      <c r="Q339" s="259"/>
      <c r="R339" s="259"/>
      <c r="S339" s="246">
        <f>IFERROR(R338/S338*100,0)</f>
        <v>0</v>
      </c>
      <c r="T339" s="246">
        <f>IFERROR(Q338/T338*100,0)</f>
        <v>0</v>
      </c>
      <c r="U339" s="254">
        <f>IFERROR(U338/COUNTA(A326:A337),0)</f>
        <v>0</v>
      </c>
      <c r="V339" s="254">
        <f>IFERROR(V338/COUNTA(A326:A337),0)</f>
        <v>0</v>
      </c>
    </row>
    <row r="340" spans="1:22" ht="38.25">
      <c r="A340" s="245" t="s">
        <v>526</v>
      </c>
      <c r="B340" s="254">
        <f>O323+B339</f>
        <v>0</v>
      </c>
      <c r="C340" s="254">
        <f>O323+C339</f>
        <v>0</v>
      </c>
      <c r="D340" s="254">
        <f>O323+D339</f>
        <v>0</v>
      </c>
      <c r="E340" s="254"/>
      <c r="F340" s="254"/>
      <c r="G340" s="254">
        <f>O323+G339</f>
        <v>0</v>
      </c>
      <c r="H340" s="254"/>
      <c r="I340" s="254"/>
      <c r="J340" s="254"/>
      <c r="K340" s="254"/>
      <c r="L340" s="254"/>
      <c r="M340" s="254"/>
      <c r="N340" s="254"/>
      <c r="O340" s="254"/>
      <c r="P340" s="254"/>
      <c r="Q340" s="259"/>
      <c r="R340" s="259"/>
      <c r="S340" s="260" t="s">
        <v>527</v>
      </c>
      <c r="T340" s="260" t="s">
        <v>528</v>
      </c>
      <c r="U340" s="260"/>
      <c r="V340" s="260"/>
    </row>
    <row r="341" spans="1:22"/>
    <row r="342" spans="1:22"/>
    <row r="343" spans="1:22"/>
    <row r="344" spans="1:22" ht="12.75" customHeight="1">
      <c r="A344" s="432" t="s">
        <v>504</v>
      </c>
      <c r="B344" s="432"/>
      <c r="C344" s="437"/>
      <c r="D344" s="438"/>
      <c r="E344" s="438"/>
      <c r="F344" s="438"/>
      <c r="G344" s="438"/>
      <c r="H344" s="438"/>
      <c r="I344" s="438"/>
      <c r="J344" s="438"/>
      <c r="K344" s="438"/>
      <c r="L344" s="438"/>
      <c r="M344" s="438"/>
      <c r="N344" s="438"/>
      <c r="O344" s="438"/>
      <c r="P344" s="438"/>
      <c r="Q344" s="438"/>
      <c r="R344" s="438"/>
      <c r="S344" s="438"/>
      <c r="T344" s="439"/>
      <c r="U344" s="247"/>
      <c r="V344" s="247"/>
    </row>
    <row r="345" spans="1:22" ht="12.75" customHeight="1">
      <c r="A345" s="432" t="s">
        <v>530</v>
      </c>
      <c r="B345" s="432"/>
      <c r="C345" s="440"/>
      <c r="D345" s="440"/>
      <c r="E345" s="440"/>
      <c r="F345" s="440"/>
      <c r="G345" s="440"/>
      <c r="H345" s="441" t="s">
        <v>532</v>
      </c>
      <c r="I345" s="441"/>
      <c r="J345" s="440"/>
      <c r="K345" s="440"/>
      <c r="L345" s="440"/>
      <c r="M345" s="440"/>
      <c r="N345" s="440"/>
      <c r="O345" s="440"/>
      <c r="P345" s="440"/>
      <c r="Q345" s="440"/>
      <c r="R345" s="440"/>
      <c r="S345" s="440"/>
      <c r="T345" s="440"/>
      <c r="U345" s="247"/>
      <c r="V345" s="247"/>
    </row>
    <row r="346" spans="1:22" ht="25.5" customHeight="1">
      <c r="A346" s="432" t="s">
        <v>533</v>
      </c>
      <c r="B346" s="432"/>
      <c r="C346" s="437"/>
      <c r="D346" s="439"/>
      <c r="E346" s="249" t="s">
        <v>535</v>
      </c>
      <c r="F346" s="442"/>
      <c r="G346" s="443"/>
      <c r="H346" s="443"/>
      <c r="I346" s="444"/>
      <c r="J346" s="249" t="s">
        <v>537</v>
      </c>
      <c r="K346" s="442"/>
      <c r="L346" s="443"/>
      <c r="M346" s="444"/>
      <c r="N346" s="248" t="s">
        <v>538</v>
      </c>
      <c r="O346" s="445"/>
      <c r="P346" s="446"/>
      <c r="Q346" s="446"/>
      <c r="R346" s="446"/>
      <c r="S346" s="446"/>
      <c r="T346" s="447"/>
      <c r="U346" s="261"/>
      <c r="V346" s="261"/>
    </row>
    <row r="347" spans="1:22" ht="38.25" customHeight="1">
      <c r="A347" s="239" t="s">
        <v>161</v>
      </c>
      <c r="B347" s="434" t="s">
        <v>539</v>
      </c>
      <c r="C347" s="434"/>
      <c r="D347" s="434"/>
      <c r="E347" s="240" t="s">
        <v>540</v>
      </c>
      <c r="F347" s="240" t="s">
        <v>541</v>
      </c>
      <c r="G347" s="239" t="s">
        <v>542</v>
      </c>
      <c r="H347" s="239" t="s">
        <v>543</v>
      </c>
      <c r="I347" s="239" t="s">
        <v>544</v>
      </c>
      <c r="J347" s="240" t="s">
        <v>545</v>
      </c>
      <c r="K347" s="240" t="s">
        <v>546</v>
      </c>
      <c r="L347" s="435" t="s">
        <v>547</v>
      </c>
      <c r="M347" s="436"/>
      <c r="N347" s="435" t="s">
        <v>548</v>
      </c>
      <c r="O347" s="436"/>
      <c r="P347" s="239" t="s">
        <v>549</v>
      </c>
      <c r="Q347" s="239" t="s">
        <v>516</v>
      </c>
      <c r="R347" s="239" t="s">
        <v>517</v>
      </c>
      <c r="S347" s="239" t="s">
        <v>518</v>
      </c>
      <c r="T347" s="239" t="s">
        <v>519</v>
      </c>
      <c r="U347" s="239" t="s">
        <v>550</v>
      </c>
      <c r="V347" s="239" t="s">
        <v>551</v>
      </c>
    </row>
    <row r="348" spans="1:22">
      <c r="A348" s="239"/>
      <c r="B348" s="239">
        <v>10</v>
      </c>
      <c r="C348" s="239">
        <v>20</v>
      </c>
      <c r="D348" s="239">
        <v>30</v>
      </c>
      <c r="E348" s="239"/>
      <c r="F348" s="239"/>
      <c r="G348" s="239"/>
      <c r="H348" s="239"/>
      <c r="I348" s="239"/>
      <c r="J348" s="239"/>
      <c r="K348" s="239"/>
      <c r="L348" s="239" t="s">
        <v>522</v>
      </c>
      <c r="M348" s="239" t="s">
        <v>523</v>
      </c>
      <c r="N348" s="239" t="s">
        <v>522</v>
      </c>
      <c r="O348" s="239" t="s">
        <v>523</v>
      </c>
      <c r="P348" s="239"/>
      <c r="Q348" s="239"/>
      <c r="R348" s="239"/>
      <c r="S348" s="239"/>
      <c r="T348" s="239"/>
      <c r="U348" s="239"/>
      <c r="V348" s="239"/>
    </row>
    <row r="349" spans="1:22">
      <c r="A349" s="255">
        <f>IF($A$27="","",$A$27)</f>
        <v>44986</v>
      </c>
      <c r="B349" s="251"/>
      <c r="C349" s="251"/>
      <c r="D349" s="251"/>
      <c r="E349" s="251"/>
      <c r="F349" s="251"/>
      <c r="G349" s="252">
        <f>IFERROR(AVERAGE(B349:D349),0)</f>
        <v>0</v>
      </c>
      <c r="H349" s="251"/>
      <c r="I349" s="251"/>
      <c r="J349" s="251"/>
      <c r="K349" s="251"/>
      <c r="L349" s="251"/>
      <c r="M349" s="251"/>
      <c r="N349" s="251"/>
      <c r="O349" s="251"/>
      <c r="P349" s="256">
        <f t="shared" ref="P349:P360" si="110">+H349-I349-J349-M349+L349</f>
        <v>0</v>
      </c>
      <c r="Q349" s="262"/>
      <c r="R349" s="262"/>
      <c r="S349" s="262"/>
      <c r="T349" s="262"/>
      <c r="U349" s="254">
        <f>H349-J349-M349</f>
        <v>0</v>
      </c>
      <c r="V349" s="254">
        <f>I349-L349</f>
        <v>0</v>
      </c>
    </row>
    <row r="350" spans="1:22">
      <c r="A350" s="255">
        <f>IF($A$28="","",$A$28)</f>
        <v>45017</v>
      </c>
      <c r="B350" s="251"/>
      <c r="C350" s="251"/>
      <c r="D350" s="251"/>
      <c r="E350" s="251"/>
      <c r="F350" s="251"/>
      <c r="G350" s="252">
        <f t="shared" ref="G350:G360" si="111">IFERROR(AVERAGE(B350:D350),0)</f>
        <v>0</v>
      </c>
      <c r="H350" s="251"/>
      <c r="I350" s="251"/>
      <c r="J350" s="251"/>
      <c r="K350" s="251"/>
      <c r="L350" s="251"/>
      <c r="M350" s="251"/>
      <c r="N350" s="251"/>
      <c r="O350" s="251"/>
      <c r="P350" s="256">
        <f t="shared" si="110"/>
        <v>0</v>
      </c>
      <c r="Q350" s="262"/>
      <c r="R350" s="262"/>
      <c r="S350" s="262"/>
      <c r="T350" s="262"/>
      <c r="U350" s="254">
        <f t="shared" ref="U350:U360" si="112">H350-J350-M350</f>
        <v>0</v>
      </c>
      <c r="V350" s="254">
        <f t="shared" ref="V350:V360" si="113">I350-L350</f>
        <v>0</v>
      </c>
    </row>
    <row r="351" spans="1:22">
      <c r="A351" s="255">
        <f>IF($A$29="","",$A$29)</f>
        <v>45047</v>
      </c>
      <c r="B351" s="251"/>
      <c r="C351" s="251"/>
      <c r="D351" s="251"/>
      <c r="E351" s="251"/>
      <c r="F351" s="251"/>
      <c r="G351" s="252">
        <f t="shared" si="111"/>
        <v>0</v>
      </c>
      <c r="H351" s="251"/>
      <c r="I351" s="251"/>
      <c r="J351" s="251"/>
      <c r="K351" s="251"/>
      <c r="L351" s="251"/>
      <c r="M351" s="251"/>
      <c r="N351" s="251"/>
      <c r="O351" s="251"/>
      <c r="P351" s="256">
        <f t="shared" si="110"/>
        <v>0</v>
      </c>
      <c r="Q351" s="262"/>
      <c r="R351" s="262"/>
      <c r="S351" s="262"/>
      <c r="T351" s="262"/>
      <c r="U351" s="254">
        <f t="shared" si="112"/>
        <v>0</v>
      </c>
      <c r="V351" s="254">
        <f t="shared" si="113"/>
        <v>0</v>
      </c>
    </row>
    <row r="352" spans="1:22">
      <c r="A352" s="255">
        <f>IF($A$30="","",$A$30)</f>
        <v>45078</v>
      </c>
      <c r="B352" s="251"/>
      <c r="C352" s="251"/>
      <c r="D352" s="251"/>
      <c r="E352" s="251"/>
      <c r="F352" s="251"/>
      <c r="G352" s="252">
        <f t="shared" si="111"/>
        <v>0</v>
      </c>
      <c r="H352" s="251"/>
      <c r="I352" s="251"/>
      <c r="J352" s="251"/>
      <c r="K352" s="251"/>
      <c r="L352" s="251"/>
      <c r="M352" s="251"/>
      <c r="N352" s="251"/>
      <c r="O352" s="251"/>
      <c r="P352" s="256">
        <f t="shared" si="110"/>
        <v>0</v>
      </c>
      <c r="Q352" s="262"/>
      <c r="R352" s="262"/>
      <c r="S352" s="262"/>
      <c r="T352" s="262"/>
      <c r="U352" s="254">
        <f t="shared" si="112"/>
        <v>0</v>
      </c>
      <c r="V352" s="254">
        <f t="shared" si="113"/>
        <v>0</v>
      </c>
    </row>
    <row r="353" spans="1:22">
      <c r="A353" s="255">
        <f>IF($A$31="","",$A$31)</f>
        <v>45108</v>
      </c>
      <c r="B353" s="251"/>
      <c r="C353" s="251"/>
      <c r="D353" s="251"/>
      <c r="E353" s="251"/>
      <c r="F353" s="251"/>
      <c r="G353" s="252">
        <f t="shared" si="111"/>
        <v>0</v>
      </c>
      <c r="H353" s="251"/>
      <c r="I353" s="251"/>
      <c r="J353" s="251"/>
      <c r="K353" s="251"/>
      <c r="L353" s="251"/>
      <c r="M353" s="251"/>
      <c r="N353" s="251"/>
      <c r="O353" s="251"/>
      <c r="P353" s="256">
        <f t="shared" si="110"/>
        <v>0</v>
      </c>
      <c r="Q353" s="262"/>
      <c r="R353" s="262"/>
      <c r="S353" s="262"/>
      <c r="T353" s="262"/>
      <c r="U353" s="254">
        <f t="shared" si="112"/>
        <v>0</v>
      </c>
      <c r="V353" s="254">
        <f t="shared" si="113"/>
        <v>0</v>
      </c>
    </row>
    <row r="354" spans="1:22">
      <c r="A354" s="255">
        <f>IF($A$32="","",$A$32)</f>
        <v>45139</v>
      </c>
      <c r="B354" s="251"/>
      <c r="C354" s="251"/>
      <c r="D354" s="251"/>
      <c r="E354" s="251"/>
      <c r="F354" s="251"/>
      <c r="G354" s="252">
        <f t="shared" si="111"/>
        <v>0</v>
      </c>
      <c r="H354" s="251"/>
      <c r="I354" s="251"/>
      <c r="J354" s="251"/>
      <c r="K354" s="251"/>
      <c r="L354" s="251"/>
      <c r="M354" s="251"/>
      <c r="N354" s="251"/>
      <c r="O354" s="251"/>
      <c r="P354" s="256">
        <f t="shared" si="110"/>
        <v>0</v>
      </c>
      <c r="Q354" s="262"/>
      <c r="R354" s="262"/>
      <c r="S354" s="262"/>
      <c r="T354" s="262"/>
      <c r="U354" s="254">
        <f t="shared" si="112"/>
        <v>0</v>
      </c>
      <c r="V354" s="254">
        <f t="shared" si="113"/>
        <v>0</v>
      </c>
    </row>
    <row r="355" spans="1:22">
      <c r="A355" s="255">
        <f>IF($A$33="","",$A$33)</f>
        <v>45170</v>
      </c>
      <c r="B355" s="251"/>
      <c r="C355" s="251"/>
      <c r="D355" s="251"/>
      <c r="E355" s="251"/>
      <c r="F355" s="251"/>
      <c r="G355" s="252">
        <f t="shared" si="111"/>
        <v>0</v>
      </c>
      <c r="H355" s="251"/>
      <c r="I355" s="251"/>
      <c r="J355" s="251"/>
      <c r="K355" s="251"/>
      <c r="L355" s="251"/>
      <c r="M355" s="251"/>
      <c r="N355" s="251"/>
      <c r="O355" s="251"/>
      <c r="P355" s="256">
        <f t="shared" si="110"/>
        <v>0</v>
      </c>
      <c r="Q355" s="262"/>
      <c r="R355" s="262"/>
      <c r="S355" s="262"/>
      <c r="T355" s="262"/>
      <c r="U355" s="254">
        <f t="shared" si="112"/>
        <v>0</v>
      </c>
      <c r="V355" s="254">
        <f t="shared" si="113"/>
        <v>0</v>
      </c>
    </row>
    <row r="356" spans="1:22">
      <c r="A356" s="255">
        <f>IF($A$34="","",$A$34)</f>
        <v>45200</v>
      </c>
      <c r="B356" s="251"/>
      <c r="C356" s="251"/>
      <c r="D356" s="251"/>
      <c r="E356" s="251"/>
      <c r="F356" s="251"/>
      <c r="G356" s="252">
        <f t="shared" si="111"/>
        <v>0</v>
      </c>
      <c r="H356" s="251"/>
      <c r="I356" s="251"/>
      <c r="J356" s="251"/>
      <c r="K356" s="251"/>
      <c r="L356" s="251"/>
      <c r="M356" s="251"/>
      <c r="N356" s="251"/>
      <c r="O356" s="251"/>
      <c r="P356" s="256">
        <f t="shared" si="110"/>
        <v>0</v>
      </c>
      <c r="Q356" s="262"/>
      <c r="R356" s="262"/>
      <c r="S356" s="262"/>
      <c r="T356" s="262"/>
      <c r="U356" s="254">
        <f t="shared" si="112"/>
        <v>0</v>
      </c>
      <c r="V356" s="254">
        <f t="shared" si="113"/>
        <v>0</v>
      </c>
    </row>
    <row r="357" spans="1:22">
      <c r="A357" s="255">
        <f>IF($A$35="","",$A$35)</f>
        <v>45231</v>
      </c>
      <c r="B357" s="251"/>
      <c r="C357" s="251"/>
      <c r="D357" s="251"/>
      <c r="E357" s="251"/>
      <c r="F357" s="251"/>
      <c r="G357" s="252">
        <f t="shared" si="111"/>
        <v>0</v>
      </c>
      <c r="H357" s="251"/>
      <c r="I357" s="251"/>
      <c r="J357" s="251"/>
      <c r="K357" s="251"/>
      <c r="L357" s="251"/>
      <c r="M357" s="251"/>
      <c r="N357" s="251"/>
      <c r="O357" s="251"/>
      <c r="P357" s="256">
        <f t="shared" si="110"/>
        <v>0</v>
      </c>
      <c r="Q357" s="262"/>
      <c r="R357" s="262"/>
      <c r="S357" s="262"/>
      <c r="T357" s="262"/>
      <c r="U357" s="254">
        <f t="shared" si="112"/>
        <v>0</v>
      </c>
      <c r="V357" s="254">
        <f t="shared" si="113"/>
        <v>0</v>
      </c>
    </row>
    <row r="358" spans="1:22">
      <c r="A358" s="255">
        <f>IF($A$36="","",$A$36)</f>
        <v>45261</v>
      </c>
      <c r="B358" s="251"/>
      <c r="C358" s="251"/>
      <c r="D358" s="251"/>
      <c r="E358" s="251"/>
      <c r="F358" s="251"/>
      <c r="G358" s="252">
        <f t="shared" si="111"/>
        <v>0</v>
      </c>
      <c r="H358" s="251"/>
      <c r="I358" s="251"/>
      <c r="J358" s="251"/>
      <c r="K358" s="251"/>
      <c r="L358" s="251"/>
      <c r="M358" s="251"/>
      <c r="N358" s="251"/>
      <c r="O358" s="251"/>
      <c r="P358" s="256">
        <f t="shared" si="110"/>
        <v>0</v>
      </c>
      <c r="Q358" s="262"/>
      <c r="R358" s="262"/>
      <c r="S358" s="262"/>
      <c r="T358" s="262"/>
      <c r="U358" s="254">
        <f t="shared" si="112"/>
        <v>0</v>
      </c>
      <c r="V358" s="254">
        <f t="shared" si="113"/>
        <v>0</v>
      </c>
    </row>
    <row r="359" spans="1:22">
      <c r="A359" s="255">
        <f>IF($A$37="","",$A$37)</f>
        <v>45292</v>
      </c>
      <c r="B359" s="251"/>
      <c r="C359" s="251"/>
      <c r="D359" s="251"/>
      <c r="E359" s="251"/>
      <c r="F359" s="251"/>
      <c r="G359" s="252">
        <f t="shared" si="111"/>
        <v>0</v>
      </c>
      <c r="H359" s="251"/>
      <c r="I359" s="251"/>
      <c r="J359" s="251"/>
      <c r="K359" s="251"/>
      <c r="L359" s="251"/>
      <c r="M359" s="251"/>
      <c r="N359" s="251"/>
      <c r="O359" s="251"/>
      <c r="P359" s="256">
        <f t="shared" si="110"/>
        <v>0</v>
      </c>
      <c r="Q359" s="262"/>
      <c r="R359" s="262"/>
      <c r="S359" s="262"/>
      <c r="T359" s="262"/>
      <c r="U359" s="254">
        <f t="shared" si="112"/>
        <v>0</v>
      </c>
      <c r="V359" s="254">
        <f t="shared" si="113"/>
        <v>0</v>
      </c>
    </row>
    <row r="360" spans="1:22">
      <c r="A360" s="255">
        <f>IF($A$38="","",$A$38)</f>
        <v>45323</v>
      </c>
      <c r="B360" s="251"/>
      <c r="C360" s="251"/>
      <c r="D360" s="251"/>
      <c r="E360" s="251"/>
      <c r="F360" s="251"/>
      <c r="G360" s="252">
        <f t="shared" si="111"/>
        <v>0</v>
      </c>
      <c r="H360" s="251"/>
      <c r="I360" s="251"/>
      <c r="J360" s="251"/>
      <c r="K360" s="251"/>
      <c r="L360" s="251"/>
      <c r="M360" s="251"/>
      <c r="N360" s="251"/>
      <c r="O360" s="251"/>
      <c r="P360" s="256">
        <f t="shared" si="110"/>
        <v>0</v>
      </c>
      <c r="Q360" s="262"/>
      <c r="R360" s="262"/>
      <c r="S360" s="262"/>
      <c r="T360" s="262"/>
      <c r="U360" s="254">
        <f t="shared" si="112"/>
        <v>0</v>
      </c>
      <c r="V360" s="254">
        <f t="shared" si="113"/>
        <v>0</v>
      </c>
    </row>
    <row r="361" spans="1:22">
      <c r="A361" s="245" t="s">
        <v>524</v>
      </c>
      <c r="B361" s="254">
        <f t="shared" ref="B361:I361" si="114">+SUM(B349:B360)</f>
        <v>0</v>
      </c>
      <c r="C361" s="254">
        <f t="shared" si="114"/>
        <v>0</v>
      </c>
      <c r="D361" s="254">
        <f t="shared" si="114"/>
        <v>0</v>
      </c>
      <c r="E361" s="254">
        <f t="shared" si="114"/>
        <v>0</v>
      </c>
      <c r="F361" s="254">
        <f t="shared" si="114"/>
        <v>0</v>
      </c>
      <c r="G361" s="254">
        <f t="shared" si="114"/>
        <v>0</v>
      </c>
      <c r="H361" s="254">
        <f t="shared" si="114"/>
        <v>0</v>
      </c>
      <c r="I361" s="254">
        <f t="shared" si="114"/>
        <v>0</v>
      </c>
      <c r="J361" s="254">
        <f t="shared" ref="J361:O361" si="115">+SUM(J349:J360)</f>
        <v>0</v>
      </c>
      <c r="K361" s="254">
        <f t="shared" si="115"/>
        <v>0</v>
      </c>
      <c r="L361" s="254">
        <f t="shared" si="115"/>
        <v>0</v>
      </c>
      <c r="M361" s="254">
        <f t="shared" si="115"/>
        <v>0</v>
      </c>
      <c r="N361" s="254">
        <f t="shared" si="115"/>
        <v>0</v>
      </c>
      <c r="O361" s="254">
        <f t="shared" si="115"/>
        <v>0</v>
      </c>
      <c r="P361" s="254">
        <f t="shared" ref="P361:V361" si="116">+SUM(P349:P360)</f>
        <v>0</v>
      </c>
      <c r="Q361" s="254">
        <f t="shared" si="116"/>
        <v>0</v>
      </c>
      <c r="R361" s="254">
        <f t="shared" si="116"/>
        <v>0</v>
      </c>
      <c r="S361" s="254">
        <f t="shared" si="116"/>
        <v>0</v>
      </c>
      <c r="T361" s="254">
        <f t="shared" si="116"/>
        <v>0</v>
      </c>
      <c r="U361" s="254">
        <f t="shared" si="116"/>
        <v>0</v>
      </c>
      <c r="V361" s="254">
        <f t="shared" si="116"/>
        <v>0</v>
      </c>
    </row>
    <row r="362" spans="1:22">
      <c r="A362" s="245" t="s">
        <v>525</v>
      </c>
      <c r="B362" s="254">
        <f>IFERROR(B361/(COUNTA(A349:A360)-COUNTIF(A349:A360,"")),0)</f>
        <v>0</v>
      </c>
      <c r="C362" s="254">
        <f>IFERROR(C361/(COUNTA(A349:A360)-COUNTIF(A349:A360,"")),0)</f>
        <v>0</v>
      </c>
      <c r="D362" s="254">
        <f>IFERROR(D361/(COUNTA(A349:A360)-COUNTIF(A349:A360,"")),0)</f>
        <v>0</v>
      </c>
      <c r="E362" s="254">
        <f>IFERROR(E361/(COUNTA(A349:A360)-COUNTIF(A349:A360,"")),0)</f>
        <v>0</v>
      </c>
      <c r="F362" s="254">
        <f>IFERROR(F361/(COUNTA(A349:A360)-COUNTIF(A349:A360,"")),0)</f>
        <v>0</v>
      </c>
      <c r="G362" s="254">
        <f>IFERROR(G361/(COUNTA(A349:A360)-COUNTIF(A349:A360,"")),0)</f>
        <v>0</v>
      </c>
      <c r="H362" s="254">
        <f>IFERROR(H361/(COUNTA(A349:A360)-COUNTIF(A349:A360,"")),0)</f>
        <v>0</v>
      </c>
      <c r="I362" s="254">
        <f>IFERROR(I361/(COUNTA(A349:A360)-COUNTIF(A349:A360,"")),0)</f>
        <v>0</v>
      </c>
      <c r="J362" s="254">
        <f>IFERROR(J361/(COUNTA(A349:A360)-COUNTIF(A349:A360,"")),0)</f>
        <v>0</v>
      </c>
      <c r="K362" s="254">
        <f>IFERROR(K361/(COUNTA(A349:A360)-COUNTIF(A349:A360,"")),0)</f>
        <v>0</v>
      </c>
      <c r="L362" s="254">
        <f>IFERROR(L361/(COUNTA(A349:A360)-COUNTIF(A349:A360,"")),0)</f>
        <v>0</v>
      </c>
      <c r="M362" s="254">
        <f>IFERROR(M361/(COUNTA(A349:A360)-COUNTIF(A349:A360,"")),0)</f>
        <v>0</v>
      </c>
      <c r="N362" s="254">
        <f>IFERROR(N361/(COUNTA(A349:A360)-COUNTIF(A349:A360,"")),0)</f>
        <v>0</v>
      </c>
      <c r="O362" s="254">
        <f>IFERROR(O361/(COUNTA(A349:A360)-COUNTIF(A349:A360,"")),0)</f>
        <v>0</v>
      </c>
      <c r="P362" s="254">
        <f>IFERROR(P361/(COUNTA(A349:A360)-COUNTIF(A349:A360,"")),0)</f>
        <v>0</v>
      </c>
      <c r="Q362" s="259"/>
      <c r="R362" s="259"/>
      <c r="S362" s="246">
        <f>IFERROR(R361/S361*100,0)</f>
        <v>0</v>
      </c>
      <c r="T362" s="246">
        <f>IFERROR(Q361/T361*100,0)</f>
        <v>0</v>
      </c>
      <c r="U362" s="254">
        <f>IFERROR(U361/COUNTA(A349:A360),0)</f>
        <v>0</v>
      </c>
      <c r="V362" s="254">
        <f>IFERROR(V361/COUNTA(A349:A360),0)</f>
        <v>0</v>
      </c>
    </row>
    <row r="363" spans="1:22" ht="38.25">
      <c r="A363" s="245" t="s">
        <v>526</v>
      </c>
      <c r="B363" s="254">
        <f>O346+B362</f>
        <v>0</v>
      </c>
      <c r="C363" s="254">
        <f>O346+C362</f>
        <v>0</v>
      </c>
      <c r="D363" s="254">
        <f>O346+D362</f>
        <v>0</v>
      </c>
      <c r="E363" s="254"/>
      <c r="F363" s="254"/>
      <c r="G363" s="254">
        <f>O346+G362</f>
        <v>0</v>
      </c>
      <c r="H363" s="254"/>
      <c r="I363" s="254"/>
      <c r="J363" s="254"/>
      <c r="K363" s="254"/>
      <c r="L363" s="254"/>
      <c r="M363" s="254"/>
      <c r="N363" s="254"/>
      <c r="O363" s="254"/>
      <c r="P363" s="254"/>
      <c r="Q363" s="259"/>
      <c r="R363" s="259"/>
      <c r="S363" s="260" t="s">
        <v>527</v>
      </c>
      <c r="T363" s="260" t="s">
        <v>528</v>
      </c>
      <c r="U363" s="260"/>
      <c r="V363" s="260"/>
    </row>
    <row r="364" spans="1:22"/>
    <row r="365" spans="1:22"/>
    <row r="366" spans="1:22"/>
    <row r="367" spans="1:22" ht="12.75" customHeight="1">
      <c r="A367" s="432" t="s">
        <v>504</v>
      </c>
      <c r="B367" s="432"/>
      <c r="C367" s="437"/>
      <c r="D367" s="438"/>
      <c r="E367" s="438"/>
      <c r="F367" s="438"/>
      <c r="G367" s="438"/>
      <c r="H367" s="438"/>
      <c r="I367" s="438"/>
      <c r="J367" s="438"/>
      <c r="K367" s="438"/>
      <c r="L367" s="438"/>
      <c r="M367" s="438"/>
      <c r="N367" s="438"/>
      <c r="O367" s="438"/>
      <c r="P367" s="438"/>
      <c r="Q367" s="438"/>
      <c r="R367" s="438"/>
      <c r="S367" s="438"/>
      <c r="T367" s="439"/>
      <c r="U367" s="247"/>
      <c r="V367" s="247"/>
    </row>
    <row r="368" spans="1:22" ht="12.75" customHeight="1">
      <c r="A368" s="432" t="s">
        <v>530</v>
      </c>
      <c r="B368" s="432"/>
      <c r="C368" s="440"/>
      <c r="D368" s="440"/>
      <c r="E368" s="440"/>
      <c r="F368" s="440"/>
      <c r="G368" s="440"/>
      <c r="H368" s="441" t="s">
        <v>532</v>
      </c>
      <c r="I368" s="441"/>
      <c r="J368" s="440"/>
      <c r="K368" s="440"/>
      <c r="L368" s="440"/>
      <c r="M368" s="440"/>
      <c r="N368" s="440"/>
      <c r="O368" s="440"/>
      <c r="P368" s="440"/>
      <c r="Q368" s="440"/>
      <c r="R368" s="440"/>
      <c r="S368" s="440"/>
      <c r="T368" s="440"/>
      <c r="U368" s="247"/>
      <c r="V368" s="247"/>
    </row>
    <row r="369" spans="1:22" ht="25.5" customHeight="1">
      <c r="A369" s="432" t="s">
        <v>533</v>
      </c>
      <c r="B369" s="432"/>
      <c r="C369" s="437"/>
      <c r="D369" s="439"/>
      <c r="E369" s="249" t="s">
        <v>535</v>
      </c>
      <c r="F369" s="442"/>
      <c r="G369" s="443"/>
      <c r="H369" s="443"/>
      <c r="I369" s="444"/>
      <c r="J369" s="249" t="s">
        <v>537</v>
      </c>
      <c r="K369" s="442"/>
      <c r="L369" s="443"/>
      <c r="M369" s="444"/>
      <c r="N369" s="248" t="s">
        <v>538</v>
      </c>
      <c r="O369" s="445"/>
      <c r="P369" s="446"/>
      <c r="Q369" s="446"/>
      <c r="R369" s="446"/>
      <c r="S369" s="446"/>
      <c r="T369" s="447"/>
      <c r="U369" s="261"/>
      <c r="V369" s="261"/>
    </row>
    <row r="370" spans="1:22" ht="38.25" customHeight="1">
      <c r="A370" s="239" t="s">
        <v>161</v>
      </c>
      <c r="B370" s="434" t="s">
        <v>539</v>
      </c>
      <c r="C370" s="434"/>
      <c r="D370" s="434"/>
      <c r="E370" s="240" t="s">
        <v>540</v>
      </c>
      <c r="F370" s="240" t="s">
        <v>541</v>
      </c>
      <c r="G370" s="239" t="s">
        <v>542</v>
      </c>
      <c r="H370" s="239" t="s">
        <v>543</v>
      </c>
      <c r="I370" s="239" t="s">
        <v>544</v>
      </c>
      <c r="J370" s="240" t="s">
        <v>545</v>
      </c>
      <c r="K370" s="240" t="s">
        <v>546</v>
      </c>
      <c r="L370" s="435" t="s">
        <v>547</v>
      </c>
      <c r="M370" s="436"/>
      <c r="N370" s="435" t="s">
        <v>548</v>
      </c>
      <c r="O370" s="436"/>
      <c r="P370" s="239" t="s">
        <v>549</v>
      </c>
      <c r="Q370" s="239" t="s">
        <v>516</v>
      </c>
      <c r="R370" s="239" t="s">
        <v>517</v>
      </c>
      <c r="S370" s="239" t="s">
        <v>518</v>
      </c>
      <c r="T370" s="239" t="s">
        <v>519</v>
      </c>
      <c r="U370" s="239" t="s">
        <v>550</v>
      </c>
      <c r="V370" s="239" t="s">
        <v>551</v>
      </c>
    </row>
    <row r="371" spans="1:22">
      <c r="A371" s="239"/>
      <c r="B371" s="239">
        <v>10</v>
      </c>
      <c r="C371" s="239">
        <v>20</v>
      </c>
      <c r="D371" s="239">
        <v>30</v>
      </c>
      <c r="E371" s="239"/>
      <c r="F371" s="239"/>
      <c r="G371" s="239"/>
      <c r="H371" s="239"/>
      <c r="I371" s="239"/>
      <c r="J371" s="239"/>
      <c r="K371" s="239"/>
      <c r="L371" s="239" t="s">
        <v>522</v>
      </c>
      <c r="M371" s="239" t="s">
        <v>523</v>
      </c>
      <c r="N371" s="239" t="s">
        <v>522</v>
      </c>
      <c r="O371" s="239" t="s">
        <v>523</v>
      </c>
      <c r="P371" s="239"/>
      <c r="Q371" s="239"/>
      <c r="R371" s="239"/>
      <c r="S371" s="239"/>
      <c r="T371" s="239"/>
      <c r="U371" s="239"/>
      <c r="V371" s="239"/>
    </row>
    <row r="372" spans="1:22">
      <c r="A372" s="255">
        <f>IF($A$27="","",$A$27)</f>
        <v>44986</v>
      </c>
      <c r="B372" s="251"/>
      <c r="C372" s="251"/>
      <c r="D372" s="251"/>
      <c r="E372" s="251"/>
      <c r="F372" s="251"/>
      <c r="G372" s="252">
        <f>IFERROR(AVERAGE(B372:D372),0)</f>
        <v>0</v>
      </c>
      <c r="H372" s="251"/>
      <c r="I372" s="251"/>
      <c r="J372" s="251"/>
      <c r="K372" s="251"/>
      <c r="L372" s="251"/>
      <c r="M372" s="251"/>
      <c r="N372" s="251"/>
      <c r="O372" s="251"/>
      <c r="P372" s="256">
        <f t="shared" ref="P372:P383" si="117">+H372-I372-J372-M372+L372</f>
        <v>0</v>
      </c>
      <c r="Q372" s="262"/>
      <c r="R372" s="262"/>
      <c r="S372" s="262"/>
      <c r="T372" s="262"/>
      <c r="U372" s="254">
        <f>H372-J372-M372</f>
        <v>0</v>
      </c>
      <c r="V372" s="254">
        <f>I372-L372</f>
        <v>0</v>
      </c>
    </row>
    <row r="373" spans="1:22">
      <c r="A373" s="255">
        <f>IF($A$28="","",$A$28)</f>
        <v>45017</v>
      </c>
      <c r="B373" s="251"/>
      <c r="C373" s="251"/>
      <c r="D373" s="251"/>
      <c r="E373" s="251"/>
      <c r="F373" s="251"/>
      <c r="G373" s="252">
        <f t="shared" ref="G373:G383" si="118">IFERROR(AVERAGE(B373:D373),0)</f>
        <v>0</v>
      </c>
      <c r="H373" s="251"/>
      <c r="I373" s="251"/>
      <c r="J373" s="251"/>
      <c r="K373" s="251"/>
      <c r="L373" s="251"/>
      <c r="M373" s="251"/>
      <c r="N373" s="251"/>
      <c r="O373" s="251"/>
      <c r="P373" s="256">
        <f t="shared" si="117"/>
        <v>0</v>
      </c>
      <c r="Q373" s="262"/>
      <c r="R373" s="262"/>
      <c r="S373" s="262"/>
      <c r="T373" s="262"/>
      <c r="U373" s="254">
        <f t="shared" ref="U373:U383" si="119">H373-J373-M373</f>
        <v>0</v>
      </c>
      <c r="V373" s="254">
        <f t="shared" ref="V373:V383" si="120">I373-L373</f>
        <v>0</v>
      </c>
    </row>
    <row r="374" spans="1:22">
      <c r="A374" s="255">
        <f>IF($A$29="","",$A$29)</f>
        <v>45047</v>
      </c>
      <c r="B374" s="251"/>
      <c r="C374" s="251"/>
      <c r="D374" s="251"/>
      <c r="E374" s="251"/>
      <c r="F374" s="251"/>
      <c r="G374" s="252">
        <f t="shared" si="118"/>
        <v>0</v>
      </c>
      <c r="H374" s="251"/>
      <c r="I374" s="251"/>
      <c r="J374" s="251"/>
      <c r="K374" s="251"/>
      <c r="L374" s="251"/>
      <c r="M374" s="251"/>
      <c r="N374" s="251"/>
      <c r="O374" s="251"/>
      <c r="P374" s="256">
        <f t="shared" si="117"/>
        <v>0</v>
      </c>
      <c r="Q374" s="262"/>
      <c r="R374" s="262"/>
      <c r="S374" s="262"/>
      <c r="T374" s="262"/>
      <c r="U374" s="254">
        <f t="shared" si="119"/>
        <v>0</v>
      </c>
      <c r="V374" s="254">
        <f t="shared" si="120"/>
        <v>0</v>
      </c>
    </row>
    <row r="375" spans="1:22">
      <c r="A375" s="255">
        <f>IF($A$30="","",$A$30)</f>
        <v>45078</v>
      </c>
      <c r="B375" s="251"/>
      <c r="C375" s="251"/>
      <c r="D375" s="251"/>
      <c r="E375" s="251"/>
      <c r="F375" s="251"/>
      <c r="G375" s="252">
        <f t="shared" si="118"/>
        <v>0</v>
      </c>
      <c r="H375" s="251"/>
      <c r="I375" s="251"/>
      <c r="J375" s="251"/>
      <c r="K375" s="251"/>
      <c r="L375" s="251"/>
      <c r="M375" s="251"/>
      <c r="N375" s="251"/>
      <c r="O375" s="251"/>
      <c r="P375" s="256">
        <f t="shared" si="117"/>
        <v>0</v>
      </c>
      <c r="Q375" s="262"/>
      <c r="R375" s="262"/>
      <c r="S375" s="262"/>
      <c r="T375" s="262"/>
      <c r="U375" s="254">
        <f t="shared" si="119"/>
        <v>0</v>
      </c>
      <c r="V375" s="254">
        <f t="shared" si="120"/>
        <v>0</v>
      </c>
    </row>
    <row r="376" spans="1:22">
      <c r="A376" s="255">
        <f>IF($A$31="","",$A$31)</f>
        <v>45108</v>
      </c>
      <c r="B376" s="251"/>
      <c r="C376" s="251"/>
      <c r="D376" s="251"/>
      <c r="E376" s="251"/>
      <c r="F376" s="251"/>
      <c r="G376" s="252">
        <f t="shared" si="118"/>
        <v>0</v>
      </c>
      <c r="H376" s="251"/>
      <c r="I376" s="251"/>
      <c r="J376" s="251"/>
      <c r="K376" s="251"/>
      <c r="L376" s="251"/>
      <c r="M376" s="251"/>
      <c r="N376" s="251"/>
      <c r="O376" s="251"/>
      <c r="P376" s="256">
        <f t="shared" si="117"/>
        <v>0</v>
      </c>
      <c r="Q376" s="262"/>
      <c r="R376" s="262"/>
      <c r="S376" s="262"/>
      <c r="T376" s="262"/>
      <c r="U376" s="254">
        <f t="shared" si="119"/>
        <v>0</v>
      </c>
      <c r="V376" s="254">
        <f t="shared" si="120"/>
        <v>0</v>
      </c>
    </row>
    <row r="377" spans="1:22">
      <c r="A377" s="255">
        <f>IF($A$32="","",$A$32)</f>
        <v>45139</v>
      </c>
      <c r="B377" s="251"/>
      <c r="C377" s="251"/>
      <c r="D377" s="251"/>
      <c r="E377" s="251"/>
      <c r="F377" s="251"/>
      <c r="G377" s="252">
        <f t="shared" si="118"/>
        <v>0</v>
      </c>
      <c r="H377" s="251"/>
      <c r="I377" s="251"/>
      <c r="J377" s="251"/>
      <c r="K377" s="251"/>
      <c r="L377" s="251"/>
      <c r="M377" s="251"/>
      <c r="N377" s="251"/>
      <c r="O377" s="251"/>
      <c r="P377" s="256">
        <f t="shared" si="117"/>
        <v>0</v>
      </c>
      <c r="Q377" s="262"/>
      <c r="R377" s="262"/>
      <c r="S377" s="262"/>
      <c r="T377" s="262"/>
      <c r="U377" s="254">
        <f t="shared" si="119"/>
        <v>0</v>
      </c>
      <c r="V377" s="254">
        <f t="shared" si="120"/>
        <v>0</v>
      </c>
    </row>
    <row r="378" spans="1:22">
      <c r="A378" s="255">
        <f>IF($A$33="","",$A$33)</f>
        <v>45170</v>
      </c>
      <c r="B378" s="251"/>
      <c r="C378" s="251"/>
      <c r="D378" s="251"/>
      <c r="E378" s="251"/>
      <c r="F378" s="251"/>
      <c r="G378" s="252">
        <f t="shared" si="118"/>
        <v>0</v>
      </c>
      <c r="H378" s="251"/>
      <c r="I378" s="251"/>
      <c r="J378" s="251"/>
      <c r="K378" s="251"/>
      <c r="L378" s="251"/>
      <c r="M378" s="251"/>
      <c r="N378" s="251"/>
      <c r="O378" s="251"/>
      <c r="P378" s="256">
        <f t="shared" si="117"/>
        <v>0</v>
      </c>
      <c r="Q378" s="262"/>
      <c r="R378" s="262"/>
      <c r="S378" s="262"/>
      <c r="T378" s="262"/>
      <c r="U378" s="254">
        <f t="shared" si="119"/>
        <v>0</v>
      </c>
      <c r="V378" s="254">
        <f t="shared" si="120"/>
        <v>0</v>
      </c>
    </row>
    <row r="379" spans="1:22">
      <c r="A379" s="255">
        <f>IF($A$34="","",$A$34)</f>
        <v>45200</v>
      </c>
      <c r="B379" s="251"/>
      <c r="C379" s="251"/>
      <c r="D379" s="251"/>
      <c r="E379" s="251"/>
      <c r="F379" s="251"/>
      <c r="G379" s="252">
        <f t="shared" si="118"/>
        <v>0</v>
      </c>
      <c r="H379" s="251"/>
      <c r="I379" s="251"/>
      <c r="J379" s="251"/>
      <c r="K379" s="251"/>
      <c r="L379" s="251"/>
      <c r="M379" s="251"/>
      <c r="N379" s="251"/>
      <c r="O379" s="251"/>
      <c r="P379" s="256">
        <f t="shared" si="117"/>
        <v>0</v>
      </c>
      <c r="Q379" s="262"/>
      <c r="R379" s="262"/>
      <c r="S379" s="262"/>
      <c r="T379" s="262"/>
      <c r="U379" s="254">
        <f t="shared" si="119"/>
        <v>0</v>
      </c>
      <c r="V379" s="254">
        <f t="shared" si="120"/>
        <v>0</v>
      </c>
    </row>
    <row r="380" spans="1:22">
      <c r="A380" s="255">
        <f>IF($A$35="","",$A$35)</f>
        <v>45231</v>
      </c>
      <c r="B380" s="251"/>
      <c r="C380" s="251"/>
      <c r="D380" s="251"/>
      <c r="E380" s="251"/>
      <c r="F380" s="251"/>
      <c r="G380" s="252">
        <f t="shared" si="118"/>
        <v>0</v>
      </c>
      <c r="H380" s="251"/>
      <c r="I380" s="251"/>
      <c r="J380" s="251"/>
      <c r="K380" s="251"/>
      <c r="L380" s="251"/>
      <c r="M380" s="251"/>
      <c r="N380" s="251"/>
      <c r="O380" s="251"/>
      <c r="P380" s="256">
        <f t="shared" si="117"/>
        <v>0</v>
      </c>
      <c r="Q380" s="262"/>
      <c r="R380" s="262"/>
      <c r="S380" s="262"/>
      <c r="T380" s="262"/>
      <c r="U380" s="254">
        <f t="shared" si="119"/>
        <v>0</v>
      </c>
      <c r="V380" s="254">
        <f t="shared" si="120"/>
        <v>0</v>
      </c>
    </row>
    <row r="381" spans="1:22">
      <c r="A381" s="255">
        <f>IF($A$36="","",$A$36)</f>
        <v>45261</v>
      </c>
      <c r="B381" s="251"/>
      <c r="C381" s="251"/>
      <c r="D381" s="251"/>
      <c r="E381" s="251"/>
      <c r="F381" s="251"/>
      <c r="G381" s="252">
        <f t="shared" si="118"/>
        <v>0</v>
      </c>
      <c r="H381" s="251"/>
      <c r="I381" s="251"/>
      <c r="J381" s="251"/>
      <c r="K381" s="251"/>
      <c r="L381" s="251"/>
      <c r="M381" s="251"/>
      <c r="N381" s="251"/>
      <c r="O381" s="251"/>
      <c r="P381" s="256">
        <f t="shared" si="117"/>
        <v>0</v>
      </c>
      <c r="Q381" s="262"/>
      <c r="R381" s="262"/>
      <c r="S381" s="262"/>
      <c r="T381" s="262"/>
      <c r="U381" s="254">
        <f t="shared" si="119"/>
        <v>0</v>
      </c>
      <c r="V381" s="254">
        <f t="shared" si="120"/>
        <v>0</v>
      </c>
    </row>
    <row r="382" spans="1:22">
      <c r="A382" s="255">
        <f>IF($A$37="","",$A$37)</f>
        <v>45292</v>
      </c>
      <c r="B382" s="251"/>
      <c r="C382" s="251"/>
      <c r="D382" s="251"/>
      <c r="E382" s="251"/>
      <c r="F382" s="251"/>
      <c r="G382" s="252">
        <f t="shared" si="118"/>
        <v>0</v>
      </c>
      <c r="H382" s="251"/>
      <c r="I382" s="251"/>
      <c r="J382" s="251"/>
      <c r="K382" s="251"/>
      <c r="L382" s="251"/>
      <c r="M382" s="251"/>
      <c r="N382" s="251"/>
      <c r="O382" s="251"/>
      <c r="P382" s="256">
        <f t="shared" si="117"/>
        <v>0</v>
      </c>
      <c r="Q382" s="262"/>
      <c r="R382" s="262"/>
      <c r="S382" s="262"/>
      <c r="T382" s="262"/>
      <c r="U382" s="254">
        <f t="shared" si="119"/>
        <v>0</v>
      </c>
      <c r="V382" s="254">
        <f t="shared" si="120"/>
        <v>0</v>
      </c>
    </row>
    <row r="383" spans="1:22">
      <c r="A383" s="255">
        <f>IF($A$38="","",$A$38)</f>
        <v>45323</v>
      </c>
      <c r="B383" s="251"/>
      <c r="C383" s="251"/>
      <c r="D383" s="251"/>
      <c r="E383" s="251"/>
      <c r="F383" s="251"/>
      <c r="G383" s="252">
        <f t="shared" si="118"/>
        <v>0</v>
      </c>
      <c r="H383" s="251"/>
      <c r="I383" s="251"/>
      <c r="J383" s="251"/>
      <c r="K383" s="251"/>
      <c r="L383" s="251"/>
      <c r="M383" s="251"/>
      <c r="N383" s="251"/>
      <c r="O383" s="251"/>
      <c r="P383" s="256">
        <f t="shared" si="117"/>
        <v>0</v>
      </c>
      <c r="Q383" s="262"/>
      <c r="R383" s="262"/>
      <c r="S383" s="262"/>
      <c r="T383" s="262"/>
      <c r="U383" s="254">
        <f t="shared" si="119"/>
        <v>0</v>
      </c>
      <c r="V383" s="254">
        <f t="shared" si="120"/>
        <v>0</v>
      </c>
    </row>
    <row r="384" spans="1:22">
      <c r="A384" s="245" t="s">
        <v>524</v>
      </c>
      <c r="B384" s="254">
        <f t="shared" ref="B384:I384" si="121">+SUM(B372:B383)</f>
        <v>0</v>
      </c>
      <c r="C384" s="254">
        <f t="shared" si="121"/>
        <v>0</v>
      </c>
      <c r="D384" s="254">
        <f t="shared" si="121"/>
        <v>0</v>
      </c>
      <c r="E384" s="254">
        <f t="shared" si="121"/>
        <v>0</v>
      </c>
      <c r="F384" s="254">
        <f t="shared" si="121"/>
        <v>0</v>
      </c>
      <c r="G384" s="254">
        <f t="shared" si="121"/>
        <v>0</v>
      </c>
      <c r="H384" s="254">
        <f t="shared" si="121"/>
        <v>0</v>
      </c>
      <c r="I384" s="254">
        <f t="shared" si="121"/>
        <v>0</v>
      </c>
      <c r="J384" s="254">
        <f t="shared" ref="J384:O384" si="122">+SUM(J372:J383)</f>
        <v>0</v>
      </c>
      <c r="K384" s="254">
        <f t="shared" si="122"/>
        <v>0</v>
      </c>
      <c r="L384" s="254">
        <f t="shared" si="122"/>
        <v>0</v>
      </c>
      <c r="M384" s="254">
        <f t="shared" si="122"/>
        <v>0</v>
      </c>
      <c r="N384" s="254">
        <f t="shared" si="122"/>
        <v>0</v>
      </c>
      <c r="O384" s="254">
        <f t="shared" si="122"/>
        <v>0</v>
      </c>
      <c r="P384" s="254">
        <f t="shared" ref="P384:V384" si="123">+SUM(P372:P383)</f>
        <v>0</v>
      </c>
      <c r="Q384" s="254">
        <f t="shared" si="123"/>
        <v>0</v>
      </c>
      <c r="R384" s="254">
        <f t="shared" si="123"/>
        <v>0</v>
      </c>
      <c r="S384" s="254">
        <f t="shared" si="123"/>
        <v>0</v>
      </c>
      <c r="T384" s="254">
        <f t="shared" si="123"/>
        <v>0</v>
      </c>
      <c r="U384" s="254">
        <f t="shared" si="123"/>
        <v>0</v>
      </c>
      <c r="V384" s="254">
        <f t="shared" si="123"/>
        <v>0</v>
      </c>
    </row>
    <row r="385" spans="1:22">
      <c r="A385" s="245" t="s">
        <v>525</v>
      </c>
      <c r="B385" s="254">
        <f>IFERROR(B384/(COUNTA(A372:A383)-COUNTIF(A372:A383,"")),0)</f>
        <v>0</v>
      </c>
      <c r="C385" s="254">
        <f>IFERROR(C384/(COUNTA(A372:A383)-COUNTIF(A372:A383,"")),0)</f>
        <v>0</v>
      </c>
      <c r="D385" s="254">
        <f>IFERROR(D384/(COUNTA(A372:A383)-COUNTIF(A372:A383,"")),0)</f>
        <v>0</v>
      </c>
      <c r="E385" s="254">
        <f>IFERROR(E384/(COUNTA(A372:A383)-COUNTIF(A372:A383,"")),0)</f>
        <v>0</v>
      </c>
      <c r="F385" s="254">
        <f>IFERROR(F384/(COUNTA(A372:A383)-COUNTIF(A372:A383,"")),0)</f>
        <v>0</v>
      </c>
      <c r="G385" s="254">
        <f>IFERROR(G384/(COUNTA(A372:A383)-COUNTIF(A372:A383,"")),0)</f>
        <v>0</v>
      </c>
      <c r="H385" s="254">
        <f>IFERROR(H384/(COUNTA(A372:A383)-COUNTIF(A372:A383,"")),0)</f>
        <v>0</v>
      </c>
      <c r="I385" s="254">
        <f>IFERROR(I384/(COUNTA(A372:A383)-COUNTIF(A372:A383,"")),0)</f>
        <v>0</v>
      </c>
      <c r="J385" s="254">
        <f>IFERROR(J384/(COUNTA(A372:A383)-COUNTIF(A372:A383,"")),0)</f>
        <v>0</v>
      </c>
      <c r="K385" s="254">
        <f>IFERROR(K384/(COUNTA(A372:A383)-COUNTIF(A372:A383,"")),0)</f>
        <v>0</v>
      </c>
      <c r="L385" s="254">
        <f>IFERROR(L384/(COUNTA(A372:A383)-COUNTIF(A372:A383,"")),0)</f>
        <v>0</v>
      </c>
      <c r="M385" s="254">
        <f>IFERROR(M384/(COUNTA(A372:A383)-COUNTIF(A372:A383,"")),0)</f>
        <v>0</v>
      </c>
      <c r="N385" s="254">
        <f>IFERROR(N384/(COUNTA(A372:A383)-COUNTIF(A372:A383,"")),0)</f>
        <v>0</v>
      </c>
      <c r="O385" s="254">
        <f>IFERROR(O384/(COUNTA(A372:A383)-COUNTIF(A372:A383,"")),0)</f>
        <v>0</v>
      </c>
      <c r="P385" s="254">
        <f>IFERROR(P384/(COUNTA(A372:A383)-COUNTIF(A372:A383,"")),0)</f>
        <v>0</v>
      </c>
      <c r="Q385" s="259"/>
      <c r="R385" s="259"/>
      <c r="S385" s="246">
        <f>IFERROR(R384/S384*100,0)</f>
        <v>0</v>
      </c>
      <c r="T385" s="246">
        <f>IFERROR(Q384/T384*100,0)</f>
        <v>0</v>
      </c>
      <c r="U385" s="254">
        <f>IFERROR(U384/COUNTA(A372:A383),0)</f>
        <v>0</v>
      </c>
      <c r="V385" s="254">
        <f>IFERROR(V384/COUNTA(A372:A383),0)</f>
        <v>0</v>
      </c>
    </row>
    <row r="386" spans="1:22" ht="38.25">
      <c r="A386" s="245" t="s">
        <v>526</v>
      </c>
      <c r="B386" s="254">
        <f>O369+B385</f>
        <v>0</v>
      </c>
      <c r="C386" s="254">
        <f>O369+C385</f>
        <v>0</v>
      </c>
      <c r="D386" s="254">
        <f>O369+D385</f>
        <v>0</v>
      </c>
      <c r="E386" s="254"/>
      <c r="F386" s="254"/>
      <c r="G386" s="254">
        <f>O369+G385</f>
        <v>0</v>
      </c>
      <c r="H386" s="254"/>
      <c r="I386" s="254"/>
      <c r="J386" s="254"/>
      <c r="K386" s="254"/>
      <c r="L386" s="254"/>
      <c r="M386" s="254"/>
      <c r="N386" s="254"/>
      <c r="O386" s="254"/>
      <c r="P386" s="254"/>
      <c r="Q386" s="259"/>
      <c r="R386" s="259"/>
      <c r="S386" s="260" t="s">
        <v>527</v>
      </c>
      <c r="T386" s="260" t="s">
        <v>528</v>
      </c>
      <c r="U386" s="260"/>
      <c r="V386" s="260"/>
    </row>
    <row r="387" spans="1:22"/>
    <row r="388" spans="1:22"/>
    <row r="389" spans="1:22"/>
    <row r="390" spans="1:22" ht="12.75" customHeight="1">
      <c r="A390" s="432" t="s">
        <v>504</v>
      </c>
      <c r="B390" s="432"/>
      <c r="C390" s="437"/>
      <c r="D390" s="438"/>
      <c r="E390" s="438"/>
      <c r="F390" s="438"/>
      <c r="G390" s="438"/>
      <c r="H390" s="438"/>
      <c r="I390" s="438"/>
      <c r="J390" s="438"/>
      <c r="K390" s="438"/>
      <c r="L390" s="438"/>
      <c r="M390" s="438"/>
      <c r="N390" s="438"/>
      <c r="O390" s="438"/>
      <c r="P390" s="438"/>
      <c r="Q390" s="438"/>
      <c r="R390" s="438"/>
      <c r="S390" s="438"/>
      <c r="T390" s="439"/>
      <c r="U390" s="247"/>
      <c r="V390" s="247"/>
    </row>
    <row r="391" spans="1:22" ht="12.75" customHeight="1">
      <c r="A391" s="432" t="s">
        <v>530</v>
      </c>
      <c r="B391" s="432"/>
      <c r="C391" s="440"/>
      <c r="D391" s="440"/>
      <c r="E391" s="440"/>
      <c r="F391" s="440"/>
      <c r="G391" s="440"/>
      <c r="H391" s="441" t="s">
        <v>532</v>
      </c>
      <c r="I391" s="441"/>
      <c r="J391" s="440"/>
      <c r="K391" s="440"/>
      <c r="L391" s="440"/>
      <c r="M391" s="440"/>
      <c r="N391" s="440"/>
      <c r="O391" s="440"/>
      <c r="P391" s="440"/>
      <c r="Q391" s="440"/>
      <c r="R391" s="440"/>
      <c r="S391" s="440"/>
      <c r="T391" s="440"/>
      <c r="U391" s="247"/>
      <c r="V391" s="247"/>
    </row>
    <row r="392" spans="1:22" ht="25.5" customHeight="1">
      <c r="A392" s="432" t="s">
        <v>533</v>
      </c>
      <c r="B392" s="432"/>
      <c r="C392" s="437"/>
      <c r="D392" s="439"/>
      <c r="E392" s="249" t="s">
        <v>535</v>
      </c>
      <c r="F392" s="442"/>
      <c r="G392" s="443"/>
      <c r="H392" s="443"/>
      <c r="I392" s="444"/>
      <c r="J392" s="249" t="s">
        <v>537</v>
      </c>
      <c r="K392" s="442"/>
      <c r="L392" s="443"/>
      <c r="M392" s="444"/>
      <c r="N392" s="248" t="s">
        <v>538</v>
      </c>
      <c r="O392" s="445"/>
      <c r="P392" s="446"/>
      <c r="Q392" s="446"/>
      <c r="R392" s="446"/>
      <c r="S392" s="446"/>
      <c r="T392" s="447"/>
      <c r="U392" s="261"/>
      <c r="V392" s="261"/>
    </row>
    <row r="393" spans="1:22" ht="38.25" customHeight="1">
      <c r="A393" s="239" t="s">
        <v>161</v>
      </c>
      <c r="B393" s="434" t="s">
        <v>539</v>
      </c>
      <c r="C393" s="434"/>
      <c r="D393" s="434"/>
      <c r="E393" s="240" t="s">
        <v>540</v>
      </c>
      <c r="F393" s="240" t="s">
        <v>541</v>
      </c>
      <c r="G393" s="239" t="s">
        <v>542</v>
      </c>
      <c r="H393" s="239" t="s">
        <v>543</v>
      </c>
      <c r="I393" s="239" t="s">
        <v>544</v>
      </c>
      <c r="J393" s="240" t="s">
        <v>545</v>
      </c>
      <c r="K393" s="240" t="s">
        <v>546</v>
      </c>
      <c r="L393" s="435" t="s">
        <v>547</v>
      </c>
      <c r="M393" s="436"/>
      <c r="N393" s="435" t="s">
        <v>548</v>
      </c>
      <c r="O393" s="436"/>
      <c r="P393" s="239" t="s">
        <v>549</v>
      </c>
      <c r="Q393" s="239" t="s">
        <v>516</v>
      </c>
      <c r="R393" s="239" t="s">
        <v>517</v>
      </c>
      <c r="S393" s="239" t="s">
        <v>518</v>
      </c>
      <c r="T393" s="239" t="s">
        <v>519</v>
      </c>
      <c r="U393" s="239" t="s">
        <v>550</v>
      </c>
      <c r="V393" s="239" t="s">
        <v>551</v>
      </c>
    </row>
    <row r="394" spans="1:22">
      <c r="A394" s="239"/>
      <c r="B394" s="239">
        <v>10</v>
      </c>
      <c r="C394" s="239">
        <v>20</v>
      </c>
      <c r="D394" s="239">
        <v>30</v>
      </c>
      <c r="E394" s="239"/>
      <c r="F394" s="239"/>
      <c r="G394" s="239"/>
      <c r="H394" s="239"/>
      <c r="I394" s="239"/>
      <c r="J394" s="239"/>
      <c r="K394" s="239"/>
      <c r="L394" s="239" t="s">
        <v>522</v>
      </c>
      <c r="M394" s="239" t="s">
        <v>523</v>
      </c>
      <c r="N394" s="239" t="s">
        <v>522</v>
      </c>
      <c r="O394" s="239" t="s">
        <v>523</v>
      </c>
      <c r="P394" s="239"/>
      <c r="Q394" s="239"/>
      <c r="R394" s="239"/>
      <c r="S394" s="239"/>
      <c r="T394" s="239"/>
      <c r="U394" s="239"/>
      <c r="V394" s="239"/>
    </row>
    <row r="395" spans="1:22">
      <c r="A395" s="255">
        <f>IF($A$27="","",$A$27)</f>
        <v>44986</v>
      </c>
      <c r="B395" s="251"/>
      <c r="C395" s="251"/>
      <c r="D395" s="251"/>
      <c r="E395" s="251"/>
      <c r="F395" s="251"/>
      <c r="G395" s="252">
        <f>IFERROR(AVERAGE(B395:D395),0)</f>
        <v>0</v>
      </c>
      <c r="H395" s="251"/>
      <c r="I395" s="251"/>
      <c r="J395" s="251"/>
      <c r="K395" s="251"/>
      <c r="L395" s="251"/>
      <c r="M395" s="251"/>
      <c r="N395" s="251"/>
      <c r="O395" s="251"/>
      <c r="P395" s="256">
        <f t="shared" ref="P395:P406" si="124">+H395-I395-J395-M395+L395</f>
        <v>0</v>
      </c>
      <c r="Q395" s="262"/>
      <c r="R395" s="262"/>
      <c r="S395" s="262"/>
      <c r="T395" s="262"/>
      <c r="U395" s="254">
        <f>H395-J395-M395</f>
        <v>0</v>
      </c>
      <c r="V395" s="254">
        <f>I395-L395</f>
        <v>0</v>
      </c>
    </row>
    <row r="396" spans="1:22">
      <c r="A396" s="255">
        <f>IF($A$28="","",$A$28)</f>
        <v>45017</v>
      </c>
      <c r="B396" s="251"/>
      <c r="C396" s="251"/>
      <c r="D396" s="251"/>
      <c r="E396" s="251"/>
      <c r="F396" s="251"/>
      <c r="G396" s="252">
        <f t="shared" ref="G396:G406" si="125">IFERROR(AVERAGE(B396:D396),0)</f>
        <v>0</v>
      </c>
      <c r="H396" s="251"/>
      <c r="I396" s="251"/>
      <c r="J396" s="251"/>
      <c r="K396" s="251"/>
      <c r="L396" s="251"/>
      <c r="M396" s="251"/>
      <c r="N396" s="251"/>
      <c r="O396" s="251"/>
      <c r="P396" s="256">
        <f t="shared" si="124"/>
        <v>0</v>
      </c>
      <c r="Q396" s="262"/>
      <c r="R396" s="262"/>
      <c r="S396" s="262"/>
      <c r="T396" s="262"/>
      <c r="U396" s="254">
        <f t="shared" ref="U396:U406" si="126">H396-J396-M396</f>
        <v>0</v>
      </c>
      <c r="V396" s="254">
        <f t="shared" ref="V396:V406" si="127">I396-L396</f>
        <v>0</v>
      </c>
    </row>
    <row r="397" spans="1:22">
      <c r="A397" s="255">
        <f>IF($A$29="","",$A$29)</f>
        <v>45047</v>
      </c>
      <c r="B397" s="251"/>
      <c r="C397" s="251"/>
      <c r="D397" s="251"/>
      <c r="E397" s="251"/>
      <c r="F397" s="251"/>
      <c r="G397" s="252">
        <f t="shared" si="125"/>
        <v>0</v>
      </c>
      <c r="H397" s="251"/>
      <c r="I397" s="251"/>
      <c r="J397" s="251"/>
      <c r="K397" s="251"/>
      <c r="L397" s="251"/>
      <c r="M397" s="251"/>
      <c r="N397" s="251"/>
      <c r="O397" s="251"/>
      <c r="P397" s="256">
        <f t="shared" si="124"/>
        <v>0</v>
      </c>
      <c r="Q397" s="262"/>
      <c r="R397" s="262"/>
      <c r="S397" s="262"/>
      <c r="T397" s="262"/>
      <c r="U397" s="254">
        <f t="shared" si="126"/>
        <v>0</v>
      </c>
      <c r="V397" s="254">
        <f t="shared" si="127"/>
        <v>0</v>
      </c>
    </row>
    <row r="398" spans="1:22">
      <c r="A398" s="255">
        <f>IF($A$30="","",$A$30)</f>
        <v>45078</v>
      </c>
      <c r="B398" s="251"/>
      <c r="C398" s="251"/>
      <c r="D398" s="251"/>
      <c r="E398" s="251"/>
      <c r="F398" s="251"/>
      <c r="G398" s="252">
        <f t="shared" si="125"/>
        <v>0</v>
      </c>
      <c r="H398" s="251"/>
      <c r="I398" s="251"/>
      <c r="J398" s="251"/>
      <c r="K398" s="251"/>
      <c r="L398" s="251"/>
      <c r="M398" s="251"/>
      <c r="N398" s="251"/>
      <c r="O398" s="251"/>
      <c r="P398" s="256">
        <f t="shared" si="124"/>
        <v>0</v>
      </c>
      <c r="Q398" s="262"/>
      <c r="R398" s="262"/>
      <c r="S398" s="262"/>
      <c r="T398" s="262"/>
      <c r="U398" s="254">
        <f t="shared" si="126"/>
        <v>0</v>
      </c>
      <c r="V398" s="254">
        <f t="shared" si="127"/>
        <v>0</v>
      </c>
    </row>
    <row r="399" spans="1:22">
      <c r="A399" s="255">
        <f>IF($A$31="","",$A$31)</f>
        <v>45108</v>
      </c>
      <c r="B399" s="251"/>
      <c r="C399" s="251"/>
      <c r="D399" s="251"/>
      <c r="E399" s="251"/>
      <c r="F399" s="251"/>
      <c r="G399" s="252">
        <f t="shared" si="125"/>
        <v>0</v>
      </c>
      <c r="H399" s="251"/>
      <c r="I399" s="251"/>
      <c r="J399" s="251"/>
      <c r="K399" s="251"/>
      <c r="L399" s="251"/>
      <c r="M399" s="251"/>
      <c r="N399" s="251"/>
      <c r="O399" s="251"/>
      <c r="P399" s="256">
        <f t="shared" si="124"/>
        <v>0</v>
      </c>
      <c r="Q399" s="262"/>
      <c r="R399" s="262"/>
      <c r="S399" s="262"/>
      <c r="T399" s="262"/>
      <c r="U399" s="254">
        <f t="shared" si="126"/>
        <v>0</v>
      </c>
      <c r="V399" s="254">
        <f t="shared" si="127"/>
        <v>0</v>
      </c>
    </row>
    <row r="400" spans="1:22">
      <c r="A400" s="255">
        <f>IF($A$32="","",$A$32)</f>
        <v>45139</v>
      </c>
      <c r="B400" s="251"/>
      <c r="C400" s="251"/>
      <c r="D400" s="251"/>
      <c r="E400" s="251"/>
      <c r="F400" s="251"/>
      <c r="G400" s="252">
        <f t="shared" si="125"/>
        <v>0</v>
      </c>
      <c r="H400" s="251"/>
      <c r="I400" s="251"/>
      <c r="J400" s="251"/>
      <c r="K400" s="251"/>
      <c r="L400" s="251"/>
      <c r="M400" s="251"/>
      <c r="N400" s="251"/>
      <c r="O400" s="251"/>
      <c r="P400" s="256">
        <f t="shared" si="124"/>
        <v>0</v>
      </c>
      <c r="Q400" s="262"/>
      <c r="R400" s="262"/>
      <c r="S400" s="262"/>
      <c r="T400" s="262"/>
      <c r="U400" s="254">
        <f t="shared" si="126"/>
        <v>0</v>
      </c>
      <c r="V400" s="254">
        <f t="shared" si="127"/>
        <v>0</v>
      </c>
    </row>
    <row r="401" spans="1:22">
      <c r="A401" s="255">
        <f>IF($A$33="","",$A$33)</f>
        <v>45170</v>
      </c>
      <c r="B401" s="251"/>
      <c r="C401" s="251"/>
      <c r="D401" s="251"/>
      <c r="E401" s="251"/>
      <c r="F401" s="251"/>
      <c r="G401" s="252">
        <f t="shared" si="125"/>
        <v>0</v>
      </c>
      <c r="H401" s="251"/>
      <c r="I401" s="251"/>
      <c r="J401" s="251"/>
      <c r="K401" s="251"/>
      <c r="L401" s="251"/>
      <c r="M401" s="251"/>
      <c r="N401" s="251"/>
      <c r="O401" s="251"/>
      <c r="P401" s="256">
        <f t="shared" si="124"/>
        <v>0</v>
      </c>
      <c r="Q401" s="262"/>
      <c r="R401" s="262"/>
      <c r="S401" s="262"/>
      <c r="T401" s="262"/>
      <c r="U401" s="254">
        <f t="shared" si="126"/>
        <v>0</v>
      </c>
      <c r="V401" s="254">
        <f t="shared" si="127"/>
        <v>0</v>
      </c>
    </row>
    <row r="402" spans="1:22">
      <c r="A402" s="255">
        <f>IF($A$34="","",$A$34)</f>
        <v>45200</v>
      </c>
      <c r="B402" s="251"/>
      <c r="C402" s="251"/>
      <c r="D402" s="251"/>
      <c r="E402" s="251"/>
      <c r="F402" s="251"/>
      <c r="G402" s="252">
        <f t="shared" si="125"/>
        <v>0</v>
      </c>
      <c r="H402" s="251"/>
      <c r="I402" s="251"/>
      <c r="J402" s="251"/>
      <c r="K402" s="251"/>
      <c r="L402" s="251"/>
      <c r="M402" s="251"/>
      <c r="N402" s="251"/>
      <c r="O402" s="251"/>
      <c r="P402" s="256">
        <f t="shared" si="124"/>
        <v>0</v>
      </c>
      <c r="Q402" s="262"/>
      <c r="R402" s="262"/>
      <c r="S402" s="262"/>
      <c r="T402" s="262"/>
      <c r="U402" s="254">
        <f t="shared" si="126"/>
        <v>0</v>
      </c>
      <c r="V402" s="254">
        <f t="shared" si="127"/>
        <v>0</v>
      </c>
    </row>
    <row r="403" spans="1:22">
      <c r="A403" s="255">
        <f>IF($A$35="","",$A$35)</f>
        <v>45231</v>
      </c>
      <c r="B403" s="251"/>
      <c r="C403" s="251"/>
      <c r="D403" s="251"/>
      <c r="E403" s="251"/>
      <c r="F403" s="251"/>
      <c r="G403" s="252">
        <f t="shared" si="125"/>
        <v>0</v>
      </c>
      <c r="H403" s="251"/>
      <c r="I403" s="251"/>
      <c r="J403" s="251"/>
      <c r="K403" s="251"/>
      <c r="L403" s="251"/>
      <c r="M403" s="251"/>
      <c r="N403" s="251"/>
      <c r="O403" s="251"/>
      <c r="P403" s="256">
        <f t="shared" si="124"/>
        <v>0</v>
      </c>
      <c r="Q403" s="262"/>
      <c r="R403" s="262"/>
      <c r="S403" s="262"/>
      <c r="T403" s="262"/>
      <c r="U403" s="254">
        <f t="shared" si="126"/>
        <v>0</v>
      </c>
      <c r="V403" s="254">
        <f t="shared" si="127"/>
        <v>0</v>
      </c>
    </row>
    <row r="404" spans="1:22">
      <c r="A404" s="255">
        <f>IF($A$36="","",$A$36)</f>
        <v>45261</v>
      </c>
      <c r="B404" s="251"/>
      <c r="C404" s="251"/>
      <c r="D404" s="251"/>
      <c r="E404" s="251"/>
      <c r="F404" s="251"/>
      <c r="G404" s="252">
        <f t="shared" si="125"/>
        <v>0</v>
      </c>
      <c r="H404" s="251"/>
      <c r="I404" s="251"/>
      <c r="J404" s="251"/>
      <c r="K404" s="251"/>
      <c r="L404" s="251"/>
      <c r="M404" s="251"/>
      <c r="N404" s="251"/>
      <c r="O404" s="251"/>
      <c r="P404" s="256">
        <f t="shared" si="124"/>
        <v>0</v>
      </c>
      <c r="Q404" s="262"/>
      <c r="R404" s="262"/>
      <c r="S404" s="262"/>
      <c r="T404" s="262"/>
      <c r="U404" s="254">
        <f t="shared" si="126"/>
        <v>0</v>
      </c>
      <c r="V404" s="254">
        <f t="shared" si="127"/>
        <v>0</v>
      </c>
    </row>
    <row r="405" spans="1:22">
      <c r="A405" s="255">
        <f>IF($A$37="","",$A$37)</f>
        <v>45292</v>
      </c>
      <c r="B405" s="251"/>
      <c r="C405" s="251"/>
      <c r="D405" s="251"/>
      <c r="E405" s="251"/>
      <c r="F405" s="251"/>
      <c r="G405" s="252">
        <f t="shared" si="125"/>
        <v>0</v>
      </c>
      <c r="H405" s="251"/>
      <c r="I405" s="251"/>
      <c r="J405" s="251"/>
      <c r="K405" s="251"/>
      <c r="L405" s="251"/>
      <c r="M405" s="251"/>
      <c r="N405" s="251"/>
      <c r="O405" s="251"/>
      <c r="P405" s="256">
        <f t="shared" si="124"/>
        <v>0</v>
      </c>
      <c r="Q405" s="262"/>
      <c r="R405" s="262"/>
      <c r="S405" s="262"/>
      <c r="T405" s="262"/>
      <c r="U405" s="254">
        <f t="shared" si="126"/>
        <v>0</v>
      </c>
      <c r="V405" s="254">
        <f t="shared" si="127"/>
        <v>0</v>
      </c>
    </row>
    <row r="406" spans="1:22">
      <c r="A406" s="255">
        <f>IF($A$38="","",$A$38)</f>
        <v>45323</v>
      </c>
      <c r="B406" s="251"/>
      <c r="C406" s="251"/>
      <c r="D406" s="251"/>
      <c r="E406" s="251"/>
      <c r="F406" s="251"/>
      <c r="G406" s="252">
        <f t="shared" si="125"/>
        <v>0</v>
      </c>
      <c r="H406" s="251"/>
      <c r="I406" s="251"/>
      <c r="J406" s="251"/>
      <c r="K406" s="251"/>
      <c r="L406" s="251"/>
      <c r="M406" s="251"/>
      <c r="N406" s="251"/>
      <c r="O406" s="251"/>
      <c r="P406" s="256">
        <f t="shared" si="124"/>
        <v>0</v>
      </c>
      <c r="Q406" s="262"/>
      <c r="R406" s="262"/>
      <c r="S406" s="262"/>
      <c r="T406" s="262"/>
      <c r="U406" s="254">
        <f t="shared" si="126"/>
        <v>0</v>
      </c>
      <c r="V406" s="254">
        <f t="shared" si="127"/>
        <v>0</v>
      </c>
    </row>
    <row r="407" spans="1:22">
      <c r="A407" s="245" t="s">
        <v>524</v>
      </c>
      <c r="B407" s="254">
        <f t="shared" ref="B407:I407" si="128">+SUM(B395:B406)</f>
        <v>0</v>
      </c>
      <c r="C407" s="254">
        <f t="shared" si="128"/>
        <v>0</v>
      </c>
      <c r="D407" s="254">
        <f t="shared" si="128"/>
        <v>0</v>
      </c>
      <c r="E407" s="254">
        <f t="shared" si="128"/>
        <v>0</v>
      </c>
      <c r="F407" s="254">
        <f t="shared" si="128"/>
        <v>0</v>
      </c>
      <c r="G407" s="254">
        <f t="shared" si="128"/>
        <v>0</v>
      </c>
      <c r="H407" s="254">
        <f t="shared" si="128"/>
        <v>0</v>
      </c>
      <c r="I407" s="254">
        <f t="shared" si="128"/>
        <v>0</v>
      </c>
      <c r="J407" s="254">
        <f t="shared" ref="J407:O407" si="129">+SUM(J395:J406)</f>
        <v>0</v>
      </c>
      <c r="K407" s="254">
        <f t="shared" si="129"/>
        <v>0</v>
      </c>
      <c r="L407" s="254">
        <f t="shared" si="129"/>
        <v>0</v>
      </c>
      <c r="M407" s="254">
        <f t="shared" si="129"/>
        <v>0</v>
      </c>
      <c r="N407" s="254">
        <f t="shared" si="129"/>
        <v>0</v>
      </c>
      <c r="O407" s="254">
        <f t="shared" si="129"/>
        <v>0</v>
      </c>
      <c r="P407" s="254">
        <f t="shared" ref="P407:V407" si="130">+SUM(P395:P406)</f>
        <v>0</v>
      </c>
      <c r="Q407" s="254">
        <f t="shared" si="130"/>
        <v>0</v>
      </c>
      <c r="R407" s="254">
        <f t="shared" si="130"/>
        <v>0</v>
      </c>
      <c r="S407" s="254">
        <f t="shared" si="130"/>
        <v>0</v>
      </c>
      <c r="T407" s="254">
        <f t="shared" si="130"/>
        <v>0</v>
      </c>
      <c r="U407" s="254">
        <f t="shared" si="130"/>
        <v>0</v>
      </c>
      <c r="V407" s="254">
        <f t="shared" si="130"/>
        <v>0</v>
      </c>
    </row>
    <row r="408" spans="1:22">
      <c r="A408" s="245" t="s">
        <v>525</v>
      </c>
      <c r="B408" s="254">
        <f>IFERROR(B407/(COUNTA(A395:A406)-COUNTIF(A395:A406,"")),0)</f>
        <v>0</v>
      </c>
      <c r="C408" s="254">
        <f>IFERROR(C407/(COUNTA(A395:A406)-COUNTIF(A395:A406,"")),0)</f>
        <v>0</v>
      </c>
      <c r="D408" s="254">
        <f>IFERROR(D407/(COUNTA(A395:A406)-COUNTIF(A395:A406,"")),0)</f>
        <v>0</v>
      </c>
      <c r="E408" s="254">
        <f>IFERROR(E407/(COUNTA(A395:A406)-COUNTIF(A395:A406,"")),0)</f>
        <v>0</v>
      </c>
      <c r="F408" s="254">
        <f>IFERROR(F407/(COUNTA(A395:A406)-COUNTIF(A395:A406,"")),0)</f>
        <v>0</v>
      </c>
      <c r="G408" s="254">
        <f>IFERROR(G407/(COUNTA(A395:A406)-COUNTIF(A395:A406,"")),0)</f>
        <v>0</v>
      </c>
      <c r="H408" s="254">
        <f>IFERROR(H407/(COUNTA(A395:A406)-COUNTIF(A395:A406,"")),0)</f>
        <v>0</v>
      </c>
      <c r="I408" s="254">
        <f>IFERROR(I407/(COUNTA(A395:A406)-COUNTIF(A395:A406,"")),0)</f>
        <v>0</v>
      </c>
      <c r="J408" s="254">
        <f>IFERROR(J407/(COUNTA(A395:A406)-COUNTIF(A395:A406,"")),0)</f>
        <v>0</v>
      </c>
      <c r="K408" s="254">
        <f>IFERROR(K407/(COUNTA(A395:A406)-COUNTIF(A395:A406,"")),0)</f>
        <v>0</v>
      </c>
      <c r="L408" s="254">
        <f>IFERROR(L407/(COUNTA(A395:A406)-COUNTIF(A395:A406,"")),0)</f>
        <v>0</v>
      </c>
      <c r="M408" s="254">
        <f>IFERROR(M407/(COUNTA(A395:A406)-COUNTIF(A395:A406,"")),0)</f>
        <v>0</v>
      </c>
      <c r="N408" s="254">
        <f>IFERROR(N407/(COUNTA(A395:A406)-COUNTIF(A395:A406,"")),0)</f>
        <v>0</v>
      </c>
      <c r="O408" s="254">
        <f>IFERROR(O407/(COUNTA(A395:A406)-COUNTIF(A395:A406,"")),0)</f>
        <v>0</v>
      </c>
      <c r="P408" s="254">
        <f>IFERROR(P407/(COUNTA(A395:A406)-COUNTIF(A395:A406,"")),0)</f>
        <v>0</v>
      </c>
      <c r="Q408" s="259"/>
      <c r="R408" s="259"/>
      <c r="S408" s="246">
        <f>IFERROR(R407/S407*100,0)</f>
        <v>0</v>
      </c>
      <c r="T408" s="246">
        <f>IFERROR(Q407/T407*100,0)</f>
        <v>0</v>
      </c>
      <c r="U408" s="254">
        <f>IFERROR(U407/COUNTA(A395:A406),0)</f>
        <v>0</v>
      </c>
      <c r="V408" s="254">
        <f>IFERROR(V407/COUNTA(A395:A406),0)</f>
        <v>0</v>
      </c>
    </row>
    <row r="409" spans="1:22" ht="38.25">
      <c r="A409" s="245" t="s">
        <v>526</v>
      </c>
      <c r="B409" s="254">
        <f>O392+B408</f>
        <v>0</v>
      </c>
      <c r="C409" s="254">
        <f>O392+C408</f>
        <v>0</v>
      </c>
      <c r="D409" s="254">
        <f>O392+D408</f>
        <v>0</v>
      </c>
      <c r="E409" s="254"/>
      <c r="F409" s="254"/>
      <c r="G409" s="254">
        <f>O392+G408</f>
        <v>0</v>
      </c>
      <c r="H409" s="254"/>
      <c r="I409" s="254"/>
      <c r="J409" s="254"/>
      <c r="K409" s="254"/>
      <c r="L409" s="254"/>
      <c r="M409" s="254"/>
      <c r="N409" s="254"/>
      <c r="O409" s="254"/>
      <c r="P409" s="254"/>
      <c r="Q409" s="259"/>
      <c r="R409" s="259"/>
      <c r="S409" s="260" t="s">
        <v>527</v>
      </c>
      <c r="T409" s="260" t="s">
        <v>528</v>
      </c>
      <c r="U409" s="260"/>
      <c r="V409" s="260"/>
    </row>
    <row r="410" spans="1:22"/>
    <row r="411" spans="1:22"/>
    <row r="412" spans="1:22"/>
    <row r="413" spans="1:22" ht="12.75" customHeight="1">
      <c r="A413" s="432" t="s">
        <v>504</v>
      </c>
      <c r="B413" s="432"/>
      <c r="C413" s="437"/>
      <c r="D413" s="438"/>
      <c r="E413" s="438"/>
      <c r="F413" s="438"/>
      <c r="G413" s="438"/>
      <c r="H413" s="438"/>
      <c r="I413" s="438"/>
      <c r="J413" s="438"/>
      <c r="K413" s="438"/>
      <c r="L413" s="438"/>
      <c r="M413" s="438"/>
      <c r="N413" s="438"/>
      <c r="O413" s="438"/>
      <c r="P413" s="438"/>
      <c r="Q413" s="438"/>
      <c r="R413" s="438"/>
      <c r="S413" s="438"/>
      <c r="T413" s="439"/>
      <c r="U413" s="247"/>
      <c r="V413" s="247"/>
    </row>
    <row r="414" spans="1:22" ht="12.75" customHeight="1">
      <c r="A414" s="432" t="s">
        <v>530</v>
      </c>
      <c r="B414" s="432"/>
      <c r="C414" s="440"/>
      <c r="D414" s="440"/>
      <c r="E414" s="440"/>
      <c r="F414" s="440"/>
      <c r="G414" s="440"/>
      <c r="H414" s="441" t="s">
        <v>532</v>
      </c>
      <c r="I414" s="441"/>
      <c r="J414" s="440"/>
      <c r="K414" s="440"/>
      <c r="L414" s="440"/>
      <c r="M414" s="440"/>
      <c r="N414" s="440"/>
      <c r="O414" s="440"/>
      <c r="P414" s="440"/>
      <c r="Q414" s="440"/>
      <c r="R414" s="440"/>
      <c r="S414" s="440"/>
      <c r="T414" s="440"/>
      <c r="U414" s="247"/>
      <c r="V414" s="247"/>
    </row>
    <row r="415" spans="1:22" ht="25.5" customHeight="1">
      <c r="A415" s="432" t="s">
        <v>533</v>
      </c>
      <c r="B415" s="432"/>
      <c r="C415" s="437"/>
      <c r="D415" s="439"/>
      <c r="E415" s="249" t="s">
        <v>535</v>
      </c>
      <c r="F415" s="442"/>
      <c r="G415" s="443"/>
      <c r="H415" s="443"/>
      <c r="I415" s="444"/>
      <c r="J415" s="249" t="s">
        <v>537</v>
      </c>
      <c r="K415" s="442"/>
      <c r="L415" s="443"/>
      <c r="M415" s="444"/>
      <c r="N415" s="248" t="s">
        <v>538</v>
      </c>
      <c r="O415" s="445"/>
      <c r="P415" s="446"/>
      <c r="Q415" s="446"/>
      <c r="R415" s="446"/>
      <c r="S415" s="446"/>
      <c r="T415" s="447"/>
      <c r="U415" s="261"/>
      <c r="V415" s="261"/>
    </row>
    <row r="416" spans="1:22" ht="38.25" customHeight="1">
      <c r="A416" s="239" t="s">
        <v>161</v>
      </c>
      <c r="B416" s="434" t="s">
        <v>539</v>
      </c>
      <c r="C416" s="434"/>
      <c r="D416" s="434"/>
      <c r="E416" s="240" t="s">
        <v>540</v>
      </c>
      <c r="F416" s="240" t="s">
        <v>541</v>
      </c>
      <c r="G416" s="239" t="s">
        <v>542</v>
      </c>
      <c r="H416" s="239" t="s">
        <v>543</v>
      </c>
      <c r="I416" s="239" t="s">
        <v>544</v>
      </c>
      <c r="J416" s="240" t="s">
        <v>545</v>
      </c>
      <c r="K416" s="240" t="s">
        <v>546</v>
      </c>
      <c r="L416" s="435" t="s">
        <v>547</v>
      </c>
      <c r="M416" s="436"/>
      <c r="N416" s="435" t="s">
        <v>548</v>
      </c>
      <c r="O416" s="436"/>
      <c r="P416" s="239" t="s">
        <v>549</v>
      </c>
      <c r="Q416" s="239" t="s">
        <v>516</v>
      </c>
      <c r="R416" s="239" t="s">
        <v>517</v>
      </c>
      <c r="S416" s="239" t="s">
        <v>518</v>
      </c>
      <c r="T416" s="239" t="s">
        <v>519</v>
      </c>
      <c r="U416" s="239" t="s">
        <v>550</v>
      </c>
      <c r="V416" s="239" t="s">
        <v>551</v>
      </c>
    </row>
    <row r="417" spans="1:22">
      <c r="A417" s="239"/>
      <c r="B417" s="239">
        <v>10</v>
      </c>
      <c r="C417" s="239">
        <v>20</v>
      </c>
      <c r="D417" s="239">
        <v>30</v>
      </c>
      <c r="E417" s="239"/>
      <c r="F417" s="239"/>
      <c r="G417" s="239"/>
      <c r="H417" s="239"/>
      <c r="I417" s="239"/>
      <c r="J417" s="239"/>
      <c r="K417" s="239"/>
      <c r="L417" s="239" t="s">
        <v>522</v>
      </c>
      <c r="M417" s="239" t="s">
        <v>523</v>
      </c>
      <c r="N417" s="239" t="s">
        <v>522</v>
      </c>
      <c r="O417" s="239" t="s">
        <v>523</v>
      </c>
      <c r="P417" s="239"/>
      <c r="Q417" s="239"/>
      <c r="R417" s="239"/>
      <c r="S417" s="239"/>
      <c r="T417" s="239"/>
      <c r="U417" s="239"/>
      <c r="V417" s="239"/>
    </row>
    <row r="418" spans="1:22">
      <c r="A418" s="255">
        <f>IF($A$27="","",$A$27)</f>
        <v>44986</v>
      </c>
      <c r="B418" s="251"/>
      <c r="C418" s="251"/>
      <c r="D418" s="251"/>
      <c r="E418" s="251"/>
      <c r="F418" s="251"/>
      <c r="G418" s="252">
        <f>IFERROR(AVERAGE(B418:D418),0)</f>
        <v>0</v>
      </c>
      <c r="H418" s="251"/>
      <c r="I418" s="251"/>
      <c r="J418" s="251"/>
      <c r="K418" s="251"/>
      <c r="L418" s="251"/>
      <c r="M418" s="251"/>
      <c r="N418" s="251"/>
      <c r="O418" s="251"/>
      <c r="P418" s="256">
        <f t="shared" ref="P418:P429" si="131">+H418-I418-J418-M418+L418</f>
        <v>0</v>
      </c>
      <c r="Q418" s="262"/>
      <c r="R418" s="262"/>
      <c r="S418" s="262"/>
      <c r="T418" s="262"/>
      <c r="U418" s="254">
        <f>H418-J418-M418</f>
        <v>0</v>
      </c>
      <c r="V418" s="254">
        <f>I418-L418</f>
        <v>0</v>
      </c>
    </row>
    <row r="419" spans="1:22">
      <c r="A419" s="255">
        <f>IF($A$28="","",$A$28)</f>
        <v>45017</v>
      </c>
      <c r="B419" s="251"/>
      <c r="C419" s="251"/>
      <c r="D419" s="251"/>
      <c r="E419" s="251"/>
      <c r="F419" s="251"/>
      <c r="G419" s="252">
        <f t="shared" ref="G419:G429" si="132">IFERROR(AVERAGE(B419:D419),0)</f>
        <v>0</v>
      </c>
      <c r="H419" s="251"/>
      <c r="I419" s="251"/>
      <c r="J419" s="251"/>
      <c r="K419" s="251"/>
      <c r="L419" s="251"/>
      <c r="M419" s="251"/>
      <c r="N419" s="251"/>
      <c r="O419" s="251"/>
      <c r="P419" s="256">
        <f t="shared" si="131"/>
        <v>0</v>
      </c>
      <c r="Q419" s="262"/>
      <c r="R419" s="262"/>
      <c r="S419" s="262"/>
      <c r="T419" s="262"/>
      <c r="U419" s="254">
        <f t="shared" ref="U419:U429" si="133">H419-J419-M419</f>
        <v>0</v>
      </c>
      <c r="V419" s="254">
        <f t="shared" ref="V419:V429" si="134">I419-L419</f>
        <v>0</v>
      </c>
    </row>
    <row r="420" spans="1:22">
      <c r="A420" s="255">
        <f>IF($A$29="","",$A$29)</f>
        <v>45047</v>
      </c>
      <c r="B420" s="251"/>
      <c r="C420" s="251"/>
      <c r="D420" s="251"/>
      <c r="E420" s="251"/>
      <c r="F420" s="251"/>
      <c r="G420" s="252">
        <f t="shared" si="132"/>
        <v>0</v>
      </c>
      <c r="H420" s="251"/>
      <c r="I420" s="251"/>
      <c r="J420" s="251"/>
      <c r="K420" s="251"/>
      <c r="L420" s="251"/>
      <c r="M420" s="251"/>
      <c r="N420" s="251"/>
      <c r="O420" s="251"/>
      <c r="P420" s="256">
        <f t="shared" si="131"/>
        <v>0</v>
      </c>
      <c r="Q420" s="262"/>
      <c r="R420" s="262"/>
      <c r="S420" s="262"/>
      <c r="T420" s="262"/>
      <c r="U420" s="254">
        <f t="shared" si="133"/>
        <v>0</v>
      </c>
      <c r="V420" s="254">
        <f t="shared" si="134"/>
        <v>0</v>
      </c>
    </row>
    <row r="421" spans="1:22">
      <c r="A421" s="255">
        <f>IF($A$30="","",$A$30)</f>
        <v>45078</v>
      </c>
      <c r="B421" s="251"/>
      <c r="C421" s="251"/>
      <c r="D421" s="251"/>
      <c r="E421" s="251"/>
      <c r="F421" s="251"/>
      <c r="G421" s="252">
        <f t="shared" si="132"/>
        <v>0</v>
      </c>
      <c r="H421" s="251"/>
      <c r="I421" s="251"/>
      <c r="J421" s="251"/>
      <c r="K421" s="251"/>
      <c r="L421" s="251"/>
      <c r="M421" s="251"/>
      <c r="N421" s="251"/>
      <c r="O421" s="251"/>
      <c r="P421" s="256">
        <f t="shared" si="131"/>
        <v>0</v>
      </c>
      <c r="Q421" s="262"/>
      <c r="R421" s="262"/>
      <c r="S421" s="262"/>
      <c r="T421" s="262"/>
      <c r="U421" s="254">
        <f t="shared" si="133"/>
        <v>0</v>
      </c>
      <c r="V421" s="254">
        <f t="shared" si="134"/>
        <v>0</v>
      </c>
    </row>
    <row r="422" spans="1:22">
      <c r="A422" s="255">
        <f>IF($A$31="","",$A$31)</f>
        <v>45108</v>
      </c>
      <c r="B422" s="251"/>
      <c r="C422" s="251"/>
      <c r="D422" s="251"/>
      <c r="E422" s="251"/>
      <c r="F422" s="251"/>
      <c r="G422" s="252">
        <f t="shared" si="132"/>
        <v>0</v>
      </c>
      <c r="H422" s="251"/>
      <c r="I422" s="251"/>
      <c r="J422" s="251"/>
      <c r="K422" s="251"/>
      <c r="L422" s="251"/>
      <c r="M422" s="251"/>
      <c r="N422" s="251"/>
      <c r="O422" s="251"/>
      <c r="P422" s="256">
        <f t="shared" si="131"/>
        <v>0</v>
      </c>
      <c r="Q422" s="262"/>
      <c r="R422" s="262"/>
      <c r="S422" s="262"/>
      <c r="T422" s="262"/>
      <c r="U422" s="254">
        <f t="shared" si="133"/>
        <v>0</v>
      </c>
      <c r="V422" s="254">
        <f t="shared" si="134"/>
        <v>0</v>
      </c>
    </row>
    <row r="423" spans="1:22">
      <c r="A423" s="255">
        <f>IF($A$32="","",$A$32)</f>
        <v>45139</v>
      </c>
      <c r="B423" s="251"/>
      <c r="C423" s="251"/>
      <c r="D423" s="251"/>
      <c r="E423" s="251"/>
      <c r="F423" s="251"/>
      <c r="G423" s="252">
        <f t="shared" si="132"/>
        <v>0</v>
      </c>
      <c r="H423" s="251"/>
      <c r="I423" s="251"/>
      <c r="J423" s="251"/>
      <c r="K423" s="251"/>
      <c r="L423" s="251"/>
      <c r="M423" s="251"/>
      <c r="N423" s="251"/>
      <c r="O423" s="251"/>
      <c r="P423" s="256">
        <f t="shared" si="131"/>
        <v>0</v>
      </c>
      <c r="Q423" s="262"/>
      <c r="R423" s="262"/>
      <c r="S423" s="262"/>
      <c r="T423" s="262"/>
      <c r="U423" s="254">
        <f t="shared" si="133"/>
        <v>0</v>
      </c>
      <c r="V423" s="254">
        <f t="shared" si="134"/>
        <v>0</v>
      </c>
    </row>
    <row r="424" spans="1:22">
      <c r="A424" s="255">
        <f>IF($A$33="","",$A$33)</f>
        <v>45170</v>
      </c>
      <c r="B424" s="251"/>
      <c r="C424" s="251"/>
      <c r="D424" s="251"/>
      <c r="E424" s="251"/>
      <c r="F424" s="251"/>
      <c r="G424" s="252">
        <f t="shared" si="132"/>
        <v>0</v>
      </c>
      <c r="H424" s="251"/>
      <c r="I424" s="251"/>
      <c r="J424" s="251"/>
      <c r="K424" s="251"/>
      <c r="L424" s="251"/>
      <c r="M424" s="251"/>
      <c r="N424" s="251"/>
      <c r="O424" s="251"/>
      <c r="P424" s="256">
        <f t="shared" si="131"/>
        <v>0</v>
      </c>
      <c r="Q424" s="262"/>
      <c r="R424" s="262"/>
      <c r="S424" s="262"/>
      <c r="T424" s="262"/>
      <c r="U424" s="254">
        <f t="shared" si="133"/>
        <v>0</v>
      </c>
      <c r="V424" s="254">
        <f t="shared" si="134"/>
        <v>0</v>
      </c>
    </row>
    <row r="425" spans="1:22">
      <c r="A425" s="255">
        <f>IF($A$34="","",$A$34)</f>
        <v>45200</v>
      </c>
      <c r="B425" s="251"/>
      <c r="C425" s="251"/>
      <c r="D425" s="251"/>
      <c r="E425" s="251"/>
      <c r="F425" s="251"/>
      <c r="G425" s="252">
        <f t="shared" si="132"/>
        <v>0</v>
      </c>
      <c r="H425" s="251"/>
      <c r="I425" s="251"/>
      <c r="J425" s="251"/>
      <c r="K425" s="251"/>
      <c r="L425" s="251"/>
      <c r="M425" s="251"/>
      <c r="N425" s="251"/>
      <c r="O425" s="251"/>
      <c r="P425" s="256">
        <f t="shared" si="131"/>
        <v>0</v>
      </c>
      <c r="Q425" s="262"/>
      <c r="R425" s="262"/>
      <c r="S425" s="262"/>
      <c r="T425" s="262"/>
      <c r="U425" s="254">
        <f t="shared" si="133"/>
        <v>0</v>
      </c>
      <c r="V425" s="254">
        <f t="shared" si="134"/>
        <v>0</v>
      </c>
    </row>
    <row r="426" spans="1:22">
      <c r="A426" s="255">
        <f>IF($A$35="","",$A$35)</f>
        <v>45231</v>
      </c>
      <c r="B426" s="251"/>
      <c r="C426" s="251"/>
      <c r="D426" s="251"/>
      <c r="E426" s="251"/>
      <c r="F426" s="251"/>
      <c r="G426" s="252">
        <f t="shared" si="132"/>
        <v>0</v>
      </c>
      <c r="H426" s="251"/>
      <c r="I426" s="251"/>
      <c r="J426" s="251"/>
      <c r="K426" s="251"/>
      <c r="L426" s="251"/>
      <c r="M426" s="251"/>
      <c r="N426" s="251"/>
      <c r="O426" s="251"/>
      <c r="P426" s="256">
        <f t="shared" si="131"/>
        <v>0</v>
      </c>
      <c r="Q426" s="262"/>
      <c r="R426" s="262"/>
      <c r="S426" s="262"/>
      <c r="T426" s="262"/>
      <c r="U426" s="254">
        <f t="shared" si="133"/>
        <v>0</v>
      </c>
      <c r="V426" s="254">
        <f t="shared" si="134"/>
        <v>0</v>
      </c>
    </row>
    <row r="427" spans="1:22">
      <c r="A427" s="255">
        <f>IF($A$36="","",$A$36)</f>
        <v>45261</v>
      </c>
      <c r="B427" s="251"/>
      <c r="C427" s="251"/>
      <c r="D427" s="251"/>
      <c r="E427" s="251"/>
      <c r="F427" s="251"/>
      <c r="G427" s="252">
        <f t="shared" si="132"/>
        <v>0</v>
      </c>
      <c r="H427" s="251"/>
      <c r="I427" s="251"/>
      <c r="J427" s="251"/>
      <c r="K427" s="251"/>
      <c r="L427" s="251"/>
      <c r="M427" s="251"/>
      <c r="N427" s="251"/>
      <c r="O427" s="251"/>
      <c r="P427" s="256">
        <f t="shared" si="131"/>
        <v>0</v>
      </c>
      <c r="Q427" s="262"/>
      <c r="R427" s="262"/>
      <c r="S427" s="262"/>
      <c r="T427" s="262"/>
      <c r="U427" s="254">
        <f t="shared" si="133"/>
        <v>0</v>
      </c>
      <c r="V427" s="254">
        <f t="shared" si="134"/>
        <v>0</v>
      </c>
    </row>
    <row r="428" spans="1:22">
      <c r="A428" s="255">
        <f>IF($A$37="","",$A$37)</f>
        <v>45292</v>
      </c>
      <c r="B428" s="251"/>
      <c r="C428" s="251"/>
      <c r="D428" s="251"/>
      <c r="E428" s="251"/>
      <c r="F428" s="251"/>
      <c r="G428" s="252">
        <f t="shared" si="132"/>
        <v>0</v>
      </c>
      <c r="H428" s="251"/>
      <c r="I428" s="251"/>
      <c r="J428" s="251"/>
      <c r="K428" s="251"/>
      <c r="L428" s="251"/>
      <c r="M428" s="251"/>
      <c r="N428" s="251"/>
      <c r="O428" s="251"/>
      <c r="P428" s="256">
        <f t="shared" si="131"/>
        <v>0</v>
      </c>
      <c r="Q428" s="262"/>
      <c r="R428" s="262"/>
      <c r="S428" s="262"/>
      <c r="T428" s="262"/>
      <c r="U428" s="254">
        <f t="shared" si="133"/>
        <v>0</v>
      </c>
      <c r="V428" s="254">
        <f t="shared" si="134"/>
        <v>0</v>
      </c>
    </row>
    <row r="429" spans="1:22">
      <c r="A429" s="255">
        <f>IF($A$38="","",$A$38)</f>
        <v>45323</v>
      </c>
      <c r="B429" s="251"/>
      <c r="C429" s="251"/>
      <c r="D429" s="251"/>
      <c r="E429" s="251"/>
      <c r="F429" s="251"/>
      <c r="G429" s="252">
        <f t="shared" si="132"/>
        <v>0</v>
      </c>
      <c r="H429" s="251"/>
      <c r="I429" s="251"/>
      <c r="J429" s="251"/>
      <c r="K429" s="251"/>
      <c r="L429" s="251"/>
      <c r="M429" s="251"/>
      <c r="N429" s="251"/>
      <c r="O429" s="251"/>
      <c r="P429" s="256">
        <f t="shared" si="131"/>
        <v>0</v>
      </c>
      <c r="Q429" s="262"/>
      <c r="R429" s="262"/>
      <c r="S429" s="262"/>
      <c r="T429" s="262"/>
      <c r="U429" s="254">
        <f t="shared" si="133"/>
        <v>0</v>
      </c>
      <c r="V429" s="254">
        <f t="shared" si="134"/>
        <v>0</v>
      </c>
    </row>
    <row r="430" spans="1:22">
      <c r="A430" s="245" t="s">
        <v>524</v>
      </c>
      <c r="B430" s="254">
        <f t="shared" ref="B430:I430" si="135">+SUM(B418:B429)</f>
        <v>0</v>
      </c>
      <c r="C430" s="254">
        <f t="shared" si="135"/>
        <v>0</v>
      </c>
      <c r="D430" s="254">
        <f t="shared" si="135"/>
        <v>0</v>
      </c>
      <c r="E430" s="254">
        <f t="shared" si="135"/>
        <v>0</v>
      </c>
      <c r="F430" s="254">
        <f t="shared" si="135"/>
        <v>0</v>
      </c>
      <c r="G430" s="254">
        <f t="shared" si="135"/>
        <v>0</v>
      </c>
      <c r="H430" s="254">
        <f t="shared" si="135"/>
        <v>0</v>
      </c>
      <c r="I430" s="254">
        <f t="shared" si="135"/>
        <v>0</v>
      </c>
      <c r="J430" s="254">
        <f t="shared" ref="J430:O430" si="136">+SUM(J418:J429)</f>
        <v>0</v>
      </c>
      <c r="K430" s="254">
        <f t="shared" si="136"/>
        <v>0</v>
      </c>
      <c r="L430" s="254">
        <f t="shared" si="136"/>
        <v>0</v>
      </c>
      <c r="M430" s="254">
        <f t="shared" si="136"/>
        <v>0</v>
      </c>
      <c r="N430" s="254">
        <f t="shared" si="136"/>
        <v>0</v>
      </c>
      <c r="O430" s="254">
        <f t="shared" si="136"/>
        <v>0</v>
      </c>
      <c r="P430" s="254">
        <f t="shared" ref="P430:V430" si="137">+SUM(P418:P429)</f>
        <v>0</v>
      </c>
      <c r="Q430" s="254">
        <f t="shared" si="137"/>
        <v>0</v>
      </c>
      <c r="R430" s="254">
        <f t="shared" si="137"/>
        <v>0</v>
      </c>
      <c r="S430" s="254">
        <f t="shared" si="137"/>
        <v>0</v>
      </c>
      <c r="T430" s="254">
        <f t="shared" si="137"/>
        <v>0</v>
      </c>
      <c r="U430" s="254">
        <f t="shared" si="137"/>
        <v>0</v>
      </c>
      <c r="V430" s="254">
        <f t="shared" si="137"/>
        <v>0</v>
      </c>
    </row>
    <row r="431" spans="1:22">
      <c r="A431" s="245" t="s">
        <v>525</v>
      </c>
      <c r="B431" s="254">
        <f>IFERROR(B430/(COUNTA(A418:A429)-COUNTIF(A418:A429,"")),0)</f>
        <v>0</v>
      </c>
      <c r="C431" s="254">
        <f>IFERROR(C430/(COUNTA(A418:A429)-COUNTIF(A418:A429,"")),0)</f>
        <v>0</v>
      </c>
      <c r="D431" s="254">
        <f>IFERROR(D430/(COUNTA(A418:A429)-COUNTIF(A418:A429,"")),0)</f>
        <v>0</v>
      </c>
      <c r="E431" s="254">
        <f>IFERROR(E430/(COUNTA(A418:A429)-COUNTIF(A418:A429,"")),0)</f>
        <v>0</v>
      </c>
      <c r="F431" s="254">
        <f>IFERROR(F430/(COUNTA(A418:A429)-COUNTIF(A418:A429,"")),0)</f>
        <v>0</v>
      </c>
      <c r="G431" s="254">
        <f>IFERROR(G430/(COUNTA(A418:A429)-COUNTIF(A418:A429,"")),0)</f>
        <v>0</v>
      </c>
      <c r="H431" s="254">
        <f>IFERROR(H430/(COUNTA(A418:A429)-COUNTIF(A418:A429,"")),0)</f>
        <v>0</v>
      </c>
      <c r="I431" s="254">
        <f>IFERROR(I430/(COUNTA(A418:A429)-COUNTIF(A418:A429,"")),0)</f>
        <v>0</v>
      </c>
      <c r="J431" s="254">
        <f>IFERROR(J430/(COUNTA(A418:A429)-COUNTIF(A418:A429,"")),0)</f>
        <v>0</v>
      </c>
      <c r="K431" s="254">
        <f>IFERROR(K430/(COUNTA(A418:A429)-COUNTIF(A418:A429,"")),0)</f>
        <v>0</v>
      </c>
      <c r="L431" s="254">
        <f>IFERROR(L430/(COUNTA(A418:A429)-COUNTIF(A418:A429,"")),0)</f>
        <v>0</v>
      </c>
      <c r="M431" s="254">
        <f>IFERROR(M430/(COUNTA(A418:A429)-COUNTIF(A418:A429,"")),0)</f>
        <v>0</v>
      </c>
      <c r="N431" s="254">
        <f>IFERROR(N430/(COUNTA(A418:A429)-COUNTIF(A418:A429,"")),0)</f>
        <v>0</v>
      </c>
      <c r="O431" s="254">
        <f>IFERROR(O430/(COUNTA(A418:A429)-COUNTIF(A418:A429,"")),0)</f>
        <v>0</v>
      </c>
      <c r="P431" s="254">
        <f>IFERROR(P430/(COUNTA(A418:A429)-COUNTIF(A418:A429,"")),0)</f>
        <v>0</v>
      </c>
      <c r="Q431" s="259"/>
      <c r="R431" s="259"/>
      <c r="S431" s="246">
        <f>IFERROR(R430/S430*100,0)</f>
        <v>0</v>
      </c>
      <c r="T431" s="246">
        <f>IFERROR(Q430/T430*100,0)</f>
        <v>0</v>
      </c>
      <c r="U431" s="254">
        <f>IFERROR(U430/COUNTA(A418:A429),0)</f>
        <v>0</v>
      </c>
      <c r="V431" s="254">
        <f>IFERROR(V430/COUNTA(A418:A429),0)</f>
        <v>0</v>
      </c>
    </row>
    <row r="432" spans="1:22" ht="38.25">
      <c r="A432" s="245" t="s">
        <v>526</v>
      </c>
      <c r="B432" s="254">
        <f>O415+B431</f>
        <v>0</v>
      </c>
      <c r="C432" s="254">
        <f>O415+C431</f>
        <v>0</v>
      </c>
      <c r="D432" s="254">
        <f>O415+D431</f>
        <v>0</v>
      </c>
      <c r="E432" s="254"/>
      <c r="F432" s="254"/>
      <c r="G432" s="254">
        <f>O415+G431</f>
        <v>0</v>
      </c>
      <c r="H432" s="254"/>
      <c r="I432" s="254"/>
      <c r="J432" s="254"/>
      <c r="K432" s="254"/>
      <c r="L432" s="254"/>
      <c r="M432" s="254"/>
      <c r="N432" s="254"/>
      <c r="O432" s="254"/>
      <c r="P432" s="254"/>
      <c r="Q432" s="259"/>
      <c r="R432" s="259"/>
      <c r="S432" s="260" t="s">
        <v>527</v>
      </c>
      <c r="T432" s="260" t="s">
        <v>528</v>
      </c>
      <c r="U432" s="260"/>
      <c r="V432" s="260"/>
    </row>
    <row r="433" spans="1:22"/>
    <row r="434" spans="1:22"/>
    <row r="435" spans="1:22"/>
    <row r="436" spans="1:22" ht="12.75" customHeight="1">
      <c r="A436" s="432" t="s">
        <v>504</v>
      </c>
      <c r="B436" s="432"/>
      <c r="C436" s="437"/>
      <c r="D436" s="438"/>
      <c r="E436" s="438"/>
      <c r="F436" s="438"/>
      <c r="G436" s="438"/>
      <c r="H436" s="438"/>
      <c r="I436" s="438"/>
      <c r="J436" s="438"/>
      <c r="K436" s="438"/>
      <c r="L436" s="438"/>
      <c r="M436" s="438"/>
      <c r="N436" s="438"/>
      <c r="O436" s="438"/>
      <c r="P436" s="438"/>
      <c r="Q436" s="438"/>
      <c r="R436" s="438"/>
      <c r="S436" s="438"/>
      <c r="T436" s="439"/>
      <c r="U436" s="247"/>
      <c r="V436" s="247"/>
    </row>
    <row r="437" spans="1:22" ht="12.75" customHeight="1">
      <c r="A437" s="432" t="s">
        <v>530</v>
      </c>
      <c r="B437" s="432"/>
      <c r="C437" s="440"/>
      <c r="D437" s="440"/>
      <c r="E437" s="440"/>
      <c r="F437" s="440"/>
      <c r="G437" s="440"/>
      <c r="H437" s="441" t="s">
        <v>532</v>
      </c>
      <c r="I437" s="441"/>
      <c r="J437" s="440"/>
      <c r="K437" s="440"/>
      <c r="L437" s="440"/>
      <c r="M437" s="440"/>
      <c r="N437" s="440"/>
      <c r="O437" s="440"/>
      <c r="P437" s="440"/>
      <c r="Q437" s="440"/>
      <c r="R437" s="440"/>
      <c r="S437" s="440"/>
      <c r="T437" s="440"/>
      <c r="U437" s="247"/>
      <c r="V437" s="247"/>
    </row>
    <row r="438" spans="1:22" ht="25.5" customHeight="1">
      <c r="A438" s="432" t="s">
        <v>533</v>
      </c>
      <c r="B438" s="432"/>
      <c r="C438" s="437"/>
      <c r="D438" s="439"/>
      <c r="E438" s="249" t="s">
        <v>535</v>
      </c>
      <c r="F438" s="442"/>
      <c r="G438" s="443"/>
      <c r="H438" s="443"/>
      <c r="I438" s="444"/>
      <c r="J438" s="249" t="s">
        <v>537</v>
      </c>
      <c r="K438" s="442"/>
      <c r="L438" s="443"/>
      <c r="M438" s="444"/>
      <c r="N438" s="248" t="s">
        <v>538</v>
      </c>
      <c r="O438" s="445"/>
      <c r="P438" s="446"/>
      <c r="Q438" s="446"/>
      <c r="R438" s="446"/>
      <c r="S438" s="446"/>
      <c r="T438" s="447"/>
      <c r="U438" s="261"/>
      <c r="V438" s="261"/>
    </row>
    <row r="439" spans="1:22" ht="38.25" customHeight="1">
      <c r="A439" s="239" t="s">
        <v>161</v>
      </c>
      <c r="B439" s="434" t="s">
        <v>539</v>
      </c>
      <c r="C439" s="434"/>
      <c r="D439" s="434"/>
      <c r="E439" s="240" t="s">
        <v>540</v>
      </c>
      <c r="F439" s="240" t="s">
        <v>541</v>
      </c>
      <c r="G439" s="239" t="s">
        <v>542</v>
      </c>
      <c r="H439" s="239" t="s">
        <v>543</v>
      </c>
      <c r="I439" s="239" t="s">
        <v>544</v>
      </c>
      <c r="J439" s="240" t="s">
        <v>545</v>
      </c>
      <c r="K439" s="240" t="s">
        <v>546</v>
      </c>
      <c r="L439" s="435" t="s">
        <v>547</v>
      </c>
      <c r="M439" s="436"/>
      <c r="N439" s="435" t="s">
        <v>548</v>
      </c>
      <c r="O439" s="436"/>
      <c r="P439" s="239" t="s">
        <v>549</v>
      </c>
      <c r="Q439" s="239" t="s">
        <v>516</v>
      </c>
      <c r="R439" s="239" t="s">
        <v>517</v>
      </c>
      <c r="S439" s="239" t="s">
        <v>518</v>
      </c>
      <c r="T439" s="239" t="s">
        <v>519</v>
      </c>
      <c r="U439" s="239" t="s">
        <v>550</v>
      </c>
      <c r="V439" s="239" t="s">
        <v>551</v>
      </c>
    </row>
    <row r="440" spans="1:22">
      <c r="A440" s="239"/>
      <c r="B440" s="239">
        <v>10</v>
      </c>
      <c r="C440" s="239">
        <v>20</v>
      </c>
      <c r="D440" s="239">
        <v>30</v>
      </c>
      <c r="E440" s="239"/>
      <c r="F440" s="239"/>
      <c r="G440" s="239"/>
      <c r="H440" s="239"/>
      <c r="I440" s="239"/>
      <c r="J440" s="239"/>
      <c r="K440" s="239"/>
      <c r="L440" s="239" t="s">
        <v>522</v>
      </c>
      <c r="M440" s="239" t="s">
        <v>523</v>
      </c>
      <c r="N440" s="239" t="s">
        <v>522</v>
      </c>
      <c r="O440" s="239" t="s">
        <v>523</v>
      </c>
      <c r="P440" s="239"/>
      <c r="Q440" s="239"/>
      <c r="R440" s="239"/>
      <c r="S440" s="239"/>
      <c r="T440" s="239"/>
      <c r="U440" s="239"/>
      <c r="V440" s="239"/>
    </row>
    <row r="441" spans="1:22">
      <c r="A441" s="255">
        <f>IF($A$27="","",$A$27)</f>
        <v>44986</v>
      </c>
      <c r="B441" s="251"/>
      <c r="C441" s="251"/>
      <c r="D441" s="251"/>
      <c r="E441" s="251"/>
      <c r="F441" s="251"/>
      <c r="G441" s="252">
        <f>IFERROR(AVERAGE(B441:D441),0)</f>
        <v>0</v>
      </c>
      <c r="H441" s="251"/>
      <c r="I441" s="251"/>
      <c r="J441" s="251"/>
      <c r="K441" s="251"/>
      <c r="L441" s="251"/>
      <c r="M441" s="251"/>
      <c r="N441" s="251"/>
      <c r="O441" s="251"/>
      <c r="P441" s="256">
        <f t="shared" ref="P441:P452" si="138">+H441-I441-J441-M441+L441</f>
        <v>0</v>
      </c>
      <c r="Q441" s="262"/>
      <c r="R441" s="262"/>
      <c r="S441" s="262"/>
      <c r="T441" s="262"/>
      <c r="U441" s="254">
        <f>H441-J441-M441</f>
        <v>0</v>
      </c>
      <c r="V441" s="254">
        <f>I441-L441</f>
        <v>0</v>
      </c>
    </row>
    <row r="442" spans="1:22">
      <c r="A442" s="255">
        <f>IF($A$28="","",$A$28)</f>
        <v>45017</v>
      </c>
      <c r="B442" s="251"/>
      <c r="C442" s="251"/>
      <c r="D442" s="251"/>
      <c r="E442" s="251"/>
      <c r="F442" s="251"/>
      <c r="G442" s="252">
        <f t="shared" ref="G442:G452" si="139">IFERROR(AVERAGE(B442:D442),0)</f>
        <v>0</v>
      </c>
      <c r="H442" s="251"/>
      <c r="I442" s="251"/>
      <c r="J442" s="251"/>
      <c r="K442" s="251"/>
      <c r="L442" s="251"/>
      <c r="M442" s="251"/>
      <c r="N442" s="251"/>
      <c r="O442" s="251"/>
      <c r="P442" s="256">
        <f t="shared" si="138"/>
        <v>0</v>
      </c>
      <c r="Q442" s="262"/>
      <c r="R442" s="262"/>
      <c r="S442" s="262"/>
      <c r="T442" s="262"/>
      <c r="U442" s="254">
        <f t="shared" ref="U442:U452" si="140">H442-J442-M442</f>
        <v>0</v>
      </c>
      <c r="V442" s="254">
        <f t="shared" ref="V442:V452" si="141">I442-L442</f>
        <v>0</v>
      </c>
    </row>
    <row r="443" spans="1:22">
      <c r="A443" s="255">
        <f>IF($A$29="","",$A$29)</f>
        <v>45047</v>
      </c>
      <c r="B443" s="251"/>
      <c r="C443" s="251"/>
      <c r="D443" s="251"/>
      <c r="E443" s="251"/>
      <c r="F443" s="251"/>
      <c r="G443" s="252">
        <f t="shared" si="139"/>
        <v>0</v>
      </c>
      <c r="H443" s="251"/>
      <c r="I443" s="251"/>
      <c r="J443" s="251"/>
      <c r="K443" s="251"/>
      <c r="L443" s="251"/>
      <c r="M443" s="251"/>
      <c r="N443" s="251"/>
      <c r="O443" s="251"/>
      <c r="P443" s="256">
        <f t="shared" si="138"/>
        <v>0</v>
      </c>
      <c r="Q443" s="262"/>
      <c r="R443" s="262"/>
      <c r="S443" s="262"/>
      <c r="T443" s="262"/>
      <c r="U443" s="254">
        <f t="shared" si="140"/>
        <v>0</v>
      </c>
      <c r="V443" s="254">
        <f t="shared" si="141"/>
        <v>0</v>
      </c>
    </row>
    <row r="444" spans="1:22">
      <c r="A444" s="255">
        <f>IF($A$30="","",$A$30)</f>
        <v>45078</v>
      </c>
      <c r="B444" s="251"/>
      <c r="C444" s="251"/>
      <c r="D444" s="251"/>
      <c r="E444" s="251"/>
      <c r="F444" s="251"/>
      <c r="G444" s="252">
        <f t="shared" si="139"/>
        <v>0</v>
      </c>
      <c r="H444" s="251"/>
      <c r="I444" s="251"/>
      <c r="J444" s="251"/>
      <c r="K444" s="251"/>
      <c r="L444" s="251"/>
      <c r="M444" s="251"/>
      <c r="N444" s="251"/>
      <c r="O444" s="251"/>
      <c r="P444" s="256">
        <f t="shared" si="138"/>
        <v>0</v>
      </c>
      <c r="Q444" s="262"/>
      <c r="R444" s="262"/>
      <c r="S444" s="262"/>
      <c r="T444" s="262"/>
      <c r="U444" s="254">
        <f t="shared" si="140"/>
        <v>0</v>
      </c>
      <c r="V444" s="254">
        <f t="shared" si="141"/>
        <v>0</v>
      </c>
    </row>
    <row r="445" spans="1:22">
      <c r="A445" s="255">
        <f>IF($A$31="","",$A$31)</f>
        <v>45108</v>
      </c>
      <c r="B445" s="251"/>
      <c r="C445" s="251"/>
      <c r="D445" s="251"/>
      <c r="E445" s="251"/>
      <c r="F445" s="251"/>
      <c r="G445" s="252">
        <f t="shared" si="139"/>
        <v>0</v>
      </c>
      <c r="H445" s="251"/>
      <c r="I445" s="251"/>
      <c r="J445" s="251"/>
      <c r="K445" s="251"/>
      <c r="L445" s="251"/>
      <c r="M445" s="251"/>
      <c r="N445" s="251"/>
      <c r="O445" s="251"/>
      <c r="P445" s="256">
        <f t="shared" si="138"/>
        <v>0</v>
      </c>
      <c r="Q445" s="262"/>
      <c r="R445" s="262"/>
      <c r="S445" s="262"/>
      <c r="T445" s="262"/>
      <c r="U445" s="254">
        <f t="shared" si="140"/>
        <v>0</v>
      </c>
      <c r="V445" s="254">
        <f t="shared" si="141"/>
        <v>0</v>
      </c>
    </row>
    <row r="446" spans="1:22">
      <c r="A446" s="255">
        <f>IF($A$32="","",$A$32)</f>
        <v>45139</v>
      </c>
      <c r="B446" s="251"/>
      <c r="C446" s="251"/>
      <c r="D446" s="251"/>
      <c r="E446" s="251"/>
      <c r="F446" s="251"/>
      <c r="G446" s="252">
        <f t="shared" si="139"/>
        <v>0</v>
      </c>
      <c r="H446" s="251"/>
      <c r="I446" s="251"/>
      <c r="J446" s="251"/>
      <c r="K446" s="251"/>
      <c r="L446" s="251"/>
      <c r="M446" s="251"/>
      <c r="N446" s="251"/>
      <c r="O446" s="251"/>
      <c r="P446" s="256">
        <f t="shared" si="138"/>
        <v>0</v>
      </c>
      <c r="Q446" s="262"/>
      <c r="R446" s="262"/>
      <c r="S446" s="262"/>
      <c r="T446" s="262"/>
      <c r="U446" s="254">
        <f t="shared" si="140"/>
        <v>0</v>
      </c>
      <c r="V446" s="254">
        <f t="shared" si="141"/>
        <v>0</v>
      </c>
    </row>
    <row r="447" spans="1:22">
      <c r="A447" s="255">
        <f>IF($A$33="","",$A$33)</f>
        <v>45170</v>
      </c>
      <c r="B447" s="251"/>
      <c r="C447" s="251"/>
      <c r="D447" s="251"/>
      <c r="E447" s="251"/>
      <c r="F447" s="251"/>
      <c r="G447" s="252">
        <f t="shared" si="139"/>
        <v>0</v>
      </c>
      <c r="H447" s="251"/>
      <c r="I447" s="251"/>
      <c r="J447" s="251"/>
      <c r="K447" s="251"/>
      <c r="L447" s="251"/>
      <c r="M447" s="251"/>
      <c r="N447" s="251"/>
      <c r="O447" s="251"/>
      <c r="P447" s="256">
        <f t="shared" si="138"/>
        <v>0</v>
      </c>
      <c r="Q447" s="262"/>
      <c r="R447" s="262"/>
      <c r="S447" s="262"/>
      <c r="T447" s="262"/>
      <c r="U447" s="254">
        <f t="shared" si="140"/>
        <v>0</v>
      </c>
      <c r="V447" s="254">
        <f t="shared" si="141"/>
        <v>0</v>
      </c>
    </row>
    <row r="448" spans="1:22">
      <c r="A448" s="255">
        <f>IF($A$34="","",$A$34)</f>
        <v>45200</v>
      </c>
      <c r="B448" s="251"/>
      <c r="C448" s="251"/>
      <c r="D448" s="251"/>
      <c r="E448" s="251"/>
      <c r="F448" s="251"/>
      <c r="G448" s="252">
        <f t="shared" si="139"/>
        <v>0</v>
      </c>
      <c r="H448" s="251"/>
      <c r="I448" s="251"/>
      <c r="J448" s="251"/>
      <c r="K448" s="251"/>
      <c r="L448" s="251"/>
      <c r="M448" s="251"/>
      <c r="N448" s="251"/>
      <c r="O448" s="251"/>
      <c r="P448" s="256">
        <f t="shared" si="138"/>
        <v>0</v>
      </c>
      <c r="Q448" s="262"/>
      <c r="R448" s="262"/>
      <c r="S448" s="262"/>
      <c r="T448" s="262"/>
      <c r="U448" s="254">
        <f t="shared" si="140"/>
        <v>0</v>
      </c>
      <c r="V448" s="254">
        <f t="shared" si="141"/>
        <v>0</v>
      </c>
    </row>
    <row r="449" spans="1:22">
      <c r="A449" s="255">
        <f>IF($A$35="","",$A$35)</f>
        <v>45231</v>
      </c>
      <c r="B449" s="251"/>
      <c r="C449" s="251"/>
      <c r="D449" s="251"/>
      <c r="E449" s="251"/>
      <c r="F449" s="251"/>
      <c r="G449" s="252">
        <f t="shared" si="139"/>
        <v>0</v>
      </c>
      <c r="H449" s="251"/>
      <c r="I449" s="251"/>
      <c r="J449" s="251"/>
      <c r="K449" s="251"/>
      <c r="L449" s="251"/>
      <c r="M449" s="251"/>
      <c r="N449" s="251"/>
      <c r="O449" s="251"/>
      <c r="P449" s="256">
        <f t="shared" si="138"/>
        <v>0</v>
      </c>
      <c r="Q449" s="262"/>
      <c r="R449" s="262"/>
      <c r="S449" s="262"/>
      <c r="T449" s="262"/>
      <c r="U449" s="254">
        <f t="shared" si="140"/>
        <v>0</v>
      </c>
      <c r="V449" s="254">
        <f t="shared" si="141"/>
        <v>0</v>
      </c>
    </row>
    <row r="450" spans="1:22">
      <c r="A450" s="255">
        <f>IF($A$36="","",$A$36)</f>
        <v>45261</v>
      </c>
      <c r="B450" s="251"/>
      <c r="C450" s="251"/>
      <c r="D450" s="251"/>
      <c r="E450" s="251"/>
      <c r="F450" s="251"/>
      <c r="G450" s="252">
        <f t="shared" si="139"/>
        <v>0</v>
      </c>
      <c r="H450" s="251"/>
      <c r="I450" s="251"/>
      <c r="J450" s="251"/>
      <c r="K450" s="251"/>
      <c r="L450" s="251"/>
      <c r="M450" s="251"/>
      <c r="N450" s="251"/>
      <c r="O450" s="251"/>
      <c r="P450" s="256">
        <f t="shared" si="138"/>
        <v>0</v>
      </c>
      <c r="Q450" s="262"/>
      <c r="R450" s="262"/>
      <c r="S450" s="262"/>
      <c r="T450" s="262"/>
      <c r="U450" s="254">
        <f t="shared" si="140"/>
        <v>0</v>
      </c>
      <c r="V450" s="254">
        <f t="shared" si="141"/>
        <v>0</v>
      </c>
    </row>
    <row r="451" spans="1:22">
      <c r="A451" s="255">
        <f>IF($A$37="","",$A$37)</f>
        <v>45292</v>
      </c>
      <c r="B451" s="251"/>
      <c r="C451" s="251"/>
      <c r="D451" s="251"/>
      <c r="E451" s="251"/>
      <c r="F451" s="251"/>
      <c r="G451" s="252">
        <f t="shared" si="139"/>
        <v>0</v>
      </c>
      <c r="H451" s="251"/>
      <c r="I451" s="251"/>
      <c r="J451" s="251"/>
      <c r="K451" s="251"/>
      <c r="L451" s="251"/>
      <c r="M451" s="251"/>
      <c r="N451" s="251"/>
      <c r="O451" s="251"/>
      <c r="P451" s="256">
        <f t="shared" si="138"/>
        <v>0</v>
      </c>
      <c r="Q451" s="262"/>
      <c r="R451" s="262"/>
      <c r="S451" s="262"/>
      <c r="T451" s="262"/>
      <c r="U451" s="254">
        <f t="shared" si="140"/>
        <v>0</v>
      </c>
      <c r="V451" s="254">
        <f t="shared" si="141"/>
        <v>0</v>
      </c>
    </row>
    <row r="452" spans="1:22">
      <c r="A452" s="255">
        <f>IF($A$38="","",$A$38)</f>
        <v>45323</v>
      </c>
      <c r="B452" s="251"/>
      <c r="C452" s="251"/>
      <c r="D452" s="251"/>
      <c r="E452" s="251"/>
      <c r="F452" s="251"/>
      <c r="G452" s="252">
        <f t="shared" si="139"/>
        <v>0</v>
      </c>
      <c r="H452" s="251"/>
      <c r="I452" s="251"/>
      <c r="J452" s="251"/>
      <c r="K452" s="251"/>
      <c r="L452" s="251"/>
      <c r="M452" s="251"/>
      <c r="N452" s="251"/>
      <c r="O452" s="251"/>
      <c r="P452" s="256">
        <f t="shared" si="138"/>
        <v>0</v>
      </c>
      <c r="Q452" s="262"/>
      <c r="R452" s="262"/>
      <c r="S452" s="262"/>
      <c r="T452" s="262"/>
      <c r="U452" s="254">
        <f t="shared" si="140"/>
        <v>0</v>
      </c>
      <c r="V452" s="254">
        <f t="shared" si="141"/>
        <v>0</v>
      </c>
    </row>
    <row r="453" spans="1:22">
      <c r="A453" s="245" t="s">
        <v>524</v>
      </c>
      <c r="B453" s="254">
        <f t="shared" ref="B453:I453" si="142">+SUM(B441:B452)</f>
        <v>0</v>
      </c>
      <c r="C453" s="254">
        <f t="shared" si="142"/>
        <v>0</v>
      </c>
      <c r="D453" s="254">
        <f t="shared" si="142"/>
        <v>0</v>
      </c>
      <c r="E453" s="254">
        <f t="shared" si="142"/>
        <v>0</v>
      </c>
      <c r="F453" s="254">
        <f t="shared" si="142"/>
        <v>0</v>
      </c>
      <c r="G453" s="254">
        <f t="shared" si="142"/>
        <v>0</v>
      </c>
      <c r="H453" s="254">
        <f t="shared" si="142"/>
        <v>0</v>
      </c>
      <c r="I453" s="254">
        <f t="shared" si="142"/>
        <v>0</v>
      </c>
      <c r="J453" s="254">
        <f t="shared" ref="J453:O453" si="143">+SUM(J441:J452)</f>
        <v>0</v>
      </c>
      <c r="K453" s="254">
        <f t="shared" si="143"/>
        <v>0</v>
      </c>
      <c r="L453" s="254">
        <f t="shared" si="143"/>
        <v>0</v>
      </c>
      <c r="M453" s="254">
        <f t="shared" si="143"/>
        <v>0</v>
      </c>
      <c r="N453" s="254">
        <f t="shared" si="143"/>
        <v>0</v>
      </c>
      <c r="O453" s="254">
        <f t="shared" si="143"/>
        <v>0</v>
      </c>
      <c r="P453" s="254">
        <f t="shared" ref="P453:V453" si="144">+SUM(P441:P452)</f>
        <v>0</v>
      </c>
      <c r="Q453" s="254">
        <f t="shared" si="144"/>
        <v>0</v>
      </c>
      <c r="R453" s="254">
        <f t="shared" si="144"/>
        <v>0</v>
      </c>
      <c r="S453" s="254">
        <f t="shared" si="144"/>
        <v>0</v>
      </c>
      <c r="T453" s="254">
        <f t="shared" si="144"/>
        <v>0</v>
      </c>
      <c r="U453" s="254">
        <f t="shared" si="144"/>
        <v>0</v>
      </c>
      <c r="V453" s="254">
        <f t="shared" si="144"/>
        <v>0</v>
      </c>
    </row>
    <row r="454" spans="1:22">
      <c r="A454" s="245" t="s">
        <v>525</v>
      </c>
      <c r="B454" s="254">
        <f>IFERROR(B453/(COUNTA(A441:A452)-COUNTIF(A441:A452,"")),0)</f>
        <v>0</v>
      </c>
      <c r="C454" s="254">
        <f>IFERROR(C453/(COUNTA(A441:A452)-COUNTIF(A441:A452,"")),0)</f>
        <v>0</v>
      </c>
      <c r="D454" s="254">
        <f>IFERROR(D453/(COUNTA(A441:A452)-COUNTIF(A441:A452,"")),0)</f>
        <v>0</v>
      </c>
      <c r="E454" s="254">
        <f>IFERROR(E453/(COUNTA(A441:A452)-COUNTIF(A441:A452,"")),0)</f>
        <v>0</v>
      </c>
      <c r="F454" s="254">
        <f>IFERROR(F453/(COUNTA(A441:A452)-COUNTIF(A441:A452,"")),0)</f>
        <v>0</v>
      </c>
      <c r="G454" s="254">
        <f>IFERROR(G453/(COUNTA(A441:A452)-COUNTIF(A441:A452,"")),0)</f>
        <v>0</v>
      </c>
      <c r="H454" s="254">
        <f>IFERROR(H453/(COUNTA(A441:A452)-COUNTIF(A441:A452,"")),0)</f>
        <v>0</v>
      </c>
      <c r="I454" s="254">
        <f>IFERROR(I453/(COUNTA(A441:A452)-COUNTIF(A441:A452,"")),0)</f>
        <v>0</v>
      </c>
      <c r="J454" s="254">
        <f>IFERROR(J453/(COUNTA(A441:A452)-COUNTIF(A441:A452,"")),0)</f>
        <v>0</v>
      </c>
      <c r="K454" s="254">
        <f>IFERROR(K453/(COUNTA(A441:A452)-COUNTIF(A441:A452,"")),0)</f>
        <v>0</v>
      </c>
      <c r="L454" s="254">
        <f>IFERROR(L453/(COUNTA(A441:A452)-COUNTIF(A441:A452,"")),0)</f>
        <v>0</v>
      </c>
      <c r="M454" s="254">
        <f>IFERROR(M453/(COUNTA(A441:A452)-COUNTIF(A441:A452,"")),0)</f>
        <v>0</v>
      </c>
      <c r="N454" s="254">
        <f>IFERROR(N453/(COUNTA(A441:A452)-COUNTIF(A441:A452,"")),0)</f>
        <v>0</v>
      </c>
      <c r="O454" s="254">
        <f>IFERROR(O453/(COUNTA(A441:A452)-COUNTIF(A441:A452,"")),0)</f>
        <v>0</v>
      </c>
      <c r="P454" s="254">
        <f>IFERROR(P453/(COUNTA(A441:A452)-COUNTIF(A441:A452,"")),0)</f>
        <v>0</v>
      </c>
      <c r="Q454" s="259"/>
      <c r="R454" s="259"/>
      <c r="S454" s="246">
        <f>IFERROR(R453/S453*100,0)</f>
        <v>0</v>
      </c>
      <c r="T454" s="246">
        <f>IFERROR(Q453/T453*100,0)</f>
        <v>0</v>
      </c>
      <c r="U454" s="254">
        <f>IFERROR(U453/COUNTA(A441:A452),0)</f>
        <v>0</v>
      </c>
      <c r="V454" s="254">
        <f>IFERROR(V453/COUNTA(A441:A452),0)</f>
        <v>0</v>
      </c>
    </row>
    <row r="455" spans="1:22" ht="38.25">
      <c r="A455" s="245" t="s">
        <v>526</v>
      </c>
      <c r="B455" s="254">
        <f>O438+B454</f>
        <v>0</v>
      </c>
      <c r="C455" s="254">
        <f>O438+C454</f>
        <v>0</v>
      </c>
      <c r="D455" s="254">
        <f>O438+D454</f>
        <v>0</v>
      </c>
      <c r="E455" s="254"/>
      <c r="F455" s="254"/>
      <c r="G455" s="254">
        <f>O438+G454</f>
        <v>0</v>
      </c>
      <c r="H455" s="254"/>
      <c r="I455" s="254"/>
      <c r="J455" s="254"/>
      <c r="K455" s="254"/>
      <c r="L455" s="254"/>
      <c r="M455" s="254"/>
      <c r="N455" s="254"/>
      <c r="O455" s="254"/>
      <c r="P455" s="254"/>
      <c r="Q455" s="259"/>
      <c r="R455" s="259"/>
      <c r="S455" s="260" t="s">
        <v>527</v>
      </c>
      <c r="T455" s="260" t="s">
        <v>528</v>
      </c>
      <c r="U455" s="260"/>
      <c r="V455" s="260"/>
    </row>
    <row r="456" spans="1:22"/>
    <row r="457" spans="1:22"/>
    <row r="458" spans="1:22"/>
    <row r="459" spans="1:22" ht="12.75" customHeight="1">
      <c r="A459" s="432" t="s">
        <v>504</v>
      </c>
      <c r="B459" s="432"/>
      <c r="C459" s="437"/>
      <c r="D459" s="438"/>
      <c r="E459" s="438"/>
      <c r="F459" s="438"/>
      <c r="G459" s="438"/>
      <c r="H459" s="438"/>
      <c r="I459" s="438"/>
      <c r="J459" s="438"/>
      <c r="K459" s="438"/>
      <c r="L459" s="438"/>
      <c r="M459" s="438"/>
      <c r="N459" s="438"/>
      <c r="O459" s="438"/>
      <c r="P459" s="438"/>
      <c r="Q459" s="438"/>
      <c r="R459" s="438"/>
      <c r="S459" s="438"/>
      <c r="T459" s="439"/>
      <c r="U459" s="247"/>
      <c r="V459" s="247"/>
    </row>
    <row r="460" spans="1:22" ht="12.75" customHeight="1">
      <c r="A460" s="432" t="s">
        <v>530</v>
      </c>
      <c r="B460" s="432"/>
      <c r="C460" s="440"/>
      <c r="D460" s="440"/>
      <c r="E460" s="440"/>
      <c r="F460" s="440"/>
      <c r="G460" s="440"/>
      <c r="H460" s="441" t="s">
        <v>532</v>
      </c>
      <c r="I460" s="441"/>
      <c r="J460" s="440"/>
      <c r="K460" s="440"/>
      <c r="L460" s="440"/>
      <c r="M460" s="440"/>
      <c r="N460" s="440"/>
      <c r="O460" s="440"/>
      <c r="P460" s="440"/>
      <c r="Q460" s="440"/>
      <c r="R460" s="440"/>
      <c r="S460" s="440"/>
      <c r="T460" s="440"/>
      <c r="U460" s="247"/>
      <c r="V460" s="247"/>
    </row>
    <row r="461" spans="1:22" ht="25.5" customHeight="1">
      <c r="A461" s="432" t="s">
        <v>533</v>
      </c>
      <c r="B461" s="432"/>
      <c r="C461" s="437"/>
      <c r="D461" s="439"/>
      <c r="E461" s="249" t="s">
        <v>535</v>
      </c>
      <c r="F461" s="442"/>
      <c r="G461" s="443"/>
      <c r="H461" s="443"/>
      <c r="I461" s="444"/>
      <c r="J461" s="249" t="s">
        <v>537</v>
      </c>
      <c r="K461" s="442"/>
      <c r="L461" s="443"/>
      <c r="M461" s="444"/>
      <c r="N461" s="248" t="s">
        <v>538</v>
      </c>
      <c r="O461" s="445"/>
      <c r="P461" s="446"/>
      <c r="Q461" s="446"/>
      <c r="R461" s="446"/>
      <c r="S461" s="446"/>
      <c r="T461" s="447"/>
      <c r="U461" s="261"/>
      <c r="V461" s="261"/>
    </row>
    <row r="462" spans="1:22" ht="38.25" customHeight="1">
      <c r="A462" s="239" t="s">
        <v>161</v>
      </c>
      <c r="B462" s="434" t="s">
        <v>539</v>
      </c>
      <c r="C462" s="434"/>
      <c r="D462" s="434"/>
      <c r="E462" s="240" t="s">
        <v>540</v>
      </c>
      <c r="F462" s="240" t="s">
        <v>541</v>
      </c>
      <c r="G462" s="239" t="s">
        <v>542</v>
      </c>
      <c r="H462" s="239" t="s">
        <v>543</v>
      </c>
      <c r="I462" s="239" t="s">
        <v>544</v>
      </c>
      <c r="J462" s="240" t="s">
        <v>545</v>
      </c>
      <c r="K462" s="240" t="s">
        <v>546</v>
      </c>
      <c r="L462" s="435" t="s">
        <v>547</v>
      </c>
      <c r="M462" s="436"/>
      <c r="N462" s="435" t="s">
        <v>548</v>
      </c>
      <c r="O462" s="436"/>
      <c r="P462" s="239" t="s">
        <v>549</v>
      </c>
      <c r="Q462" s="239" t="s">
        <v>516</v>
      </c>
      <c r="R462" s="239" t="s">
        <v>517</v>
      </c>
      <c r="S462" s="239" t="s">
        <v>518</v>
      </c>
      <c r="T462" s="239" t="s">
        <v>519</v>
      </c>
      <c r="U462" s="239" t="s">
        <v>550</v>
      </c>
      <c r="V462" s="239" t="s">
        <v>551</v>
      </c>
    </row>
    <row r="463" spans="1:22">
      <c r="A463" s="239"/>
      <c r="B463" s="239">
        <v>10</v>
      </c>
      <c r="C463" s="239">
        <v>20</v>
      </c>
      <c r="D463" s="239">
        <v>30</v>
      </c>
      <c r="E463" s="239"/>
      <c r="F463" s="239"/>
      <c r="G463" s="239"/>
      <c r="H463" s="239"/>
      <c r="I463" s="239"/>
      <c r="J463" s="239"/>
      <c r="K463" s="239"/>
      <c r="L463" s="239" t="s">
        <v>522</v>
      </c>
      <c r="M463" s="239" t="s">
        <v>523</v>
      </c>
      <c r="N463" s="239" t="s">
        <v>522</v>
      </c>
      <c r="O463" s="239" t="s">
        <v>523</v>
      </c>
      <c r="P463" s="239"/>
      <c r="Q463" s="239"/>
      <c r="R463" s="239"/>
      <c r="S463" s="239"/>
      <c r="T463" s="239"/>
      <c r="U463" s="239"/>
      <c r="V463" s="239"/>
    </row>
    <row r="464" spans="1:22">
      <c r="A464" s="255">
        <f>IF($A$27="","",$A$27)</f>
        <v>44986</v>
      </c>
      <c r="B464" s="251"/>
      <c r="C464" s="251"/>
      <c r="D464" s="251"/>
      <c r="E464" s="251"/>
      <c r="F464" s="251"/>
      <c r="G464" s="252">
        <f>IFERROR(AVERAGE(B464:D464),0)</f>
        <v>0</v>
      </c>
      <c r="H464" s="251"/>
      <c r="I464" s="251"/>
      <c r="J464" s="251"/>
      <c r="K464" s="251"/>
      <c r="L464" s="251"/>
      <c r="M464" s="251"/>
      <c r="N464" s="251"/>
      <c r="O464" s="251"/>
      <c r="P464" s="256">
        <f t="shared" ref="P464:P475" si="145">+H464-I464-J464-M464+L464</f>
        <v>0</v>
      </c>
      <c r="Q464" s="262"/>
      <c r="R464" s="262"/>
      <c r="S464" s="262"/>
      <c r="T464" s="262"/>
      <c r="U464" s="254">
        <f>H464-J464-M464</f>
        <v>0</v>
      </c>
      <c r="V464" s="254">
        <f>I464-L464</f>
        <v>0</v>
      </c>
    </row>
    <row r="465" spans="1:22">
      <c r="A465" s="255">
        <f>IF($A$28="","",$A$28)</f>
        <v>45017</v>
      </c>
      <c r="B465" s="251"/>
      <c r="C465" s="251"/>
      <c r="D465" s="251"/>
      <c r="E465" s="251"/>
      <c r="F465" s="251"/>
      <c r="G465" s="252">
        <f t="shared" ref="G465:G475" si="146">IFERROR(AVERAGE(B465:D465),0)</f>
        <v>0</v>
      </c>
      <c r="H465" s="251"/>
      <c r="I465" s="251"/>
      <c r="J465" s="251"/>
      <c r="K465" s="251"/>
      <c r="L465" s="251"/>
      <c r="M465" s="251"/>
      <c r="N465" s="251"/>
      <c r="O465" s="251"/>
      <c r="P465" s="256">
        <f t="shared" si="145"/>
        <v>0</v>
      </c>
      <c r="Q465" s="262"/>
      <c r="R465" s="262"/>
      <c r="S465" s="262"/>
      <c r="T465" s="262"/>
      <c r="U465" s="254">
        <f t="shared" ref="U465:U475" si="147">H465-J465-M465</f>
        <v>0</v>
      </c>
      <c r="V465" s="254">
        <f t="shared" ref="V465:V475" si="148">I465-L465</f>
        <v>0</v>
      </c>
    </row>
    <row r="466" spans="1:22">
      <c r="A466" s="255">
        <f>IF($A$29="","",$A$29)</f>
        <v>45047</v>
      </c>
      <c r="B466" s="251"/>
      <c r="C466" s="251"/>
      <c r="D466" s="251"/>
      <c r="E466" s="251"/>
      <c r="F466" s="251"/>
      <c r="G466" s="252">
        <f t="shared" si="146"/>
        <v>0</v>
      </c>
      <c r="H466" s="251"/>
      <c r="I466" s="251"/>
      <c r="J466" s="251"/>
      <c r="K466" s="251"/>
      <c r="L466" s="251"/>
      <c r="M466" s="251"/>
      <c r="N466" s="251"/>
      <c r="O466" s="251"/>
      <c r="P466" s="256">
        <f t="shared" si="145"/>
        <v>0</v>
      </c>
      <c r="Q466" s="262"/>
      <c r="R466" s="262"/>
      <c r="S466" s="262"/>
      <c r="T466" s="262"/>
      <c r="U466" s="254">
        <f t="shared" si="147"/>
        <v>0</v>
      </c>
      <c r="V466" s="254">
        <f t="shared" si="148"/>
        <v>0</v>
      </c>
    </row>
    <row r="467" spans="1:22">
      <c r="A467" s="255">
        <f>IF($A$30="","",$A$30)</f>
        <v>45078</v>
      </c>
      <c r="B467" s="251"/>
      <c r="C467" s="251"/>
      <c r="D467" s="251"/>
      <c r="E467" s="251"/>
      <c r="F467" s="251"/>
      <c r="G467" s="252">
        <f t="shared" si="146"/>
        <v>0</v>
      </c>
      <c r="H467" s="251"/>
      <c r="I467" s="251"/>
      <c r="J467" s="251"/>
      <c r="K467" s="251"/>
      <c r="L467" s="251"/>
      <c r="M467" s="251"/>
      <c r="N467" s="251"/>
      <c r="O467" s="251"/>
      <c r="P467" s="256">
        <f t="shared" si="145"/>
        <v>0</v>
      </c>
      <c r="Q467" s="262"/>
      <c r="R467" s="262"/>
      <c r="S467" s="262"/>
      <c r="T467" s="262"/>
      <c r="U467" s="254">
        <f t="shared" si="147"/>
        <v>0</v>
      </c>
      <c r="V467" s="254">
        <f t="shared" si="148"/>
        <v>0</v>
      </c>
    </row>
    <row r="468" spans="1:22">
      <c r="A468" s="255">
        <f>IF($A$31="","",$A$31)</f>
        <v>45108</v>
      </c>
      <c r="B468" s="251"/>
      <c r="C468" s="251"/>
      <c r="D468" s="251"/>
      <c r="E468" s="251"/>
      <c r="F468" s="251"/>
      <c r="G468" s="252">
        <f t="shared" si="146"/>
        <v>0</v>
      </c>
      <c r="H468" s="251"/>
      <c r="I468" s="251"/>
      <c r="J468" s="251"/>
      <c r="K468" s="251"/>
      <c r="L468" s="251"/>
      <c r="M468" s="251"/>
      <c r="N468" s="251"/>
      <c r="O468" s="251"/>
      <c r="P468" s="256">
        <f t="shared" si="145"/>
        <v>0</v>
      </c>
      <c r="Q468" s="262"/>
      <c r="R468" s="262"/>
      <c r="S468" s="262"/>
      <c r="T468" s="262"/>
      <c r="U468" s="254">
        <f t="shared" si="147"/>
        <v>0</v>
      </c>
      <c r="V468" s="254">
        <f t="shared" si="148"/>
        <v>0</v>
      </c>
    </row>
    <row r="469" spans="1:22">
      <c r="A469" s="255">
        <f>IF($A$32="","",$A$32)</f>
        <v>45139</v>
      </c>
      <c r="B469" s="251"/>
      <c r="C469" s="251"/>
      <c r="D469" s="251"/>
      <c r="E469" s="251"/>
      <c r="F469" s="251"/>
      <c r="G469" s="252">
        <f t="shared" si="146"/>
        <v>0</v>
      </c>
      <c r="H469" s="251"/>
      <c r="I469" s="251"/>
      <c r="J469" s="251"/>
      <c r="K469" s="251"/>
      <c r="L469" s="251"/>
      <c r="M469" s="251"/>
      <c r="N469" s="251"/>
      <c r="O469" s="251"/>
      <c r="P469" s="256">
        <f t="shared" si="145"/>
        <v>0</v>
      </c>
      <c r="Q469" s="262"/>
      <c r="R469" s="262"/>
      <c r="S469" s="262"/>
      <c r="T469" s="262"/>
      <c r="U469" s="254">
        <f t="shared" si="147"/>
        <v>0</v>
      </c>
      <c r="V469" s="254">
        <f t="shared" si="148"/>
        <v>0</v>
      </c>
    </row>
    <row r="470" spans="1:22">
      <c r="A470" s="255">
        <f>IF($A$33="","",$A$33)</f>
        <v>45170</v>
      </c>
      <c r="B470" s="251"/>
      <c r="C470" s="251"/>
      <c r="D470" s="251"/>
      <c r="E470" s="251"/>
      <c r="F470" s="251"/>
      <c r="G470" s="252">
        <f t="shared" si="146"/>
        <v>0</v>
      </c>
      <c r="H470" s="251"/>
      <c r="I470" s="251"/>
      <c r="J470" s="251"/>
      <c r="K470" s="251"/>
      <c r="L470" s="251"/>
      <c r="M470" s="251"/>
      <c r="N470" s="251"/>
      <c r="O470" s="251"/>
      <c r="P470" s="256">
        <f t="shared" si="145"/>
        <v>0</v>
      </c>
      <c r="Q470" s="262"/>
      <c r="R470" s="262"/>
      <c r="S470" s="262"/>
      <c r="T470" s="262"/>
      <c r="U470" s="254">
        <f t="shared" si="147"/>
        <v>0</v>
      </c>
      <c r="V470" s="254">
        <f t="shared" si="148"/>
        <v>0</v>
      </c>
    </row>
    <row r="471" spans="1:22">
      <c r="A471" s="255">
        <f>IF($A$34="","",$A$34)</f>
        <v>45200</v>
      </c>
      <c r="B471" s="251"/>
      <c r="C471" s="251"/>
      <c r="D471" s="251"/>
      <c r="E471" s="251"/>
      <c r="F471" s="251"/>
      <c r="G471" s="252">
        <f t="shared" si="146"/>
        <v>0</v>
      </c>
      <c r="H471" s="251"/>
      <c r="I471" s="251"/>
      <c r="J471" s="251"/>
      <c r="K471" s="251"/>
      <c r="L471" s="251"/>
      <c r="M471" s="251"/>
      <c r="N471" s="251"/>
      <c r="O471" s="251"/>
      <c r="P471" s="256">
        <f t="shared" si="145"/>
        <v>0</v>
      </c>
      <c r="Q471" s="262"/>
      <c r="R471" s="262"/>
      <c r="S471" s="262"/>
      <c r="T471" s="262"/>
      <c r="U471" s="254">
        <f t="shared" si="147"/>
        <v>0</v>
      </c>
      <c r="V471" s="254">
        <f t="shared" si="148"/>
        <v>0</v>
      </c>
    </row>
    <row r="472" spans="1:22">
      <c r="A472" s="255">
        <f>IF($A$35="","",$A$35)</f>
        <v>45231</v>
      </c>
      <c r="B472" s="251"/>
      <c r="C472" s="251"/>
      <c r="D472" s="251"/>
      <c r="E472" s="251"/>
      <c r="F472" s="251"/>
      <c r="G472" s="252">
        <f t="shared" si="146"/>
        <v>0</v>
      </c>
      <c r="H472" s="251"/>
      <c r="I472" s="251"/>
      <c r="J472" s="251"/>
      <c r="K472" s="251"/>
      <c r="L472" s="251"/>
      <c r="M472" s="251"/>
      <c r="N472" s="251"/>
      <c r="O472" s="251"/>
      <c r="P472" s="256">
        <f t="shared" si="145"/>
        <v>0</v>
      </c>
      <c r="Q472" s="262"/>
      <c r="R472" s="262"/>
      <c r="S472" s="262"/>
      <c r="T472" s="262"/>
      <c r="U472" s="254">
        <f t="shared" si="147"/>
        <v>0</v>
      </c>
      <c r="V472" s="254">
        <f t="shared" si="148"/>
        <v>0</v>
      </c>
    </row>
    <row r="473" spans="1:22">
      <c r="A473" s="255">
        <f>IF($A$36="","",$A$36)</f>
        <v>45261</v>
      </c>
      <c r="B473" s="251"/>
      <c r="C473" s="251"/>
      <c r="D473" s="251"/>
      <c r="E473" s="251"/>
      <c r="F473" s="251"/>
      <c r="G473" s="252">
        <f t="shared" si="146"/>
        <v>0</v>
      </c>
      <c r="H473" s="251"/>
      <c r="I473" s="251"/>
      <c r="J473" s="251"/>
      <c r="K473" s="251"/>
      <c r="L473" s="251"/>
      <c r="M473" s="251"/>
      <c r="N473" s="251"/>
      <c r="O473" s="251"/>
      <c r="P473" s="256">
        <f t="shared" si="145"/>
        <v>0</v>
      </c>
      <c r="Q473" s="262"/>
      <c r="R473" s="262"/>
      <c r="S473" s="262"/>
      <c r="T473" s="262"/>
      <c r="U473" s="254">
        <f t="shared" si="147"/>
        <v>0</v>
      </c>
      <c r="V473" s="254">
        <f t="shared" si="148"/>
        <v>0</v>
      </c>
    </row>
    <row r="474" spans="1:22">
      <c r="A474" s="255">
        <f>IF($A$37="","",$A$37)</f>
        <v>45292</v>
      </c>
      <c r="B474" s="251"/>
      <c r="C474" s="251"/>
      <c r="D474" s="251"/>
      <c r="E474" s="251"/>
      <c r="F474" s="251"/>
      <c r="G474" s="252">
        <f t="shared" si="146"/>
        <v>0</v>
      </c>
      <c r="H474" s="251"/>
      <c r="I474" s="251"/>
      <c r="J474" s="251"/>
      <c r="K474" s="251"/>
      <c r="L474" s="251"/>
      <c r="M474" s="251"/>
      <c r="N474" s="251"/>
      <c r="O474" s="251"/>
      <c r="P474" s="256">
        <f t="shared" si="145"/>
        <v>0</v>
      </c>
      <c r="Q474" s="262"/>
      <c r="R474" s="262"/>
      <c r="S474" s="262"/>
      <c r="T474" s="262"/>
      <c r="U474" s="254">
        <f t="shared" si="147"/>
        <v>0</v>
      </c>
      <c r="V474" s="254">
        <f t="shared" si="148"/>
        <v>0</v>
      </c>
    </row>
    <row r="475" spans="1:22">
      <c r="A475" s="255">
        <f>IF($A$38="","",$A$38)</f>
        <v>45323</v>
      </c>
      <c r="B475" s="251"/>
      <c r="C475" s="251"/>
      <c r="D475" s="251"/>
      <c r="E475" s="251"/>
      <c r="F475" s="251"/>
      <c r="G475" s="252">
        <f t="shared" si="146"/>
        <v>0</v>
      </c>
      <c r="H475" s="251"/>
      <c r="I475" s="251"/>
      <c r="J475" s="251"/>
      <c r="K475" s="251"/>
      <c r="L475" s="251"/>
      <c r="M475" s="251"/>
      <c r="N475" s="251"/>
      <c r="O475" s="251"/>
      <c r="P475" s="256">
        <f t="shared" si="145"/>
        <v>0</v>
      </c>
      <c r="Q475" s="262"/>
      <c r="R475" s="262"/>
      <c r="S475" s="262"/>
      <c r="T475" s="262"/>
      <c r="U475" s="254">
        <f t="shared" si="147"/>
        <v>0</v>
      </c>
      <c r="V475" s="254">
        <f t="shared" si="148"/>
        <v>0</v>
      </c>
    </row>
    <row r="476" spans="1:22">
      <c r="A476" s="245" t="s">
        <v>524</v>
      </c>
      <c r="B476" s="254">
        <f t="shared" ref="B476:I476" si="149">+SUM(B464:B475)</f>
        <v>0</v>
      </c>
      <c r="C476" s="254">
        <f t="shared" si="149"/>
        <v>0</v>
      </c>
      <c r="D476" s="254">
        <f t="shared" si="149"/>
        <v>0</v>
      </c>
      <c r="E476" s="254">
        <f t="shared" si="149"/>
        <v>0</v>
      </c>
      <c r="F476" s="254">
        <f t="shared" si="149"/>
        <v>0</v>
      </c>
      <c r="G476" s="254">
        <f t="shared" si="149"/>
        <v>0</v>
      </c>
      <c r="H476" s="254">
        <f t="shared" si="149"/>
        <v>0</v>
      </c>
      <c r="I476" s="254">
        <f t="shared" si="149"/>
        <v>0</v>
      </c>
      <c r="J476" s="254">
        <f t="shared" ref="J476:O476" si="150">+SUM(J464:J475)</f>
        <v>0</v>
      </c>
      <c r="K476" s="254">
        <f t="shared" si="150"/>
        <v>0</v>
      </c>
      <c r="L476" s="254">
        <f t="shared" si="150"/>
        <v>0</v>
      </c>
      <c r="M476" s="254">
        <f t="shared" si="150"/>
        <v>0</v>
      </c>
      <c r="N476" s="254">
        <f t="shared" si="150"/>
        <v>0</v>
      </c>
      <c r="O476" s="254">
        <f t="shared" si="150"/>
        <v>0</v>
      </c>
      <c r="P476" s="254">
        <f t="shared" ref="P476:V476" si="151">+SUM(P464:P475)</f>
        <v>0</v>
      </c>
      <c r="Q476" s="254">
        <f t="shared" si="151"/>
        <v>0</v>
      </c>
      <c r="R476" s="254">
        <f t="shared" si="151"/>
        <v>0</v>
      </c>
      <c r="S476" s="254">
        <f t="shared" si="151"/>
        <v>0</v>
      </c>
      <c r="T476" s="254">
        <f t="shared" si="151"/>
        <v>0</v>
      </c>
      <c r="U476" s="254">
        <f t="shared" si="151"/>
        <v>0</v>
      </c>
      <c r="V476" s="254">
        <f t="shared" si="151"/>
        <v>0</v>
      </c>
    </row>
    <row r="477" spans="1:22">
      <c r="A477" s="245" t="s">
        <v>525</v>
      </c>
      <c r="B477" s="254">
        <f>IFERROR(B476/(COUNTA(A464:A475)-COUNTIF(A464:A475,"")),0)</f>
        <v>0</v>
      </c>
      <c r="C477" s="254">
        <f>IFERROR(C476/(COUNTA(A464:A475)-COUNTIF(A464:A475,"")),0)</f>
        <v>0</v>
      </c>
      <c r="D477" s="254">
        <f>IFERROR(D476/(COUNTA(A464:A475)-COUNTIF(A464:A475,"")),0)</f>
        <v>0</v>
      </c>
      <c r="E477" s="254">
        <f>IFERROR(E476/(COUNTA(A464:A475)-COUNTIF(A464:A475,"")),0)</f>
        <v>0</v>
      </c>
      <c r="F477" s="254">
        <f>IFERROR(F476/(COUNTA(A464:A475)-COUNTIF(A464:A475,"")),0)</f>
        <v>0</v>
      </c>
      <c r="G477" s="254">
        <f>IFERROR(G476/(COUNTA(A464:A475)-COUNTIF(A464:A475,"")),0)</f>
        <v>0</v>
      </c>
      <c r="H477" s="254">
        <f>IFERROR(H476/(COUNTA(A464:A475)-COUNTIF(A464:A475,"")),0)</f>
        <v>0</v>
      </c>
      <c r="I477" s="254">
        <f>IFERROR(I476/(COUNTA(A464:A475)-COUNTIF(A464:A475,"")),0)</f>
        <v>0</v>
      </c>
      <c r="J477" s="254">
        <f>IFERROR(J476/(COUNTA(A464:A475)-COUNTIF(A464:A475,"")),0)</f>
        <v>0</v>
      </c>
      <c r="K477" s="254">
        <f>IFERROR(K476/(COUNTA(A464:A475)-COUNTIF(A464:A475,"")),0)</f>
        <v>0</v>
      </c>
      <c r="L477" s="254">
        <f>IFERROR(L476/(COUNTA(A464:A475)-COUNTIF(A464:A475,"")),0)</f>
        <v>0</v>
      </c>
      <c r="M477" s="254">
        <f>IFERROR(M476/(COUNTA(A464:A475)-COUNTIF(A464:A475,"")),0)</f>
        <v>0</v>
      </c>
      <c r="N477" s="254">
        <f>IFERROR(N476/(COUNTA(A464:A475)-COUNTIF(A464:A475,"")),0)</f>
        <v>0</v>
      </c>
      <c r="O477" s="254">
        <f>IFERROR(O476/(COUNTA(A464:A475)-COUNTIF(A464:A475,"")),0)</f>
        <v>0</v>
      </c>
      <c r="P477" s="254">
        <f>IFERROR(P476/(COUNTA(A464:A475)-COUNTIF(A464:A475,"")),0)</f>
        <v>0</v>
      </c>
      <c r="Q477" s="259"/>
      <c r="R477" s="259"/>
      <c r="S477" s="246">
        <f>IFERROR(R476/S476*100,0)</f>
        <v>0</v>
      </c>
      <c r="T477" s="246">
        <f>IFERROR(Q476/T476*100,0)</f>
        <v>0</v>
      </c>
      <c r="U477" s="254">
        <f>IFERROR(U476/COUNTA(A464:A475),0)</f>
        <v>0</v>
      </c>
      <c r="V477" s="254">
        <f>IFERROR(V476/COUNTA(A464:A475),0)</f>
        <v>0</v>
      </c>
    </row>
    <row r="478" spans="1:22" ht="38.25">
      <c r="A478" s="245" t="s">
        <v>526</v>
      </c>
      <c r="B478" s="254">
        <f>O461+B477</f>
        <v>0</v>
      </c>
      <c r="C478" s="254">
        <f>O461+C477</f>
        <v>0</v>
      </c>
      <c r="D478" s="254">
        <f>O461+D477</f>
        <v>0</v>
      </c>
      <c r="E478" s="254"/>
      <c r="F478" s="254"/>
      <c r="G478" s="254">
        <f>O461+G477</f>
        <v>0</v>
      </c>
      <c r="H478" s="254"/>
      <c r="I478" s="254"/>
      <c r="J478" s="254"/>
      <c r="K478" s="254"/>
      <c r="L478" s="254"/>
      <c r="M478" s="254"/>
      <c r="N478" s="254"/>
      <c r="O478" s="254"/>
      <c r="P478" s="254"/>
      <c r="Q478" s="259"/>
      <c r="R478" s="259"/>
      <c r="S478" s="260" t="s">
        <v>527</v>
      </c>
      <c r="T478" s="260" t="s">
        <v>528</v>
      </c>
      <c r="U478" s="260"/>
      <c r="V478" s="260"/>
    </row>
    <row r="479" spans="1:22"/>
    <row r="480" spans="1:22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</sheetData>
  <sheetProtection algorithmName="SHA-512" hashValue="9wWEmwz3jDDQ+78hi2/4bUunRtToH/0kRpZPFPz8SQ8nGam4hJSy7nIgEZZLvKEeKJqz1J+GRUzsaQ2EWBJ+yw==" saltValue="pcRQqRVluhMIMiT1xWXHzg==" spinCount="100000" sheet="1" formatCells="0" formatColumns="0" formatRows="0" insertColumns="0" insertRows="0" autoFilter="0"/>
  <mergeCells count="285">
    <mergeCell ref="B462:D462"/>
    <mergeCell ref="L462:M462"/>
    <mergeCell ref="N462:O462"/>
    <mergeCell ref="A460:B460"/>
    <mergeCell ref="C460:G460"/>
    <mergeCell ref="H460:I460"/>
    <mergeCell ref="J460:T460"/>
    <mergeCell ref="A461:B461"/>
    <mergeCell ref="C461:D461"/>
    <mergeCell ref="F461:I461"/>
    <mergeCell ref="K461:M461"/>
    <mergeCell ref="O461:T461"/>
    <mergeCell ref="A438:B438"/>
    <mergeCell ref="C438:D438"/>
    <mergeCell ref="F438:I438"/>
    <mergeCell ref="K438:M438"/>
    <mergeCell ref="O438:T438"/>
    <mergeCell ref="B439:D439"/>
    <mergeCell ref="L439:M439"/>
    <mergeCell ref="N439:O439"/>
    <mergeCell ref="A459:B459"/>
    <mergeCell ref="C459:T459"/>
    <mergeCell ref="B416:D416"/>
    <mergeCell ref="L416:M416"/>
    <mergeCell ref="N416:O416"/>
    <mergeCell ref="A436:B436"/>
    <mergeCell ref="C436:T436"/>
    <mergeCell ref="A437:B437"/>
    <mergeCell ref="C437:G437"/>
    <mergeCell ref="H437:I437"/>
    <mergeCell ref="J437:T437"/>
    <mergeCell ref="A414:B414"/>
    <mergeCell ref="C414:G414"/>
    <mergeCell ref="H414:I414"/>
    <mergeCell ref="J414:T414"/>
    <mergeCell ref="A415:B415"/>
    <mergeCell ref="C415:D415"/>
    <mergeCell ref="F415:I415"/>
    <mergeCell ref="K415:M415"/>
    <mergeCell ref="O415:T415"/>
    <mergeCell ref="A392:B392"/>
    <mergeCell ref="C392:D392"/>
    <mergeCell ref="F392:I392"/>
    <mergeCell ref="K392:M392"/>
    <mergeCell ref="O392:T392"/>
    <mergeCell ref="B393:D393"/>
    <mergeCell ref="L393:M393"/>
    <mergeCell ref="N393:O393"/>
    <mergeCell ref="A413:B413"/>
    <mergeCell ref="C413:T413"/>
    <mergeCell ref="B370:D370"/>
    <mergeCell ref="L370:M370"/>
    <mergeCell ref="N370:O370"/>
    <mergeCell ref="A390:B390"/>
    <mergeCell ref="C390:T390"/>
    <mergeCell ref="A391:B391"/>
    <mergeCell ref="C391:G391"/>
    <mergeCell ref="H391:I391"/>
    <mergeCell ref="J391:T391"/>
    <mergeCell ref="A368:B368"/>
    <mergeCell ref="C368:G368"/>
    <mergeCell ref="H368:I368"/>
    <mergeCell ref="J368:T368"/>
    <mergeCell ref="A369:B369"/>
    <mergeCell ref="C369:D369"/>
    <mergeCell ref="F369:I369"/>
    <mergeCell ref="K369:M369"/>
    <mergeCell ref="O369:T369"/>
    <mergeCell ref="A346:B346"/>
    <mergeCell ref="C346:D346"/>
    <mergeCell ref="F346:I346"/>
    <mergeCell ref="K346:M346"/>
    <mergeCell ref="O346:T346"/>
    <mergeCell ref="B347:D347"/>
    <mergeCell ref="L347:M347"/>
    <mergeCell ref="N347:O347"/>
    <mergeCell ref="A367:B367"/>
    <mergeCell ref="C367:T367"/>
    <mergeCell ref="B324:D324"/>
    <mergeCell ref="L324:M324"/>
    <mergeCell ref="N324:O324"/>
    <mergeCell ref="A344:B344"/>
    <mergeCell ref="C344:T344"/>
    <mergeCell ref="A345:B345"/>
    <mergeCell ref="C345:G345"/>
    <mergeCell ref="H345:I345"/>
    <mergeCell ref="J345:T345"/>
    <mergeCell ref="A322:B322"/>
    <mergeCell ref="C322:G322"/>
    <mergeCell ref="H322:I322"/>
    <mergeCell ref="J322:T322"/>
    <mergeCell ref="A323:B323"/>
    <mergeCell ref="C323:D323"/>
    <mergeCell ref="F323:I323"/>
    <mergeCell ref="K323:M323"/>
    <mergeCell ref="O323:T323"/>
    <mergeCell ref="A300:B300"/>
    <mergeCell ref="C300:D300"/>
    <mergeCell ref="F300:I300"/>
    <mergeCell ref="K300:M300"/>
    <mergeCell ref="O300:T300"/>
    <mergeCell ref="B301:D301"/>
    <mergeCell ref="L301:M301"/>
    <mergeCell ref="N301:O301"/>
    <mergeCell ref="A321:B321"/>
    <mergeCell ref="C321:T321"/>
    <mergeCell ref="B278:D278"/>
    <mergeCell ref="L278:M278"/>
    <mergeCell ref="N278:O278"/>
    <mergeCell ref="A298:B298"/>
    <mergeCell ref="C298:T298"/>
    <mergeCell ref="A299:B299"/>
    <mergeCell ref="C299:G299"/>
    <mergeCell ref="H299:I299"/>
    <mergeCell ref="J299:T299"/>
    <mergeCell ref="A276:B276"/>
    <mergeCell ref="C276:G276"/>
    <mergeCell ref="H276:I276"/>
    <mergeCell ref="J276:T276"/>
    <mergeCell ref="A277:B277"/>
    <mergeCell ref="C277:D277"/>
    <mergeCell ref="F277:I277"/>
    <mergeCell ref="K277:M277"/>
    <mergeCell ref="O277:T277"/>
    <mergeCell ref="A254:B254"/>
    <mergeCell ref="C254:D254"/>
    <mergeCell ref="F254:I254"/>
    <mergeCell ref="K254:M254"/>
    <mergeCell ref="O254:T254"/>
    <mergeCell ref="B255:D255"/>
    <mergeCell ref="L255:M255"/>
    <mergeCell ref="N255:O255"/>
    <mergeCell ref="A275:B275"/>
    <mergeCell ref="C275:T275"/>
    <mergeCell ref="B232:D232"/>
    <mergeCell ref="L232:M232"/>
    <mergeCell ref="N232:O232"/>
    <mergeCell ref="A252:B252"/>
    <mergeCell ref="C252:T252"/>
    <mergeCell ref="A253:B253"/>
    <mergeCell ref="C253:G253"/>
    <mergeCell ref="H253:I253"/>
    <mergeCell ref="J253:T253"/>
    <mergeCell ref="A230:B230"/>
    <mergeCell ref="C230:G230"/>
    <mergeCell ref="H230:I230"/>
    <mergeCell ref="J230:T230"/>
    <mergeCell ref="A231:B231"/>
    <mergeCell ref="C231:D231"/>
    <mergeCell ref="F231:I231"/>
    <mergeCell ref="K231:M231"/>
    <mergeCell ref="O231:T231"/>
    <mergeCell ref="A208:B208"/>
    <mergeCell ref="C208:D208"/>
    <mergeCell ref="F208:I208"/>
    <mergeCell ref="K208:M208"/>
    <mergeCell ref="O208:T208"/>
    <mergeCell ref="B209:D209"/>
    <mergeCell ref="L209:M209"/>
    <mergeCell ref="N209:O209"/>
    <mergeCell ref="A229:B229"/>
    <mergeCell ref="C229:T229"/>
    <mergeCell ref="B186:D186"/>
    <mergeCell ref="L186:M186"/>
    <mergeCell ref="N186:O186"/>
    <mergeCell ref="A206:B206"/>
    <mergeCell ref="C206:T206"/>
    <mergeCell ref="A207:B207"/>
    <mergeCell ref="C207:G207"/>
    <mergeCell ref="H207:I207"/>
    <mergeCell ref="J207:T207"/>
    <mergeCell ref="A184:B184"/>
    <mergeCell ref="C184:G184"/>
    <mergeCell ref="H184:I184"/>
    <mergeCell ref="J184:T184"/>
    <mergeCell ref="A185:B185"/>
    <mergeCell ref="C185:D185"/>
    <mergeCell ref="F185:I185"/>
    <mergeCell ref="K185:M185"/>
    <mergeCell ref="O185:T185"/>
    <mergeCell ref="A162:B162"/>
    <mergeCell ref="C162:D162"/>
    <mergeCell ref="F162:I162"/>
    <mergeCell ref="K162:M162"/>
    <mergeCell ref="O162:T162"/>
    <mergeCell ref="B163:D163"/>
    <mergeCell ref="L163:M163"/>
    <mergeCell ref="N163:O163"/>
    <mergeCell ref="A183:B183"/>
    <mergeCell ref="C183:T183"/>
    <mergeCell ref="B140:D140"/>
    <mergeCell ref="L140:M140"/>
    <mergeCell ref="N140:O140"/>
    <mergeCell ref="A160:B160"/>
    <mergeCell ref="C160:T160"/>
    <mergeCell ref="A161:B161"/>
    <mergeCell ref="C161:G161"/>
    <mergeCell ref="H161:I161"/>
    <mergeCell ref="J161:T161"/>
    <mergeCell ref="A138:B138"/>
    <mergeCell ref="C138:G138"/>
    <mergeCell ref="H138:I138"/>
    <mergeCell ref="J138:T138"/>
    <mergeCell ref="A139:B139"/>
    <mergeCell ref="C139:D139"/>
    <mergeCell ref="F139:I139"/>
    <mergeCell ref="K139:M139"/>
    <mergeCell ref="O139:T139"/>
    <mergeCell ref="A116:B116"/>
    <mergeCell ref="C116:D116"/>
    <mergeCell ref="F116:I116"/>
    <mergeCell ref="K116:M116"/>
    <mergeCell ref="O116:T116"/>
    <mergeCell ref="B117:D117"/>
    <mergeCell ref="L117:M117"/>
    <mergeCell ref="N117:O117"/>
    <mergeCell ref="A137:B137"/>
    <mergeCell ref="C137:T137"/>
    <mergeCell ref="B94:D94"/>
    <mergeCell ref="L94:M94"/>
    <mergeCell ref="N94:O94"/>
    <mergeCell ref="A114:B114"/>
    <mergeCell ref="C114:T114"/>
    <mergeCell ref="A115:B115"/>
    <mergeCell ref="C115:G115"/>
    <mergeCell ref="H115:I115"/>
    <mergeCell ref="J115:T115"/>
    <mergeCell ref="A92:B92"/>
    <mergeCell ref="C92:G92"/>
    <mergeCell ref="H92:I92"/>
    <mergeCell ref="J92:T92"/>
    <mergeCell ref="A93:B93"/>
    <mergeCell ref="C93:D93"/>
    <mergeCell ref="F93:I93"/>
    <mergeCell ref="K93:M93"/>
    <mergeCell ref="O93:T93"/>
    <mergeCell ref="A70:B70"/>
    <mergeCell ref="C70:D70"/>
    <mergeCell ref="F70:I70"/>
    <mergeCell ref="K70:M70"/>
    <mergeCell ref="O70:T70"/>
    <mergeCell ref="B71:D71"/>
    <mergeCell ref="L71:M71"/>
    <mergeCell ref="N71:O71"/>
    <mergeCell ref="A91:B91"/>
    <mergeCell ref="C91:T91"/>
    <mergeCell ref="B48:D48"/>
    <mergeCell ref="L48:M48"/>
    <mergeCell ref="N48:O48"/>
    <mergeCell ref="A68:B68"/>
    <mergeCell ref="C68:T68"/>
    <mergeCell ref="A69:B69"/>
    <mergeCell ref="C69:G69"/>
    <mergeCell ref="H69:I69"/>
    <mergeCell ref="J69:T69"/>
    <mergeCell ref="A46:B46"/>
    <mergeCell ref="C46:G46"/>
    <mergeCell ref="H46:I46"/>
    <mergeCell ref="J46:T46"/>
    <mergeCell ref="A47:B47"/>
    <mergeCell ref="C47:D47"/>
    <mergeCell ref="F47:I47"/>
    <mergeCell ref="K47:M47"/>
    <mergeCell ref="O47:T47"/>
    <mergeCell ref="A24:B24"/>
    <mergeCell ref="C24:D24"/>
    <mergeCell ref="F24:I24"/>
    <mergeCell ref="K24:M24"/>
    <mergeCell ref="O24:T24"/>
    <mergeCell ref="B25:D25"/>
    <mergeCell ref="L25:M25"/>
    <mergeCell ref="N25:O25"/>
    <mergeCell ref="A45:B45"/>
    <mergeCell ref="C45:T45"/>
    <mergeCell ref="A1:B1"/>
    <mergeCell ref="C1:T1"/>
    <mergeCell ref="B2:D2"/>
    <mergeCell ref="L2:M2"/>
    <mergeCell ref="N2:O2"/>
    <mergeCell ref="A22:B22"/>
    <mergeCell ref="C22:T22"/>
    <mergeCell ref="A23:B23"/>
    <mergeCell ref="C23:G23"/>
    <mergeCell ref="H23:I23"/>
    <mergeCell ref="J23:T23"/>
  </mergeCells>
  <conditionalFormatting sqref="G4:G15">
    <cfRule type="cellIs" dxfId="163" priority="41" stopIfTrue="1" operator="equal">
      <formula>NA()</formula>
    </cfRule>
    <cfRule type="cellIs" dxfId="162" priority="42" stopIfTrue="1" operator="notEqual">
      <formula>NA()</formula>
    </cfRule>
  </conditionalFormatting>
  <conditionalFormatting sqref="G27:G38">
    <cfRule type="cellIs" dxfId="161" priority="40" stopIfTrue="1" operator="notEqual">
      <formula>NA()</formula>
    </cfRule>
    <cfRule type="cellIs" dxfId="160" priority="39" stopIfTrue="1" operator="equal">
      <formula>NA()</formula>
    </cfRule>
  </conditionalFormatting>
  <conditionalFormatting sqref="G50:G61">
    <cfRule type="cellIs" dxfId="159" priority="38" stopIfTrue="1" operator="notEqual">
      <formula>NA()</formula>
    </cfRule>
    <cfRule type="cellIs" dxfId="158" priority="37" stopIfTrue="1" operator="equal">
      <formula>NA()</formula>
    </cfRule>
  </conditionalFormatting>
  <conditionalFormatting sqref="G73:G84">
    <cfRule type="cellIs" dxfId="157" priority="36" stopIfTrue="1" operator="notEqual">
      <formula>NA()</formula>
    </cfRule>
    <cfRule type="cellIs" dxfId="156" priority="35" stopIfTrue="1" operator="equal">
      <formula>NA()</formula>
    </cfRule>
  </conditionalFormatting>
  <conditionalFormatting sqref="G96:G107">
    <cfRule type="cellIs" dxfId="155" priority="34" stopIfTrue="1" operator="notEqual">
      <formula>NA()</formula>
    </cfRule>
    <cfRule type="cellIs" dxfId="154" priority="33" stopIfTrue="1" operator="equal">
      <formula>NA()</formula>
    </cfRule>
  </conditionalFormatting>
  <conditionalFormatting sqref="G119:G130">
    <cfRule type="cellIs" dxfId="153" priority="32" stopIfTrue="1" operator="notEqual">
      <formula>NA()</formula>
    </cfRule>
    <cfRule type="cellIs" dxfId="152" priority="31" stopIfTrue="1" operator="equal">
      <formula>NA()</formula>
    </cfRule>
  </conditionalFormatting>
  <conditionalFormatting sqref="G142:G153">
    <cfRule type="cellIs" dxfId="151" priority="30" stopIfTrue="1" operator="notEqual">
      <formula>NA()</formula>
    </cfRule>
    <cfRule type="cellIs" dxfId="150" priority="29" stopIfTrue="1" operator="equal">
      <formula>NA()</formula>
    </cfRule>
  </conditionalFormatting>
  <conditionalFormatting sqref="G165:G176">
    <cfRule type="cellIs" dxfId="149" priority="28" stopIfTrue="1" operator="notEqual">
      <formula>NA()</formula>
    </cfRule>
    <cfRule type="cellIs" dxfId="148" priority="27" stopIfTrue="1" operator="equal">
      <formula>NA()</formula>
    </cfRule>
  </conditionalFormatting>
  <conditionalFormatting sqref="G188:G199">
    <cfRule type="cellIs" dxfId="147" priority="26" stopIfTrue="1" operator="notEqual">
      <formula>NA()</formula>
    </cfRule>
    <cfRule type="cellIs" dxfId="146" priority="25" stopIfTrue="1" operator="equal">
      <formula>NA()</formula>
    </cfRule>
  </conditionalFormatting>
  <conditionalFormatting sqref="G211:G222">
    <cfRule type="cellIs" dxfId="145" priority="24" stopIfTrue="1" operator="notEqual">
      <formula>NA()</formula>
    </cfRule>
    <cfRule type="cellIs" dxfId="144" priority="23" stopIfTrue="1" operator="equal">
      <formula>NA()</formula>
    </cfRule>
  </conditionalFormatting>
  <conditionalFormatting sqref="G234:G245">
    <cfRule type="cellIs" dxfId="143" priority="21" stopIfTrue="1" operator="equal">
      <formula>NA()</formula>
    </cfRule>
    <cfRule type="cellIs" dxfId="142" priority="22" stopIfTrue="1" operator="notEqual">
      <formula>NA()</formula>
    </cfRule>
  </conditionalFormatting>
  <conditionalFormatting sqref="G257:G268">
    <cfRule type="cellIs" dxfId="141" priority="20" stopIfTrue="1" operator="notEqual">
      <formula>NA()</formula>
    </cfRule>
    <cfRule type="cellIs" dxfId="140" priority="19" stopIfTrue="1" operator="equal">
      <formula>NA()</formula>
    </cfRule>
  </conditionalFormatting>
  <conditionalFormatting sqref="G280:G291">
    <cfRule type="cellIs" dxfId="139" priority="18" stopIfTrue="1" operator="notEqual">
      <formula>NA()</formula>
    </cfRule>
    <cfRule type="cellIs" dxfId="138" priority="17" stopIfTrue="1" operator="equal">
      <formula>NA()</formula>
    </cfRule>
  </conditionalFormatting>
  <conditionalFormatting sqref="G303:G314">
    <cfRule type="cellIs" dxfId="137" priority="16" stopIfTrue="1" operator="notEqual">
      <formula>NA()</formula>
    </cfRule>
    <cfRule type="cellIs" dxfId="136" priority="15" stopIfTrue="1" operator="equal">
      <formula>NA()</formula>
    </cfRule>
  </conditionalFormatting>
  <conditionalFormatting sqref="G326:G337">
    <cfRule type="cellIs" dxfId="135" priority="14" stopIfTrue="1" operator="notEqual">
      <formula>NA()</formula>
    </cfRule>
    <cfRule type="cellIs" dxfId="134" priority="13" stopIfTrue="1" operator="equal">
      <formula>NA()</formula>
    </cfRule>
  </conditionalFormatting>
  <conditionalFormatting sqref="G349:G360">
    <cfRule type="cellIs" dxfId="133" priority="12" stopIfTrue="1" operator="notEqual">
      <formula>NA()</formula>
    </cfRule>
    <cfRule type="cellIs" dxfId="132" priority="11" stopIfTrue="1" operator="equal">
      <formula>NA()</formula>
    </cfRule>
  </conditionalFormatting>
  <conditionalFormatting sqref="G372:G383">
    <cfRule type="cellIs" dxfId="131" priority="10" stopIfTrue="1" operator="notEqual">
      <formula>NA()</formula>
    </cfRule>
    <cfRule type="cellIs" dxfId="130" priority="9" stopIfTrue="1" operator="equal">
      <formula>NA()</formula>
    </cfRule>
  </conditionalFormatting>
  <conditionalFormatting sqref="G395:G406">
    <cfRule type="cellIs" dxfId="129" priority="8" stopIfTrue="1" operator="notEqual">
      <formula>NA()</formula>
    </cfRule>
    <cfRule type="cellIs" dxfId="128" priority="7" stopIfTrue="1" operator="equal">
      <formula>NA()</formula>
    </cfRule>
  </conditionalFormatting>
  <conditionalFormatting sqref="G418:G429">
    <cfRule type="cellIs" dxfId="127" priority="6" stopIfTrue="1" operator="notEqual">
      <formula>NA()</formula>
    </cfRule>
    <cfRule type="cellIs" dxfId="126" priority="5" stopIfTrue="1" operator="equal">
      <formula>NA()</formula>
    </cfRule>
  </conditionalFormatting>
  <conditionalFormatting sqref="G441:G452">
    <cfRule type="cellIs" dxfId="125" priority="4" stopIfTrue="1" operator="notEqual">
      <formula>NA()</formula>
    </cfRule>
    <cfRule type="cellIs" dxfId="124" priority="3" stopIfTrue="1" operator="equal">
      <formula>NA()</formula>
    </cfRule>
  </conditionalFormatting>
  <conditionalFormatting sqref="G464:G475">
    <cfRule type="cellIs" dxfId="123" priority="1" stopIfTrue="1" operator="equal">
      <formula>NA()</formula>
    </cfRule>
    <cfRule type="cellIs" dxfId="122" priority="2" stopIfTrue="1" operator="notEqual">
      <formula>NA()</formula>
    </cfRule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Validation!$A$124:$A$127</xm:f>
          </x14:formula1>
          <xm:sqref>C24:D24 C47:D47 C70:D70 C93:D93 C116:D116 C139:D139 C162:D162 C185:D185 C208:D208 C231:D231 C254:D254 C277:D277 C300:D300 C323:D323 C346:D346 C369:D369 C392:D392 C415:D415 C438:D438 C461:D461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C105"/>
  <sheetViews>
    <sheetView workbookViewId="0">
      <selection activeCell="C3" sqref="C3"/>
    </sheetView>
  </sheetViews>
  <sheetFormatPr defaultColWidth="0" defaultRowHeight="12" zeroHeight="1"/>
  <cols>
    <col min="1" max="1" width="5.140625" style="218" customWidth="1"/>
    <col min="2" max="2" width="16.42578125" style="218" customWidth="1"/>
    <col min="3" max="3" width="14.85546875" style="218" customWidth="1"/>
    <col min="4" max="4" width="11.140625" style="218" customWidth="1"/>
    <col min="5" max="5" width="12.5703125" style="218" customWidth="1"/>
    <col min="6" max="6" width="10.28515625" style="218" customWidth="1"/>
    <col min="7" max="8" width="9.140625" style="218" customWidth="1"/>
    <col min="9" max="9" width="6.5703125" style="218" customWidth="1"/>
    <col min="10" max="10" width="12" style="218" customWidth="1"/>
    <col min="11" max="11" width="9.140625" style="218" customWidth="1"/>
    <col min="12" max="12" width="14.42578125" style="218" customWidth="1"/>
    <col min="13" max="13" width="13.85546875" style="218" customWidth="1"/>
    <col min="14" max="16" width="10.42578125" style="218" customWidth="1"/>
    <col min="17" max="17" width="16.42578125" style="218" customWidth="1"/>
    <col min="18" max="29" width="9.140625" style="218" customWidth="1"/>
    <col min="30" max="16384" width="9.140625" style="218" hidden="1"/>
  </cols>
  <sheetData>
    <row r="1" spans="1:29" ht="15" customHeight="1">
      <c r="A1" s="455" t="s">
        <v>5</v>
      </c>
      <c r="B1" s="455" t="s">
        <v>552</v>
      </c>
      <c r="C1" s="455" t="s">
        <v>553</v>
      </c>
      <c r="D1" s="457" t="s">
        <v>554</v>
      </c>
      <c r="E1" s="457" t="s">
        <v>555</v>
      </c>
      <c r="F1" s="459" t="s">
        <v>556</v>
      </c>
      <c r="G1" s="455" t="s">
        <v>29</v>
      </c>
      <c r="H1" s="455" t="s">
        <v>557</v>
      </c>
      <c r="I1" s="455" t="s">
        <v>558</v>
      </c>
      <c r="J1" s="455" t="s">
        <v>559</v>
      </c>
      <c r="K1" s="455" t="s">
        <v>560</v>
      </c>
      <c r="L1" s="455" t="s">
        <v>561</v>
      </c>
      <c r="M1" s="455" t="s">
        <v>562</v>
      </c>
      <c r="N1" s="455" t="s">
        <v>563</v>
      </c>
      <c r="O1" s="455" t="s">
        <v>564</v>
      </c>
      <c r="P1" s="455" t="s">
        <v>565</v>
      </c>
      <c r="Q1" s="455" t="s">
        <v>566</v>
      </c>
      <c r="R1" s="448" t="s">
        <v>567</v>
      </c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50"/>
    </row>
    <row r="2" spans="1:29" ht="42" customHeight="1">
      <c r="A2" s="456"/>
      <c r="B2" s="456"/>
      <c r="C2" s="456"/>
      <c r="D2" s="458"/>
      <c r="E2" s="458"/>
      <c r="F2" s="460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234">
        <f>IF('Banking - Non PDF'!$A$27="","",'Banking - Non PDF'!$A$27)</f>
        <v>44986</v>
      </c>
      <c r="S2" s="234">
        <f>IF('Banking - Non PDF'!$A$28="","",'Banking - Non PDF'!$A$28)</f>
        <v>45017</v>
      </c>
      <c r="T2" s="234">
        <f>IF('Banking - Non PDF'!$A$29="","",'Banking - Non PDF'!$A$29)</f>
        <v>45047</v>
      </c>
      <c r="U2" s="234">
        <f>IF('Banking - Non PDF'!$A$30="","",'Banking - Non PDF'!$A$30)</f>
        <v>45078</v>
      </c>
      <c r="V2" s="234">
        <f>IF('Banking - Non PDF'!$A$31="","",'Banking - Non PDF'!$A$31)</f>
        <v>45108</v>
      </c>
      <c r="W2" s="234">
        <f>IF('Banking - Non PDF'!$A$32="","",'Banking - Non PDF'!$A$32)</f>
        <v>45139</v>
      </c>
      <c r="X2" s="234">
        <f>IF('Banking - Non PDF'!$A$33="","",'Banking - Non PDF'!$A$33)</f>
        <v>45170</v>
      </c>
      <c r="Y2" s="234">
        <f>IF('Banking - Non PDF'!$A$34="","",'Banking - Non PDF'!$A$34)</f>
        <v>45200</v>
      </c>
      <c r="Z2" s="234">
        <f>IF('Banking - Non PDF'!$A$35="","",'Banking - Non PDF'!$A$35)</f>
        <v>45231</v>
      </c>
      <c r="AA2" s="234">
        <f>IF('Banking - Non PDF'!$A$36="","",'Banking - Non PDF'!$A$36)</f>
        <v>45261</v>
      </c>
      <c r="AB2" s="234">
        <f>IF('Banking - Non PDF'!$A$37="","",'Banking - Non PDF'!$A$37)</f>
        <v>45292</v>
      </c>
      <c r="AC2" s="234">
        <f>IF('Banking - Non PDF'!$A$38="","",'Banking - Non PDF'!$A$38)</f>
        <v>45323</v>
      </c>
    </row>
    <row r="3" spans="1:29" ht="15" customHeight="1">
      <c r="A3" s="219">
        <v>1</v>
      </c>
      <c r="B3" s="220"/>
      <c r="C3" s="220"/>
      <c r="D3" s="221"/>
      <c r="E3" s="221"/>
      <c r="F3" s="222"/>
      <c r="G3" s="223"/>
      <c r="H3" s="224"/>
      <c r="I3" s="229" t="str">
        <f ca="1">IF(F3="","",IF(H3&lt;&gt;"",DATEDIF(F3,H3,"M"),DATEDIF(F3,TODAY(),"M")))</f>
        <v/>
      </c>
      <c r="J3" s="220"/>
      <c r="K3" s="220"/>
      <c r="L3" s="220"/>
      <c r="M3" s="220"/>
      <c r="N3" s="230"/>
      <c r="O3" s="231"/>
      <c r="P3" s="232">
        <f t="shared" ref="P3:P34" si="0">IF(OR(M3="",M3="Active"),N3*IF(O3="",100%,O3),0)</f>
        <v>0</v>
      </c>
      <c r="Q3" s="235"/>
      <c r="R3" s="220">
        <v>5</v>
      </c>
      <c r="S3" s="220">
        <v>5</v>
      </c>
      <c r="T3" s="220">
        <v>5</v>
      </c>
      <c r="U3" s="220">
        <v>5</v>
      </c>
      <c r="V3" s="220">
        <v>5</v>
      </c>
      <c r="W3" s="220">
        <v>5</v>
      </c>
      <c r="X3" s="220">
        <v>5</v>
      </c>
      <c r="Y3" s="220">
        <v>5</v>
      </c>
      <c r="Z3" s="220"/>
      <c r="AA3" s="220"/>
      <c r="AB3" s="220"/>
      <c r="AC3" s="220"/>
    </row>
    <row r="4" spans="1:29" ht="15" customHeight="1">
      <c r="A4" s="219">
        <v>2</v>
      </c>
      <c r="B4" s="220"/>
      <c r="C4" s="220"/>
      <c r="D4" s="221"/>
      <c r="E4" s="221"/>
      <c r="F4" s="222"/>
      <c r="G4" s="223"/>
      <c r="H4" s="224"/>
      <c r="I4" s="229" t="str">
        <f t="shared" ref="I4:I67" ca="1" si="1">IF(F4="","",IF(H4&lt;&gt;"",DATEDIF(F4,H4,"M"),DATEDIF(F4,TODAY(),"M")))</f>
        <v/>
      </c>
      <c r="J4" s="220"/>
      <c r="K4" s="220"/>
      <c r="L4" s="220"/>
      <c r="M4" s="220"/>
      <c r="N4" s="230"/>
      <c r="O4" s="231"/>
      <c r="P4" s="232">
        <f t="shared" si="0"/>
        <v>0</v>
      </c>
      <c r="Q4" s="235"/>
      <c r="R4" s="220"/>
      <c r="S4" s="220"/>
      <c r="T4" s="220"/>
      <c r="U4" s="220"/>
      <c r="V4" s="220"/>
      <c r="W4" s="220"/>
      <c r="X4" s="220">
        <v>4</v>
      </c>
      <c r="Y4" s="220">
        <v>4</v>
      </c>
      <c r="Z4" s="220">
        <v>4</v>
      </c>
      <c r="AA4" s="220">
        <v>4</v>
      </c>
      <c r="AB4" s="220">
        <v>4</v>
      </c>
      <c r="AC4" s="220">
        <v>4</v>
      </c>
    </row>
    <row r="5" spans="1:29" ht="15" customHeight="1">
      <c r="A5" s="219">
        <v>3</v>
      </c>
      <c r="B5" s="220"/>
      <c r="C5" s="220"/>
      <c r="D5" s="221"/>
      <c r="E5" s="221"/>
      <c r="F5" s="222"/>
      <c r="G5" s="223"/>
      <c r="H5" s="224"/>
      <c r="I5" s="229" t="str">
        <f t="shared" ca="1" si="1"/>
        <v/>
      </c>
      <c r="J5" s="220"/>
      <c r="K5" s="220"/>
      <c r="L5" s="220"/>
      <c r="M5" s="220"/>
      <c r="N5" s="230"/>
      <c r="O5" s="231"/>
      <c r="P5" s="232">
        <f t="shared" si="0"/>
        <v>0</v>
      </c>
      <c r="Q5" s="235"/>
      <c r="R5" s="220"/>
      <c r="S5" s="220"/>
      <c r="T5" s="220"/>
      <c r="U5" s="220"/>
      <c r="V5" s="220"/>
      <c r="W5" s="220"/>
      <c r="X5" s="220"/>
      <c r="Y5" s="220"/>
      <c r="Z5" s="220"/>
      <c r="AA5" s="220">
        <v>5</v>
      </c>
      <c r="AB5" s="220">
        <v>5</v>
      </c>
      <c r="AC5" s="220">
        <v>5</v>
      </c>
    </row>
    <row r="6" spans="1:29" ht="15" customHeight="1">
      <c r="A6" s="219">
        <v>4</v>
      </c>
      <c r="B6" s="220"/>
      <c r="C6" s="220"/>
      <c r="D6" s="221"/>
      <c r="E6" s="221"/>
      <c r="F6" s="222"/>
      <c r="G6" s="223"/>
      <c r="H6" s="224"/>
      <c r="I6" s="229" t="str">
        <f t="shared" ca="1" si="1"/>
        <v/>
      </c>
      <c r="J6" s="220"/>
      <c r="K6" s="220"/>
      <c r="L6" s="220"/>
      <c r="M6" s="220"/>
      <c r="N6" s="230"/>
      <c r="O6" s="231"/>
      <c r="P6" s="232">
        <f t="shared" si="0"/>
        <v>0</v>
      </c>
      <c r="Q6" s="235"/>
      <c r="R6" s="220"/>
      <c r="S6" s="220"/>
      <c r="T6" s="220"/>
      <c r="U6" s="220"/>
      <c r="V6" s="220"/>
      <c r="W6" s="220"/>
      <c r="X6" s="220"/>
      <c r="Y6" s="220"/>
      <c r="Z6" s="220"/>
      <c r="AA6" s="220">
        <v>5</v>
      </c>
      <c r="AB6" s="220">
        <v>5</v>
      </c>
      <c r="AC6" s="220">
        <v>5</v>
      </c>
    </row>
    <row r="7" spans="1:29" ht="15" customHeight="1">
      <c r="A7" s="219">
        <v>5</v>
      </c>
      <c r="B7" s="220"/>
      <c r="C7" s="220"/>
      <c r="D7" s="221"/>
      <c r="E7" s="221"/>
      <c r="F7" s="222"/>
      <c r="G7" s="223"/>
      <c r="H7" s="224"/>
      <c r="I7" s="229" t="str">
        <f t="shared" ca="1" si="1"/>
        <v/>
      </c>
      <c r="J7" s="220"/>
      <c r="K7" s="220"/>
      <c r="L7" s="220"/>
      <c r="M7" s="220"/>
      <c r="N7" s="230"/>
      <c r="O7" s="231"/>
      <c r="P7" s="232">
        <f t="shared" si="0"/>
        <v>0</v>
      </c>
      <c r="Q7" s="235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</row>
    <row r="8" spans="1:29" ht="15" customHeight="1">
      <c r="A8" s="219">
        <v>6</v>
      </c>
      <c r="B8" s="220"/>
      <c r="C8" s="220"/>
      <c r="D8" s="221"/>
      <c r="E8" s="221"/>
      <c r="F8" s="222"/>
      <c r="G8" s="223"/>
      <c r="H8" s="224"/>
      <c r="I8" s="229" t="str">
        <f t="shared" ca="1" si="1"/>
        <v/>
      </c>
      <c r="J8" s="220"/>
      <c r="K8" s="220"/>
      <c r="L8" s="220"/>
      <c r="M8" s="220"/>
      <c r="N8" s="230"/>
      <c r="O8" s="231"/>
      <c r="P8" s="232">
        <f t="shared" si="0"/>
        <v>0</v>
      </c>
      <c r="Q8" s="235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</row>
    <row r="9" spans="1:29" ht="15" customHeight="1">
      <c r="A9" s="219">
        <v>7</v>
      </c>
      <c r="B9" s="220"/>
      <c r="C9" s="220"/>
      <c r="D9" s="221"/>
      <c r="E9" s="221"/>
      <c r="F9" s="222"/>
      <c r="G9" s="223"/>
      <c r="H9" s="224"/>
      <c r="I9" s="229" t="str">
        <f t="shared" ca="1" si="1"/>
        <v/>
      </c>
      <c r="J9" s="220"/>
      <c r="K9" s="220"/>
      <c r="L9" s="220"/>
      <c r="M9" s="220"/>
      <c r="N9" s="230"/>
      <c r="O9" s="231"/>
      <c r="P9" s="232">
        <f t="shared" si="0"/>
        <v>0</v>
      </c>
      <c r="Q9" s="235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</row>
    <row r="10" spans="1:29" ht="15" customHeight="1">
      <c r="A10" s="219">
        <v>8</v>
      </c>
      <c r="B10" s="220"/>
      <c r="C10" s="220"/>
      <c r="D10" s="221"/>
      <c r="E10" s="221"/>
      <c r="F10" s="222"/>
      <c r="G10" s="223"/>
      <c r="H10" s="224"/>
      <c r="I10" s="229" t="str">
        <f t="shared" ca="1" si="1"/>
        <v/>
      </c>
      <c r="J10" s="220"/>
      <c r="K10" s="220"/>
      <c r="L10" s="220"/>
      <c r="M10" s="220"/>
      <c r="N10" s="230"/>
      <c r="O10" s="231"/>
      <c r="P10" s="232">
        <f t="shared" si="0"/>
        <v>0</v>
      </c>
      <c r="Q10" s="23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</row>
    <row r="11" spans="1:29" ht="15" customHeight="1">
      <c r="A11" s="219">
        <v>9</v>
      </c>
      <c r="B11" s="225"/>
      <c r="C11" s="220"/>
      <c r="D11" s="226"/>
      <c r="E11" s="226"/>
      <c r="F11" s="224"/>
      <c r="G11" s="227"/>
      <c r="H11" s="224"/>
      <c r="I11" s="229" t="str">
        <f t="shared" ca="1" si="1"/>
        <v/>
      </c>
      <c r="J11" s="220"/>
      <c r="K11" s="220"/>
      <c r="L11" s="225"/>
      <c r="M11" s="220"/>
      <c r="N11" s="230"/>
      <c r="O11" s="231"/>
      <c r="P11" s="232">
        <f t="shared" si="0"/>
        <v>0</v>
      </c>
      <c r="Q11" s="23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</row>
    <row r="12" spans="1:29" ht="15" customHeight="1">
      <c r="A12" s="219">
        <v>10</v>
      </c>
      <c r="B12" s="225"/>
      <c r="C12" s="225"/>
      <c r="D12" s="226"/>
      <c r="E12" s="226"/>
      <c r="F12" s="224"/>
      <c r="G12" s="227"/>
      <c r="H12" s="224"/>
      <c r="I12" s="229" t="str">
        <f t="shared" ca="1" si="1"/>
        <v/>
      </c>
      <c r="J12" s="220"/>
      <c r="K12" s="225"/>
      <c r="L12" s="220"/>
      <c r="M12" s="220"/>
      <c r="N12" s="228"/>
      <c r="O12" s="231"/>
      <c r="P12" s="232">
        <f t="shared" si="0"/>
        <v>0</v>
      </c>
      <c r="Q12" s="23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</row>
    <row r="13" spans="1:29" ht="15" customHeight="1">
      <c r="A13" s="219">
        <v>11</v>
      </c>
      <c r="B13" s="225"/>
      <c r="C13" s="225"/>
      <c r="D13" s="226"/>
      <c r="E13" s="226"/>
      <c r="F13" s="224"/>
      <c r="G13" s="227"/>
      <c r="H13" s="224"/>
      <c r="I13" s="229" t="str">
        <f t="shared" ca="1" si="1"/>
        <v/>
      </c>
      <c r="J13" s="220"/>
      <c r="K13" s="225"/>
      <c r="L13" s="225"/>
      <c r="M13" s="220"/>
      <c r="N13" s="228"/>
      <c r="O13" s="231"/>
      <c r="P13" s="232">
        <f t="shared" si="0"/>
        <v>0</v>
      </c>
      <c r="Q13" s="23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</row>
    <row r="14" spans="1:29" ht="15" customHeight="1">
      <c r="A14" s="219">
        <v>12</v>
      </c>
      <c r="B14" s="225"/>
      <c r="C14" s="225"/>
      <c r="D14" s="226"/>
      <c r="E14" s="226"/>
      <c r="F14" s="224"/>
      <c r="G14" s="227"/>
      <c r="H14" s="224"/>
      <c r="I14" s="229" t="str">
        <f t="shared" ca="1" si="1"/>
        <v/>
      </c>
      <c r="J14" s="220"/>
      <c r="K14" s="225"/>
      <c r="L14" s="225"/>
      <c r="M14" s="220"/>
      <c r="N14" s="228"/>
      <c r="O14" s="231"/>
      <c r="P14" s="232">
        <f t="shared" si="0"/>
        <v>0</v>
      </c>
      <c r="Q14" s="23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</row>
    <row r="15" spans="1:29" ht="15" customHeight="1">
      <c r="A15" s="219">
        <v>13</v>
      </c>
      <c r="B15" s="225"/>
      <c r="C15" s="225"/>
      <c r="D15" s="226"/>
      <c r="E15" s="226"/>
      <c r="F15" s="224"/>
      <c r="G15" s="227"/>
      <c r="H15" s="224"/>
      <c r="I15" s="229" t="str">
        <f t="shared" ca="1" si="1"/>
        <v/>
      </c>
      <c r="J15" s="220"/>
      <c r="K15" s="225"/>
      <c r="L15" s="225"/>
      <c r="M15" s="220"/>
      <c r="N15" s="228"/>
      <c r="O15" s="231"/>
      <c r="P15" s="232">
        <f t="shared" si="0"/>
        <v>0</v>
      </c>
      <c r="Q15" s="23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</row>
    <row r="16" spans="1:29" ht="15" customHeight="1">
      <c r="A16" s="219">
        <v>14</v>
      </c>
      <c r="B16" s="225"/>
      <c r="C16" s="225"/>
      <c r="D16" s="226"/>
      <c r="E16" s="226"/>
      <c r="F16" s="224"/>
      <c r="G16" s="227"/>
      <c r="H16" s="224"/>
      <c r="I16" s="229" t="str">
        <f t="shared" ca="1" si="1"/>
        <v/>
      </c>
      <c r="J16" s="220"/>
      <c r="K16" s="225"/>
      <c r="L16" s="225"/>
      <c r="M16" s="220"/>
      <c r="N16" s="228"/>
      <c r="O16" s="231"/>
      <c r="P16" s="232">
        <f t="shared" si="0"/>
        <v>0</v>
      </c>
      <c r="Q16" s="236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</row>
    <row r="17" spans="1:29" ht="15" customHeight="1">
      <c r="A17" s="219">
        <v>15</v>
      </c>
      <c r="B17" s="225"/>
      <c r="C17" s="225"/>
      <c r="D17" s="228"/>
      <c r="E17" s="228"/>
      <c r="F17" s="224"/>
      <c r="G17" s="227"/>
      <c r="H17" s="224"/>
      <c r="I17" s="229" t="str">
        <f t="shared" ca="1" si="1"/>
        <v/>
      </c>
      <c r="J17" s="220"/>
      <c r="K17" s="225"/>
      <c r="L17" s="225"/>
      <c r="M17" s="220"/>
      <c r="N17" s="228"/>
      <c r="O17" s="233"/>
      <c r="P17" s="232">
        <f t="shared" si="0"/>
        <v>0</v>
      </c>
      <c r="Q17" s="23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</row>
    <row r="18" spans="1:29" ht="15" customHeight="1">
      <c r="A18" s="219">
        <v>16</v>
      </c>
      <c r="B18" s="225"/>
      <c r="C18" s="225"/>
      <c r="D18" s="228"/>
      <c r="E18" s="228"/>
      <c r="F18" s="224"/>
      <c r="G18" s="227"/>
      <c r="H18" s="224"/>
      <c r="I18" s="229" t="str">
        <f t="shared" ca="1" si="1"/>
        <v/>
      </c>
      <c r="J18" s="220"/>
      <c r="K18" s="225"/>
      <c r="L18" s="225"/>
      <c r="M18" s="220"/>
      <c r="N18" s="228"/>
      <c r="O18" s="233"/>
      <c r="P18" s="232">
        <f t="shared" si="0"/>
        <v>0</v>
      </c>
      <c r="Q18" s="23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</row>
    <row r="19" spans="1:29" ht="15" customHeight="1">
      <c r="A19" s="219">
        <v>17</v>
      </c>
      <c r="B19" s="225"/>
      <c r="C19" s="225"/>
      <c r="D19" s="228"/>
      <c r="E19" s="228"/>
      <c r="F19" s="224"/>
      <c r="G19" s="227"/>
      <c r="H19" s="224"/>
      <c r="I19" s="229" t="str">
        <f t="shared" ca="1" si="1"/>
        <v/>
      </c>
      <c r="J19" s="220"/>
      <c r="K19" s="225"/>
      <c r="L19" s="225"/>
      <c r="M19" s="220"/>
      <c r="N19" s="228"/>
      <c r="O19" s="233"/>
      <c r="P19" s="232">
        <f t="shared" si="0"/>
        <v>0</v>
      </c>
      <c r="Q19" s="23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</row>
    <row r="20" spans="1:29" ht="15" customHeight="1">
      <c r="A20" s="219">
        <v>18</v>
      </c>
      <c r="B20" s="225"/>
      <c r="C20" s="225"/>
      <c r="D20" s="228"/>
      <c r="E20" s="228"/>
      <c r="F20" s="224"/>
      <c r="G20" s="227"/>
      <c r="H20" s="224"/>
      <c r="I20" s="229" t="str">
        <f t="shared" ca="1" si="1"/>
        <v/>
      </c>
      <c r="J20" s="220"/>
      <c r="K20" s="225"/>
      <c r="L20" s="225"/>
      <c r="M20" s="220"/>
      <c r="N20" s="228"/>
      <c r="O20" s="233"/>
      <c r="P20" s="232">
        <f t="shared" si="0"/>
        <v>0</v>
      </c>
      <c r="Q20" s="23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5"/>
      <c r="AC20" s="225"/>
    </row>
    <row r="21" spans="1:29" ht="15" customHeight="1">
      <c r="A21" s="219">
        <v>19</v>
      </c>
      <c r="B21" s="225"/>
      <c r="C21" s="225"/>
      <c r="D21" s="228"/>
      <c r="E21" s="228"/>
      <c r="F21" s="224"/>
      <c r="G21" s="227"/>
      <c r="H21" s="224"/>
      <c r="I21" s="229" t="str">
        <f t="shared" ca="1" si="1"/>
        <v/>
      </c>
      <c r="J21" s="225"/>
      <c r="K21" s="225"/>
      <c r="L21" s="225"/>
      <c r="M21" s="220"/>
      <c r="N21" s="228"/>
      <c r="O21" s="233"/>
      <c r="P21" s="232">
        <f t="shared" si="0"/>
        <v>0</v>
      </c>
      <c r="Q21" s="236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</row>
    <row r="22" spans="1:29" ht="15" customHeight="1">
      <c r="A22" s="219">
        <v>20</v>
      </c>
      <c r="B22" s="225"/>
      <c r="C22" s="225"/>
      <c r="D22" s="228"/>
      <c r="E22" s="228"/>
      <c r="F22" s="224"/>
      <c r="G22" s="227"/>
      <c r="H22" s="224"/>
      <c r="I22" s="229" t="str">
        <f t="shared" ca="1" si="1"/>
        <v/>
      </c>
      <c r="J22" s="220"/>
      <c r="K22" s="225"/>
      <c r="L22" s="225"/>
      <c r="M22" s="220"/>
      <c r="N22" s="228"/>
      <c r="O22" s="233"/>
      <c r="P22" s="232">
        <f t="shared" si="0"/>
        <v>0</v>
      </c>
      <c r="Q22" s="236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</row>
    <row r="23" spans="1:29" ht="15" customHeight="1">
      <c r="A23" s="219">
        <v>21</v>
      </c>
      <c r="B23" s="225"/>
      <c r="C23" s="225"/>
      <c r="D23" s="228"/>
      <c r="E23" s="228"/>
      <c r="F23" s="224"/>
      <c r="G23" s="227"/>
      <c r="H23" s="224"/>
      <c r="I23" s="229" t="str">
        <f t="shared" ca="1" si="1"/>
        <v/>
      </c>
      <c r="J23" s="220"/>
      <c r="K23" s="225"/>
      <c r="L23" s="225"/>
      <c r="M23" s="220"/>
      <c r="N23" s="228"/>
      <c r="O23" s="233"/>
      <c r="P23" s="232">
        <f t="shared" si="0"/>
        <v>0</v>
      </c>
      <c r="Q23" s="236"/>
      <c r="R23" s="225"/>
      <c r="S23" s="225"/>
      <c r="T23" s="225"/>
      <c r="U23" s="225"/>
      <c r="V23" s="225"/>
      <c r="W23" s="225"/>
      <c r="X23" s="225"/>
      <c r="Y23" s="225"/>
      <c r="Z23" s="225"/>
      <c r="AA23" s="225"/>
      <c r="AB23" s="225"/>
      <c r="AC23" s="225"/>
    </row>
    <row r="24" spans="1:29" ht="15" customHeight="1">
      <c r="A24" s="219">
        <v>22</v>
      </c>
      <c r="B24" s="225"/>
      <c r="C24" s="225"/>
      <c r="D24" s="228"/>
      <c r="E24" s="228"/>
      <c r="F24" s="224"/>
      <c r="G24" s="227"/>
      <c r="H24" s="224"/>
      <c r="I24" s="229" t="str">
        <f t="shared" ca="1" si="1"/>
        <v/>
      </c>
      <c r="J24" s="220"/>
      <c r="K24" s="225"/>
      <c r="L24" s="225"/>
      <c r="M24" s="220"/>
      <c r="N24" s="228"/>
      <c r="O24" s="233"/>
      <c r="P24" s="232">
        <f t="shared" si="0"/>
        <v>0</v>
      </c>
      <c r="Q24" s="236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</row>
    <row r="25" spans="1:29" ht="15" customHeight="1">
      <c r="A25" s="219">
        <v>23</v>
      </c>
      <c r="B25" s="225"/>
      <c r="C25" s="225"/>
      <c r="D25" s="228"/>
      <c r="E25" s="228"/>
      <c r="F25" s="224"/>
      <c r="G25" s="227"/>
      <c r="H25" s="224"/>
      <c r="I25" s="229" t="str">
        <f t="shared" ca="1" si="1"/>
        <v/>
      </c>
      <c r="J25" s="220"/>
      <c r="K25" s="225"/>
      <c r="L25" s="225"/>
      <c r="M25" s="220"/>
      <c r="N25" s="228"/>
      <c r="O25" s="233"/>
      <c r="P25" s="232">
        <f t="shared" si="0"/>
        <v>0</v>
      </c>
      <c r="Q25" s="236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</row>
    <row r="26" spans="1:29" ht="15" customHeight="1">
      <c r="A26" s="219">
        <v>24</v>
      </c>
      <c r="B26" s="225"/>
      <c r="C26" s="225"/>
      <c r="D26" s="228"/>
      <c r="E26" s="228"/>
      <c r="F26" s="224"/>
      <c r="G26" s="227"/>
      <c r="H26" s="224"/>
      <c r="I26" s="229" t="str">
        <f t="shared" ca="1" si="1"/>
        <v/>
      </c>
      <c r="J26" s="220"/>
      <c r="K26" s="225"/>
      <c r="L26" s="225"/>
      <c r="M26" s="220"/>
      <c r="N26" s="228"/>
      <c r="O26" s="233"/>
      <c r="P26" s="232">
        <f t="shared" si="0"/>
        <v>0</v>
      </c>
      <c r="Q26" s="236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</row>
    <row r="27" spans="1:29" ht="15" customHeight="1">
      <c r="A27" s="219">
        <v>25</v>
      </c>
      <c r="B27" s="225"/>
      <c r="C27" s="225"/>
      <c r="D27" s="228"/>
      <c r="E27" s="228"/>
      <c r="F27" s="224"/>
      <c r="G27" s="227"/>
      <c r="H27" s="224"/>
      <c r="I27" s="229" t="str">
        <f t="shared" ca="1" si="1"/>
        <v/>
      </c>
      <c r="J27" s="220"/>
      <c r="K27" s="225"/>
      <c r="L27" s="225"/>
      <c r="M27" s="220"/>
      <c r="N27" s="228"/>
      <c r="O27" s="233"/>
      <c r="P27" s="232">
        <f t="shared" si="0"/>
        <v>0</v>
      </c>
      <c r="Q27" s="236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</row>
    <row r="28" spans="1:29" ht="15" customHeight="1">
      <c r="A28" s="219">
        <v>26</v>
      </c>
      <c r="B28" s="225"/>
      <c r="C28" s="225"/>
      <c r="D28" s="228"/>
      <c r="E28" s="228"/>
      <c r="F28" s="224"/>
      <c r="G28" s="227"/>
      <c r="H28" s="224"/>
      <c r="I28" s="229" t="str">
        <f t="shared" ca="1" si="1"/>
        <v/>
      </c>
      <c r="J28" s="220"/>
      <c r="K28" s="225"/>
      <c r="L28" s="225"/>
      <c r="M28" s="220"/>
      <c r="N28" s="228"/>
      <c r="O28" s="233"/>
      <c r="P28" s="232">
        <f t="shared" si="0"/>
        <v>0</v>
      </c>
      <c r="Q28" s="236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</row>
    <row r="29" spans="1:29" ht="15" customHeight="1">
      <c r="A29" s="219">
        <v>27</v>
      </c>
      <c r="B29" s="225"/>
      <c r="C29" s="225"/>
      <c r="D29" s="228"/>
      <c r="E29" s="228"/>
      <c r="F29" s="224"/>
      <c r="G29" s="227"/>
      <c r="H29" s="224"/>
      <c r="I29" s="229" t="str">
        <f t="shared" ca="1" si="1"/>
        <v/>
      </c>
      <c r="J29" s="220"/>
      <c r="K29" s="225"/>
      <c r="L29" s="225"/>
      <c r="M29" s="220"/>
      <c r="N29" s="228"/>
      <c r="O29" s="233"/>
      <c r="P29" s="232">
        <f t="shared" si="0"/>
        <v>0</v>
      </c>
      <c r="Q29" s="236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</row>
    <row r="30" spans="1:29" ht="15" customHeight="1">
      <c r="A30" s="219">
        <v>28</v>
      </c>
      <c r="B30" s="225"/>
      <c r="C30" s="225"/>
      <c r="D30" s="228"/>
      <c r="E30" s="228"/>
      <c r="F30" s="224"/>
      <c r="G30" s="227"/>
      <c r="H30" s="224"/>
      <c r="I30" s="229" t="str">
        <f t="shared" ca="1" si="1"/>
        <v/>
      </c>
      <c r="J30" s="225"/>
      <c r="K30" s="225"/>
      <c r="L30" s="225"/>
      <c r="M30" s="225"/>
      <c r="N30" s="228"/>
      <c r="O30" s="233"/>
      <c r="P30" s="232">
        <f t="shared" si="0"/>
        <v>0</v>
      </c>
      <c r="Q30" s="236"/>
      <c r="R30" s="225"/>
      <c r="S30" s="225"/>
      <c r="T30" s="225"/>
      <c r="U30" s="225"/>
      <c r="V30" s="225"/>
      <c r="W30" s="225"/>
      <c r="X30" s="225"/>
      <c r="Y30" s="225"/>
      <c r="Z30" s="225"/>
      <c r="AA30" s="225"/>
      <c r="AB30" s="225"/>
      <c r="AC30" s="225"/>
    </row>
    <row r="31" spans="1:29" ht="15" customHeight="1">
      <c r="A31" s="219">
        <v>29</v>
      </c>
      <c r="B31" s="225"/>
      <c r="C31" s="225"/>
      <c r="D31" s="228"/>
      <c r="E31" s="228"/>
      <c r="F31" s="224"/>
      <c r="G31" s="227"/>
      <c r="H31" s="224"/>
      <c r="I31" s="229" t="str">
        <f t="shared" ca="1" si="1"/>
        <v/>
      </c>
      <c r="J31" s="225"/>
      <c r="K31" s="225"/>
      <c r="L31" s="225"/>
      <c r="M31" s="225"/>
      <c r="N31" s="228"/>
      <c r="O31" s="233"/>
      <c r="P31" s="232">
        <f t="shared" si="0"/>
        <v>0</v>
      </c>
      <c r="Q31" s="236"/>
      <c r="R31" s="225"/>
      <c r="S31" s="225"/>
      <c r="T31" s="225"/>
      <c r="U31" s="225"/>
      <c r="V31" s="225"/>
      <c r="W31" s="225"/>
      <c r="X31" s="225"/>
      <c r="Y31" s="225"/>
      <c r="Z31" s="225"/>
      <c r="AA31" s="225"/>
      <c r="AB31" s="225"/>
      <c r="AC31" s="225"/>
    </row>
    <row r="32" spans="1:29" ht="15" customHeight="1">
      <c r="A32" s="219">
        <v>30</v>
      </c>
      <c r="B32" s="225"/>
      <c r="C32" s="225"/>
      <c r="D32" s="228"/>
      <c r="E32" s="228"/>
      <c r="F32" s="224"/>
      <c r="G32" s="227"/>
      <c r="H32" s="224"/>
      <c r="I32" s="229" t="str">
        <f t="shared" ca="1" si="1"/>
        <v/>
      </c>
      <c r="J32" s="225"/>
      <c r="K32" s="225"/>
      <c r="L32" s="225"/>
      <c r="M32" s="225"/>
      <c r="N32" s="228"/>
      <c r="O32" s="233"/>
      <c r="P32" s="232">
        <f t="shared" si="0"/>
        <v>0</v>
      </c>
      <c r="Q32" s="236"/>
      <c r="R32" s="225"/>
      <c r="S32" s="225"/>
      <c r="T32" s="225"/>
      <c r="U32" s="225"/>
      <c r="V32" s="225"/>
      <c r="W32" s="225"/>
      <c r="X32" s="225"/>
      <c r="Y32" s="225"/>
      <c r="Z32" s="225"/>
      <c r="AA32" s="225"/>
      <c r="AB32" s="225"/>
      <c r="AC32" s="225"/>
    </row>
    <row r="33" spans="1:29" ht="15" customHeight="1">
      <c r="A33" s="219">
        <v>31</v>
      </c>
      <c r="B33" s="225"/>
      <c r="C33" s="225"/>
      <c r="D33" s="228"/>
      <c r="E33" s="228"/>
      <c r="F33" s="224"/>
      <c r="G33" s="227"/>
      <c r="H33" s="224"/>
      <c r="I33" s="229" t="str">
        <f t="shared" ca="1" si="1"/>
        <v/>
      </c>
      <c r="J33" s="225"/>
      <c r="K33" s="225"/>
      <c r="L33" s="225"/>
      <c r="M33" s="225"/>
      <c r="N33" s="228"/>
      <c r="O33" s="233"/>
      <c r="P33" s="232">
        <f t="shared" si="0"/>
        <v>0</v>
      </c>
      <c r="Q33" s="236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</row>
    <row r="34" spans="1:29" ht="15" customHeight="1">
      <c r="A34" s="219">
        <v>32</v>
      </c>
      <c r="B34" s="225"/>
      <c r="C34" s="225"/>
      <c r="D34" s="228"/>
      <c r="E34" s="228"/>
      <c r="F34" s="224"/>
      <c r="G34" s="227"/>
      <c r="H34" s="224"/>
      <c r="I34" s="229" t="str">
        <f t="shared" ca="1" si="1"/>
        <v/>
      </c>
      <c r="J34" s="225"/>
      <c r="K34" s="225"/>
      <c r="L34" s="225"/>
      <c r="M34" s="225"/>
      <c r="N34" s="228"/>
      <c r="O34" s="233"/>
      <c r="P34" s="232">
        <f t="shared" si="0"/>
        <v>0</v>
      </c>
      <c r="Q34" s="236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</row>
    <row r="35" spans="1:29" ht="15" customHeight="1">
      <c r="A35" s="219">
        <v>33</v>
      </c>
      <c r="B35" s="225"/>
      <c r="C35" s="225"/>
      <c r="D35" s="228"/>
      <c r="E35" s="228"/>
      <c r="F35" s="224"/>
      <c r="G35" s="227"/>
      <c r="H35" s="224"/>
      <c r="I35" s="229" t="str">
        <f t="shared" ca="1" si="1"/>
        <v/>
      </c>
      <c r="J35" s="225"/>
      <c r="K35" s="225"/>
      <c r="L35" s="225"/>
      <c r="M35" s="225"/>
      <c r="N35" s="228"/>
      <c r="O35" s="233"/>
      <c r="P35" s="232">
        <f t="shared" ref="P35:P66" si="2">IF(OR(M35="",M35="Active"),N35*IF(O35="",100%,O35),0)</f>
        <v>0</v>
      </c>
      <c r="Q35" s="236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</row>
    <row r="36" spans="1:29" ht="15" customHeight="1">
      <c r="A36" s="219">
        <v>34</v>
      </c>
      <c r="B36" s="225"/>
      <c r="C36" s="225"/>
      <c r="D36" s="228"/>
      <c r="E36" s="228"/>
      <c r="F36" s="224"/>
      <c r="G36" s="227"/>
      <c r="H36" s="224"/>
      <c r="I36" s="229" t="str">
        <f t="shared" ca="1" si="1"/>
        <v/>
      </c>
      <c r="J36" s="225"/>
      <c r="K36" s="225"/>
      <c r="L36" s="225"/>
      <c r="M36" s="225"/>
      <c r="N36" s="228"/>
      <c r="O36" s="233"/>
      <c r="P36" s="232">
        <f t="shared" si="2"/>
        <v>0</v>
      </c>
      <c r="Q36" s="236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</row>
    <row r="37" spans="1:29" ht="15" customHeight="1">
      <c r="A37" s="219">
        <v>35</v>
      </c>
      <c r="B37" s="225"/>
      <c r="C37" s="225"/>
      <c r="D37" s="228"/>
      <c r="E37" s="228"/>
      <c r="F37" s="224"/>
      <c r="G37" s="227"/>
      <c r="H37" s="224"/>
      <c r="I37" s="229" t="str">
        <f t="shared" ca="1" si="1"/>
        <v/>
      </c>
      <c r="J37" s="225"/>
      <c r="K37" s="225"/>
      <c r="L37" s="225"/>
      <c r="M37" s="225"/>
      <c r="N37" s="228"/>
      <c r="O37" s="233"/>
      <c r="P37" s="232">
        <f t="shared" si="2"/>
        <v>0</v>
      </c>
      <c r="Q37" s="236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</row>
    <row r="38" spans="1:29" ht="15" customHeight="1">
      <c r="A38" s="219">
        <v>36</v>
      </c>
      <c r="B38" s="225"/>
      <c r="C38" s="225"/>
      <c r="D38" s="228"/>
      <c r="E38" s="228"/>
      <c r="F38" s="224"/>
      <c r="G38" s="227"/>
      <c r="H38" s="224"/>
      <c r="I38" s="229" t="str">
        <f t="shared" ca="1" si="1"/>
        <v/>
      </c>
      <c r="J38" s="225"/>
      <c r="K38" s="225"/>
      <c r="L38" s="225"/>
      <c r="M38" s="225"/>
      <c r="N38" s="228"/>
      <c r="O38" s="233"/>
      <c r="P38" s="232">
        <f t="shared" si="2"/>
        <v>0</v>
      </c>
      <c r="Q38" s="236"/>
      <c r="R38" s="225"/>
      <c r="S38" s="225"/>
      <c r="T38" s="225"/>
      <c r="U38" s="225"/>
      <c r="V38" s="225"/>
      <c r="W38" s="225"/>
      <c r="X38" s="225"/>
      <c r="Y38" s="225"/>
      <c r="Z38" s="225"/>
      <c r="AA38" s="225"/>
      <c r="AB38" s="225"/>
      <c r="AC38" s="225"/>
    </row>
    <row r="39" spans="1:29" ht="15" customHeight="1">
      <c r="A39" s="219">
        <v>37</v>
      </c>
      <c r="B39" s="225"/>
      <c r="C39" s="225"/>
      <c r="D39" s="228"/>
      <c r="E39" s="228"/>
      <c r="F39" s="224"/>
      <c r="G39" s="227"/>
      <c r="H39" s="224"/>
      <c r="I39" s="229" t="str">
        <f t="shared" ca="1" si="1"/>
        <v/>
      </c>
      <c r="J39" s="225"/>
      <c r="K39" s="225"/>
      <c r="L39" s="225"/>
      <c r="M39" s="225"/>
      <c r="N39" s="228"/>
      <c r="O39" s="233"/>
      <c r="P39" s="232">
        <f t="shared" si="2"/>
        <v>0</v>
      </c>
      <c r="Q39" s="236"/>
      <c r="R39" s="225"/>
      <c r="S39" s="225"/>
      <c r="T39" s="225"/>
      <c r="U39" s="225"/>
      <c r="V39" s="225"/>
      <c r="W39" s="225"/>
      <c r="X39" s="225"/>
      <c r="Y39" s="225"/>
      <c r="Z39" s="225"/>
      <c r="AA39" s="225"/>
      <c r="AB39" s="225"/>
      <c r="AC39" s="225"/>
    </row>
    <row r="40" spans="1:29" ht="15" customHeight="1">
      <c r="A40" s="219">
        <v>38</v>
      </c>
      <c r="B40" s="225"/>
      <c r="C40" s="225"/>
      <c r="D40" s="228"/>
      <c r="E40" s="228"/>
      <c r="F40" s="224"/>
      <c r="G40" s="227"/>
      <c r="H40" s="224"/>
      <c r="I40" s="229" t="str">
        <f t="shared" ca="1" si="1"/>
        <v/>
      </c>
      <c r="J40" s="225"/>
      <c r="K40" s="225"/>
      <c r="L40" s="225"/>
      <c r="M40" s="225"/>
      <c r="N40" s="228"/>
      <c r="O40" s="233"/>
      <c r="P40" s="232">
        <f t="shared" si="2"/>
        <v>0</v>
      </c>
      <c r="Q40" s="236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</row>
    <row r="41" spans="1:29" ht="15" customHeight="1">
      <c r="A41" s="219">
        <v>39</v>
      </c>
      <c r="B41" s="225"/>
      <c r="C41" s="225"/>
      <c r="D41" s="228"/>
      <c r="E41" s="228"/>
      <c r="F41" s="224"/>
      <c r="G41" s="227"/>
      <c r="H41" s="224"/>
      <c r="I41" s="229" t="str">
        <f t="shared" ca="1" si="1"/>
        <v/>
      </c>
      <c r="J41" s="225"/>
      <c r="K41" s="225"/>
      <c r="L41" s="225"/>
      <c r="M41" s="225"/>
      <c r="N41" s="228"/>
      <c r="O41" s="233"/>
      <c r="P41" s="232">
        <f t="shared" si="2"/>
        <v>0</v>
      </c>
      <c r="Q41" s="236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</row>
    <row r="42" spans="1:29" ht="15" customHeight="1">
      <c r="A42" s="219">
        <v>40</v>
      </c>
      <c r="B42" s="225"/>
      <c r="C42" s="225"/>
      <c r="D42" s="228"/>
      <c r="E42" s="228"/>
      <c r="F42" s="224"/>
      <c r="G42" s="227"/>
      <c r="H42" s="224"/>
      <c r="I42" s="229" t="str">
        <f t="shared" ca="1" si="1"/>
        <v/>
      </c>
      <c r="J42" s="225"/>
      <c r="K42" s="225"/>
      <c r="L42" s="225"/>
      <c r="M42" s="225"/>
      <c r="N42" s="228"/>
      <c r="O42" s="233"/>
      <c r="P42" s="232">
        <f t="shared" si="2"/>
        <v>0</v>
      </c>
      <c r="Q42" s="236"/>
      <c r="R42" s="225"/>
      <c r="S42" s="225"/>
      <c r="T42" s="225"/>
      <c r="U42" s="225"/>
      <c r="V42" s="225"/>
      <c r="W42" s="225"/>
      <c r="X42" s="225"/>
      <c r="Y42" s="225"/>
      <c r="Z42" s="225"/>
      <c r="AA42" s="225"/>
      <c r="AB42" s="225"/>
      <c r="AC42" s="225"/>
    </row>
    <row r="43" spans="1:29" ht="15" customHeight="1">
      <c r="A43" s="219">
        <v>41</v>
      </c>
      <c r="B43" s="225"/>
      <c r="C43" s="225"/>
      <c r="D43" s="228"/>
      <c r="E43" s="228"/>
      <c r="F43" s="224"/>
      <c r="G43" s="227"/>
      <c r="H43" s="224"/>
      <c r="I43" s="229" t="str">
        <f t="shared" ca="1" si="1"/>
        <v/>
      </c>
      <c r="J43" s="225"/>
      <c r="K43" s="225"/>
      <c r="L43" s="225"/>
      <c r="M43" s="225"/>
      <c r="N43" s="228"/>
      <c r="O43" s="233"/>
      <c r="P43" s="232">
        <f t="shared" si="2"/>
        <v>0</v>
      </c>
      <c r="Q43" s="236"/>
      <c r="R43" s="225"/>
      <c r="S43" s="225"/>
      <c r="T43" s="225"/>
      <c r="U43" s="225"/>
      <c r="V43" s="225"/>
      <c r="W43" s="225"/>
      <c r="X43" s="225"/>
      <c r="Y43" s="225"/>
      <c r="Z43" s="225"/>
      <c r="AA43" s="225"/>
      <c r="AB43" s="225"/>
      <c r="AC43" s="225"/>
    </row>
    <row r="44" spans="1:29" ht="15" customHeight="1">
      <c r="A44" s="219">
        <v>42</v>
      </c>
      <c r="B44" s="225"/>
      <c r="C44" s="225"/>
      <c r="D44" s="228"/>
      <c r="E44" s="228"/>
      <c r="F44" s="224"/>
      <c r="G44" s="227"/>
      <c r="H44" s="224"/>
      <c r="I44" s="229" t="str">
        <f t="shared" ca="1" si="1"/>
        <v/>
      </c>
      <c r="J44" s="225"/>
      <c r="K44" s="225"/>
      <c r="L44" s="225"/>
      <c r="M44" s="225"/>
      <c r="N44" s="228"/>
      <c r="O44" s="233"/>
      <c r="P44" s="232">
        <f t="shared" si="2"/>
        <v>0</v>
      </c>
      <c r="Q44" s="236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</row>
    <row r="45" spans="1:29" ht="15" customHeight="1">
      <c r="A45" s="219">
        <v>43</v>
      </c>
      <c r="B45" s="225"/>
      <c r="C45" s="225"/>
      <c r="D45" s="228"/>
      <c r="E45" s="228"/>
      <c r="F45" s="224"/>
      <c r="G45" s="227"/>
      <c r="H45" s="224"/>
      <c r="I45" s="229" t="str">
        <f t="shared" ca="1" si="1"/>
        <v/>
      </c>
      <c r="J45" s="225"/>
      <c r="K45" s="225"/>
      <c r="L45" s="225"/>
      <c r="M45" s="225"/>
      <c r="N45" s="228"/>
      <c r="O45" s="233"/>
      <c r="P45" s="232">
        <f t="shared" si="2"/>
        <v>0</v>
      </c>
      <c r="Q45" s="236"/>
      <c r="R45" s="225"/>
      <c r="S45" s="225"/>
      <c r="T45" s="225"/>
      <c r="U45" s="225"/>
      <c r="V45" s="225"/>
      <c r="W45" s="225"/>
      <c r="X45" s="225"/>
      <c r="Y45" s="225"/>
      <c r="Z45" s="225"/>
      <c r="AA45" s="225"/>
      <c r="AB45" s="225"/>
      <c r="AC45" s="225"/>
    </row>
    <row r="46" spans="1:29" ht="15" customHeight="1">
      <c r="A46" s="219">
        <v>44</v>
      </c>
      <c r="B46" s="225"/>
      <c r="C46" s="225"/>
      <c r="D46" s="228"/>
      <c r="E46" s="228"/>
      <c r="F46" s="224"/>
      <c r="G46" s="227"/>
      <c r="H46" s="224"/>
      <c r="I46" s="229" t="str">
        <f t="shared" ca="1" si="1"/>
        <v/>
      </c>
      <c r="J46" s="225"/>
      <c r="K46" s="225"/>
      <c r="L46" s="225"/>
      <c r="M46" s="225"/>
      <c r="N46" s="228"/>
      <c r="O46" s="233"/>
      <c r="P46" s="232">
        <f t="shared" si="2"/>
        <v>0</v>
      </c>
      <c r="Q46" s="236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</row>
    <row r="47" spans="1:29" ht="15" customHeight="1">
      <c r="A47" s="219">
        <v>45</v>
      </c>
      <c r="B47" s="225"/>
      <c r="C47" s="225"/>
      <c r="D47" s="228"/>
      <c r="E47" s="228"/>
      <c r="F47" s="224"/>
      <c r="G47" s="227"/>
      <c r="H47" s="224"/>
      <c r="I47" s="229" t="str">
        <f t="shared" ca="1" si="1"/>
        <v/>
      </c>
      <c r="J47" s="225"/>
      <c r="K47" s="225"/>
      <c r="L47" s="225"/>
      <c r="M47" s="225"/>
      <c r="N47" s="228"/>
      <c r="O47" s="233"/>
      <c r="P47" s="232">
        <f t="shared" si="2"/>
        <v>0</v>
      </c>
      <c r="Q47" s="236"/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225"/>
      <c r="AC47" s="225"/>
    </row>
    <row r="48" spans="1:29" ht="15" customHeight="1">
      <c r="A48" s="219">
        <v>46</v>
      </c>
      <c r="B48" s="225"/>
      <c r="C48" s="225"/>
      <c r="D48" s="228"/>
      <c r="E48" s="228"/>
      <c r="F48" s="224"/>
      <c r="G48" s="227"/>
      <c r="H48" s="224"/>
      <c r="I48" s="229" t="str">
        <f t="shared" ca="1" si="1"/>
        <v/>
      </c>
      <c r="J48" s="225"/>
      <c r="K48" s="225"/>
      <c r="L48" s="225"/>
      <c r="M48" s="225"/>
      <c r="N48" s="228"/>
      <c r="O48" s="233"/>
      <c r="P48" s="232">
        <f t="shared" si="2"/>
        <v>0</v>
      </c>
      <c r="Q48" s="236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</row>
    <row r="49" spans="1:29" ht="15" customHeight="1">
      <c r="A49" s="219">
        <v>47</v>
      </c>
      <c r="B49" s="225"/>
      <c r="C49" s="225"/>
      <c r="D49" s="228"/>
      <c r="E49" s="228"/>
      <c r="F49" s="224"/>
      <c r="G49" s="227"/>
      <c r="H49" s="224"/>
      <c r="I49" s="229" t="str">
        <f t="shared" ca="1" si="1"/>
        <v/>
      </c>
      <c r="J49" s="225"/>
      <c r="K49" s="225"/>
      <c r="L49" s="225"/>
      <c r="M49" s="225"/>
      <c r="N49" s="228"/>
      <c r="O49" s="233"/>
      <c r="P49" s="232">
        <f t="shared" si="2"/>
        <v>0</v>
      </c>
      <c r="Q49" s="236"/>
      <c r="R49" s="225"/>
      <c r="S49" s="225"/>
      <c r="T49" s="225"/>
      <c r="U49" s="225"/>
      <c r="V49" s="225"/>
      <c r="W49" s="225"/>
      <c r="X49" s="225"/>
      <c r="Y49" s="225"/>
      <c r="Z49" s="225"/>
      <c r="AA49" s="225"/>
      <c r="AB49" s="225"/>
      <c r="AC49" s="225"/>
    </row>
    <row r="50" spans="1:29" ht="15" customHeight="1">
      <c r="A50" s="219">
        <v>48</v>
      </c>
      <c r="B50" s="225"/>
      <c r="C50" s="225"/>
      <c r="D50" s="228"/>
      <c r="E50" s="228"/>
      <c r="F50" s="224"/>
      <c r="G50" s="227"/>
      <c r="H50" s="224"/>
      <c r="I50" s="229" t="str">
        <f t="shared" ca="1" si="1"/>
        <v/>
      </c>
      <c r="J50" s="225"/>
      <c r="K50" s="225"/>
      <c r="L50" s="225"/>
      <c r="M50" s="225"/>
      <c r="N50" s="228"/>
      <c r="O50" s="233"/>
      <c r="P50" s="232">
        <f t="shared" si="2"/>
        <v>0</v>
      </c>
      <c r="Q50" s="236"/>
      <c r="R50" s="225"/>
      <c r="S50" s="225"/>
      <c r="T50" s="225"/>
      <c r="U50" s="225"/>
      <c r="V50" s="225"/>
      <c r="W50" s="225"/>
      <c r="X50" s="225"/>
      <c r="Y50" s="225"/>
      <c r="Z50" s="225"/>
      <c r="AA50" s="225"/>
      <c r="AB50" s="225"/>
      <c r="AC50" s="225"/>
    </row>
    <row r="51" spans="1:29" ht="15" customHeight="1">
      <c r="A51" s="219">
        <v>49</v>
      </c>
      <c r="B51" s="225"/>
      <c r="C51" s="225"/>
      <c r="D51" s="228"/>
      <c r="E51" s="228"/>
      <c r="F51" s="224"/>
      <c r="G51" s="227"/>
      <c r="H51" s="224"/>
      <c r="I51" s="229" t="str">
        <f t="shared" ca="1" si="1"/>
        <v/>
      </c>
      <c r="J51" s="225"/>
      <c r="K51" s="225"/>
      <c r="L51" s="225"/>
      <c r="M51" s="225"/>
      <c r="N51" s="228"/>
      <c r="O51" s="233"/>
      <c r="P51" s="232">
        <f t="shared" si="2"/>
        <v>0</v>
      </c>
      <c r="Q51" s="236"/>
      <c r="R51" s="225"/>
      <c r="S51" s="225"/>
      <c r="T51" s="225"/>
      <c r="U51" s="225"/>
      <c r="V51" s="225"/>
      <c r="W51" s="225"/>
      <c r="X51" s="225"/>
      <c r="Y51" s="225"/>
      <c r="Z51" s="225"/>
      <c r="AA51" s="225"/>
      <c r="AB51" s="225"/>
      <c r="AC51" s="225"/>
    </row>
    <row r="52" spans="1:29" ht="15" customHeight="1">
      <c r="A52" s="219">
        <v>50</v>
      </c>
      <c r="B52" s="225"/>
      <c r="C52" s="225"/>
      <c r="D52" s="228"/>
      <c r="E52" s="228"/>
      <c r="F52" s="224"/>
      <c r="G52" s="227"/>
      <c r="H52" s="224"/>
      <c r="I52" s="229" t="str">
        <f t="shared" ca="1" si="1"/>
        <v/>
      </c>
      <c r="J52" s="225"/>
      <c r="K52" s="225"/>
      <c r="L52" s="225"/>
      <c r="M52" s="225"/>
      <c r="N52" s="228"/>
      <c r="O52" s="233"/>
      <c r="P52" s="232">
        <f t="shared" si="2"/>
        <v>0</v>
      </c>
      <c r="Q52" s="236"/>
      <c r="R52" s="225"/>
      <c r="S52" s="225"/>
      <c r="T52" s="225"/>
      <c r="U52" s="225"/>
      <c r="V52" s="225"/>
      <c r="W52" s="225"/>
      <c r="X52" s="225"/>
      <c r="Y52" s="225"/>
      <c r="Z52" s="225"/>
      <c r="AA52" s="225"/>
      <c r="AB52" s="225"/>
      <c r="AC52" s="225"/>
    </row>
    <row r="53" spans="1:29" ht="15" customHeight="1">
      <c r="A53" s="219">
        <v>51</v>
      </c>
      <c r="B53" s="225"/>
      <c r="C53" s="225"/>
      <c r="D53" s="228"/>
      <c r="E53" s="228"/>
      <c r="F53" s="224"/>
      <c r="G53" s="227"/>
      <c r="H53" s="224"/>
      <c r="I53" s="229" t="str">
        <f t="shared" ca="1" si="1"/>
        <v/>
      </c>
      <c r="J53" s="225"/>
      <c r="K53" s="225"/>
      <c r="L53" s="225"/>
      <c r="M53" s="225"/>
      <c r="N53" s="228"/>
      <c r="O53" s="233"/>
      <c r="P53" s="232">
        <f t="shared" si="2"/>
        <v>0</v>
      </c>
      <c r="Q53" s="236"/>
      <c r="R53" s="225"/>
      <c r="S53" s="225"/>
      <c r="T53" s="225"/>
      <c r="U53" s="225"/>
      <c r="V53" s="225"/>
      <c r="W53" s="225"/>
      <c r="X53" s="225"/>
      <c r="Y53" s="225"/>
      <c r="Z53" s="225"/>
      <c r="AA53" s="225"/>
      <c r="AB53" s="225"/>
      <c r="AC53" s="225"/>
    </row>
    <row r="54" spans="1:29" ht="15" customHeight="1">
      <c r="A54" s="219">
        <v>52</v>
      </c>
      <c r="B54" s="225"/>
      <c r="C54" s="225"/>
      <c r="D54" s="228"/>
      <c r="E54" s="228"/>
      <c r="F54" s="224"/>
      <c r="G54" s="227"/>
      <c r="H54" s="224"/>
      <c r="I54" s="229" t="str">
        <f t="shared" ca="1" si="1"/>
        <v/>
      </c>
      <c r="J54" s="225"/>
      <c r="K54" s="225"/>
      <c r="L54" s="225"/>
      <c r="M54" s="225"/>
      <c r="N54" s="228"/>
      <c r="O54" s="233"/>
      <c r="P54" s="232">
        <f t="shared" si="2"/>
        <v>0</v>
      </c>
      <c r="Q54" s="236"/>
      <c r="R54" s="225"/>
      <c r="S54" s="225"/>
      <c r="T54" s="225"/>
      <c r="U54" s="225"/>
      <c r="V54" s="225"/>
      <c r="W54" s="225"/>
      <c r="X54" s="225"/>
      <c r="Y54" s="225"/>
      <c r="Z54" s="225"/>
      <c r="AA54" s="225"/>
      <c r="AB54" s="225"/>
      <c r="AC54" s="225"/>
    </row>
    <row r="55" spans="1:29" ht="15" customHeight="1">
      <c r="A55" s="219">
        <v>53</v>
      </c>
      <c r="B55" s="225"/>
      <c r="C55" s="225"/>
      <c r="D55" s="228"/>
      <c r="E55" s="228"/>
      <c r="F55" s="224"/>
      <c r="G55" s="227"/>
      <c r="H55" s="224"/>
      <c r="I55" s="229" t="str">
        <f t="shared" ca="1" si="1"/>
        <v/>
      </c>
      <c r="J55" s="225"/>
      <c r="K55" s="225"/>
      <c r="L55" s="225"/>
      <c r="M55" s="225"/>
      <c r="N55" s="228"/>
      <c r="O55" s="233"/>
      <c r="P55" s="232">
        <f t="shared" si="2"/>
        <v>0</v>
      </c>
      <c r="Q55" s="236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225"/>
    </row>
    <row r="56" spans="1:29" ht="15" customHeight="1">
      <c r="A56" s="219">
        <v>54</v>
      </c>
      <c r="B56" s="225"/>
      <c r="C56" s="225"/>
      <c r="D56" s="228"/>
      <c r="E56" s="228"/>
      <c r="F56" s="224"/>
      <c r="G56" s="227"/>
      <c r="H56" s="224"/>
      <c r="I56" s="229" t="str">
        <f t="shared" ca="1" si="1"/>
        <v/>
      </c>
      <c r="J56" s="225"/>
      <c r="K56" s="225"/>
      <c r="L56" s="225"/>
      <c r="M56" s="225"/>
      <c r="N56" s="228"/>
      <c r="O56" s="233"/>
      <c r="P56" s="232">
        <f t="shared" si="2"/>
        <v>0</v>
      </c>
      <c r="Q56" s="236"/>
      <c r="R56" s="225"/>
      <c r="S56" s="225"/>
      <c r="T56" s="225"/>
      <c r="U56" s="225"/>
      <c r="V56" s="225"/>
      <c r="W56" s="225"/>
      <c r="X56" s="225"/>
      <c r="Y56" s="225"/>
      <c r="Z56" s="225"/>
      <c r="AA56" s="225"/>
      <c r="AB56" s="225"/>
      <c r="AC56" s="225"/>
    </row>
    <row r="57" spans="1:29" ht="15" customHeight="1">
      <c r="A57" s="219">
        <v>55</v>
      </c>
      <c r="B57" s="225"/>
      <c r="C57" s="225"/>
      <c r="D57" s="228"/>
      <c r="E57" s="228"/>
      <c r="F57" s="224"/>
      <c r="G57" s="227"/>
      <c r="H57" s="224"/>
      <c r="I57" s="229" t="str">
        <f t="shared" ca="1" si="1"/>
        <v/>
      </c>
      <c r="J57" s="225"/>
      <c r="K57" s="225"/>
      <c r="L57" s="225"/>
      <c r="M57" s="225"/>
      <c r="N57" s="228"/>
      <c r="O57" s="233"/>
      <c r="P57" s="232">
        <f t="shared" si="2"/>
        <v>0</v>
      </c>
      <c r="Q57" s="236"/>
      <c r="R57" s="225"/>
      <c r="S57" s="225"/>
      <c r="T57" s="225"/>
      <c r="U57" s="225"/>
      <c r="V57" s="225"/>
      <c r="W57" s="225"/>
      <c r="X57" s="225"/>
      <c r="Y57" s="225"/>
      <c r="Z57" s="225"/>
      <c r="AA57" s="225"/>
      <c r="AB57" s="225"/>
      <c r="AC57" s="225"/>
    </row>
    <row r="58" spans="1:29" ht="15" customHeight="1">
      <c r="A58" s="219">
        <v>56</v>
      </c>
      <c r="B58" s="225"/>
      <c r="C58" s="225"/>
      <c r="D58" s="228"/>
      <c r="E58" s="228"/>
      <c r="F58" s="224"/>
      <c r="G58" s="227"/>
      <c r="H58" s="224"/>
      <c r="I58" s="229" t="str">
        <f t="shared" ca="1" si="1"/>
        <v/>
      </c>
      <c r="J58" s="225"/>
      <c r="K58" s="225"/>
      <c r="L58" s="225"/>
      <c r="M58" s="225"/>
      <c r="N58" s="228"/>
      <c r="O58" s="233"/>
      <c r="P58" s="232">
        <f t="shared" si="2"/>
        <v>0</v>
      </c>
      <c r="Q58" s="236"/>
      <c r="R58" s="225"/>
      <c r="S58" s="225"/>
      <c r="T58" s="225"/>
      <c r="U58" s="225"/>
      <c r="V58" s="225"/>
      <c r="W58" s="225"/>
      <c r="X58" s="225"/>
      <c r="Y58" s="225"/>
      <c r="Z58" s="225"/>
      <c r="AA58" s="225"/>
      <c r="AB58" s="225"/>
      <c r="AC58" s="225"/>
    </row>
    <row r="59" spans="1:29" ht="15" customHeight="1">
      <c r="A59" s="219">
        <v>57</v>
      </c>
      <c r="B59" s="225"/>
      <c r="C59" s="225"/>
      <c r="D59" s="228"/>
      <c r="E59" s="228"/>
      <c r="F59" s="224"/>
      <c r="G59" s="227"/>
      <c r="H59" s="224"/>
      <c r="I59" s="229" t="str">
        <f t="shared" ca="1" si="1"/>
        <v/>
      </c>
      <c r="J59" s="225"/>
      <c r="K59" s="225"/>
      <c r="L59" s="225"/>
      <c r="M59" s="225"/>
      <c r="N59" s="228"/>
      <c r="O59" s="233"/>
      <c r="P59" s="232">
        <f t="shared" si="2"/>
        <v>0</v>
      </c>
      <c r="Q59" s="236"/>
      <c r="R59" s="225"/>
      <c r="S59" s="225"/>
      <c r="T59" s="225"/>
      <c r="U59" s="225"/>
      <c r="V59" s="225"/>
      <c r="W59" s="225"/>
      <c r="X59" s="225"/>
      <c r="Y59" s="225"/>
      <c r="Z59" s="225"/>
      <c r="AA59" s="225"/>
      <c r="AB59" s="225"/>
      <c r="AC59" s="225"/>
    </row>
    <row r="60" spans="1:29" ht="15" customHeight="1">
      <c r="A60" s="219">
        <v>58</v>
      </c>
      <c r="B60" s="225"/>
      <c r="C60" s="225"/>
      <c r="D60" s="228"/>
      <c r="E60" s="228"/>
      <c r="F60" s="224"/>
      <c r="G60" s="227"/>
      <c r="H60" s="224"/>
      <c r="I60" s="229" t="str">
        <f t="shared" ca="1" si="1"/>
        <v/>
      </c>
      <c r="J60" s="225"/>
      <c r="K60" s="225"/>
      <c r="L60" s="225"/>
      <c r="M60" s="225"/>
      <c r="N60" s="228"/>
      <c r="O60" s="233"/>
      <c r="P60" s="232">
        <f t="shared" si="2"/>
        <v>0</v>
      </c>
      <c r="Q60" s="236"/>
      <c r="R60" s="225"/>
      <c r="S60" s="225"/>
      <c r="T60" s="225"/>
      <c r="U60" s="225"/>
      <c r="V60" s="225"/>
      <c r="W60" s="225"/>
      <c r="X60" s="225"/>
      <c r="Y60" s="225"/>
      <c r="Z60" s="225"/>
      <c r="AA60" s="225"/>
      <c r="AB60" s="225"/>
      <c r="AC60" s="225"/>
    </row>
    <row r="61" spans="1:29" ht="15" customHeight="1">
      <c r="A61" s="219">
        <v>59</v>
      </c>
      <c r="B61" s="225"/>
      <c r="C61" s="225"/>
      <c r="D61" s="228"/>
      <c r="E61" s="228"/>
      <c r="F61" s="224"/>
      <c r="G61" s="227"/>
      <c r="H61" s="224"/>
      <c r="I61" s="229" t="str">
        <f t="shared" ca="1" si="1"/>
        <v/>
      </c>
      <c r="J61" s="225"/>
      <c r="K61" s="225"/>
      <c r="L61" s="225"/>
      <c r="M61" s="225"/>
      <c r="N61" s="228"/>
      <c r="O61" s="233"/>
      <c r="P61" s="232">
        <f t="shared" si="2"/>
        <v>0</v>
      </c>
      <c r="Q61" s="236"/>
      <c r="R61" s="225"/>
      <c r="S61" s="225"/>
      <c r="T61" s="225"/>
      <c r="U61" s="225"/>
      <c r="V61" s="225"/>
      <c r="W61" s="225"/>
      <c r="X61" s="225"/>
      <c r="Y61" s="225"/>
      <c r="Z61" s="225"/>
      <c r="AA61" s="225"/>
      <c r="AB61" s="225"/>
      <c r="AC61" s="225"/>
    </row>
    <row r="62" spans="1:29" ht="15" customHeight="1">
      <c r="A62" s="219">
        <v>60</v>
      </c>
      <c r="B62" s="225"/>
      <c r="C62" s="225"/>
      <c r="D62" s="228"/>
      <c r="E62" s="228"/>
      <c r="F62" s="224"/>
      <c r="G62" s="227"/>
      <c r="H62" s="224"/>
      <c r="I62" s="229" t="str">
        <f t="shared" ca="1" si="1"/>
        <v/>
      </c>
      <c r="J62" s="225"/>
      <c r="K62" s="225"/>
      <c r="L62" s="225"/>
      <c r="M62" s="225"/>
      <c r="N62" s="228"/>
      <c r="O62" s="233"/>
      <c r="P62" s="232">
        <f t="shared" si="2"/>
        <v>0</v>
      </c>
      <c r="Q62" s="236"/>
      <c r="R62" s="225"/>
      <c r="S62" s="225"/>
      <c r="T62" s="225"/>
      <c r="U62" s="225"/>
      <c r="V62" s="225"/>
      <c r="W62" s="225"/>
      <c r="X62" s="225"/>
      <c r="Y62" s="225"/>
      <c r="Z62" s="225"/>
      <c r="AA62" s="225"/>
      <c r="AB62" s="225"/>
      <c r="AC62" s="225"/>
    </row>
    <row r="63" spans="1:29" ht="15" customHeight="1">
      <c r="A63" s="219">
        <v>61</v>
      </c>
      <c r="B63" s="225"/>
      <c r="C63" s="225"/>
      <c r="D63" s="228"/>
      <c r="E63" s="228"/>
      <c r="F63" s="224"/>
      <c r="G63" s="227"/>
      <c r="H63" s="224"/>
      <c r="I63" s="229" t="str">
        <f t="shared" ca="1" si="1"/>
        <v/>
      </c>
      <c r="J63" s="225"/>
      <c r="K63" s="225"/>
      <c r="L63" s="225"/>
      <c r="M63" s="225"/>
      <c r="N63" s="228"/>
      <c r="O63" s="233"/>
      <c r="P63" s="232">
        <f t="shared" si="2"/>
        <v>0</v>
      </c>
      <c r="Q63" s="236"/>
      <c r="R63" s="225"/>
      <c r="S63" s="225"/>
      <c r="T63" s="225"/>
      <c r="U63" s="225"/>
      <c r="V63" s="225"/>
      <c r="W63" s="225"/>
      <c r="X63" s="225"/>
      <c r="Y63" s="225"/>
      <c r="Z63" s="225"/>
      <c r="AA63" s="225"/>
      <c r="AB63" s="225"/>
      <c r="AC63" s="225"/>
    </row>
    <row r="64" spans="1:29" ht="15" customHeight="1">
      <c r="A64" s="219">
        <v>62</v>
      </c>
      <c r="B64" s="225"/>
      <c r="C64" s="225"/>
      <c r="D64" s="228"/>
      <c r="E64" s="228"/>
      <c r="F64" s="224"/>
      <c r="G64" s="227"/>
      <c r="H64" s="224"/>
      <c r="I64" s="229" t="str">
        <f t="shared" ca="1" si="1"/>
        <v/>
      </c>
      <c r="J64" s="225"/>
      <c r="K64" s="225"/>
      <c r="L64" s="225"/>
      <c r="M64" s="225"/>
      <c r="N64" s="228"/>
      <c r="O64" s="233"/>
      <c r="P64" s="232">
        <f t="shared" si="2"/>
        <v>0</v>
      </c>
      <c r="Q64" s="236"/>
      <c r="R64" s="225"/>
      <c r="S64" s="225"/>
      <c r="T64" s="225"/>
      <c r="U64" s="225"/>
      <c r="V64" s="225"/>
      <c r="W64" s="225"/>
      <c r="X64" s="225"/>
      <c r="Y64" s="225"/>
      <c r="Z64" s="225"/>
      <c r="AA64" s="225"/>
      <c r="AB64" s="225"/>
      <c r="AC64" s="225"/>
    </row>
    <row r="65" spans="1:29" ht="15" customHeight="1">
      <c r="A65" s="219">
        <v>63</v>
      </c>
      <c r="B65" s="225"/>
      <c r="C65" s="225"/>
      <c r="D65" s="228"/>
      <c r="E65" s="228"/>
      <c r="F65" s="224"/>
      <c r="G65" s="227"/>
      <c r="H65" s="224"/>
      <c r="I65" s="229" t="str">
        <f t="shared" ca="1" si="1"/>
        <v/>
      </c>
      <c r="J65" s="225"/>
      <c r="K65" s="225"/>
      <c r="L65" s="225"/>
      <c r="M65" s="225"/>
      <c r="N65" s="228"/>
      <c r="O65" s="233"/>
      <c r="P65" s="232">
        <f t="shared" si="2"/>
        <v>0</v>
      </c>
      <c r="Q65" s="236"/>
      <c r="R65" s="225"/>
      <c r="S65" s="225"/>
      <c r="T65" s="225"/>
      <c r="U65" s="225"/>
      <c r="V65" s="225"/>
      <c r="W65" s="225"/>
      <c r="X65" s="225"/>
      <c r="Y65" s="225"/>
      <c r="Z65" s="225"/>
      <c r="AA65" s="225"/>
      <c r="AB65" s="225"/>
      <c r="AC65" s="225"/>
    </row>
    <row r="66" spans="1:29" ht="15" customHeight="1">
      <c r="A66" s="219">
        <v>64</v>
      </c>
      <c r="B66" s="225"/>
      <c r="C66" s="225"/>
      <c r="D66" s="228"/>
      <c r="E66" s="228"/>
      <c r="F66" s="224"/>
      <c r="G66" s="227"/>
      <c r="H66" s="224"/>
      <c r="I66" s="229" t="str">
        <f t="shared" ca="1" si="1"/>
        <v/>
      </c>
      <c r="J66" s="225"/>
      <c r="K66" s="225"/>
      <c r="L66" s="225"/>
      <c r="M66" s="225"/>
      <c r="N66" s="228"/>
      <c r="O66" s="233"/>
      <c r="P66" s="232">
        <f t="shared" si="2"/>
        <v>0</v>
      </c>
      <c r="Q66" s="236"/>
      <c r="R66" s="225"/>
      <c r="S66" s="225"/>
      <c r="T66" s="225"/>
      <c r="U66" s="225"/>
      <c r="V66" s="225"/>
      <c r="W66" s="225"/>
      <c r="X66" s="225"/>
      <c r="Y66" s="225"/>
      <c r="Z66" s="225"/>
      <c r="AA66" s="225"/>
      <c r="AB66" s="225"/>
      <c r="AC66" s="225"/>
    </row>
    <row r="67" spans="1:29" ht="15" customHeight="1">
      <c r="A67" s="219">
        <v>65</v>
      </c>
      <c r="B67" s="225"/>
      <c r="C67" s="225"/>
      <c r="D67" s="228"/>
      <c r="E67" s="228"/>
      <c r="F67" s="224"/>
      <c r="G67" s="227"/>
      <c r="H67" s="224"/>
      <c r="I67" s="229" t="str">
        <f t="shared" ca="1" si="1"/>
        <v/>
      </c>
      <c r="J67" s="225"/>
      <c r="K67" s="225"/>
      <c r="L67" s="225"/>
      <c r="M67" s="225"/>
      <c r="N67" s="228"/>
      <c r="O67" s="233"/>
      <c r="P67" s="232">
        <f t="shared" ref="P67:P98" si="3">IF(OR(M67="",M67="Active"),N67*IF(O67="",100%,O67),0)</f>
        <v>0</v>
      </c>
      <c r="Q67" s="236"/>
      <c r="R67" s="225"/>
      <c r="S67" s="225"/>
      <c r="T67" s="225"/>
      <c r="U67" s="225"/>
      <c r="V67" s="225"/>
      <c r="W67" s="225"/>
      <c r="X67" s="225"/>
      <c r="Y67" s="225"/>
      <c r="Z67" s="225"/>
      <c r="AA67" s="225"/>
      <c r="AB67" s="225"/>
      <c r="AC67" s="225"/>
    </row>
    <row r="68" spans="1:29" ht="15" customHeight="1">
      <c r="A68" s="219">
        <v>66</v>
      </c>
      <c r="B68" s="225"/>
      <c r="C68" s="225"/>
      <c r="D68" s="228"/>
      <c r="E68" s="228"/>
      <c r="F68" s="224"/>
      <c r="G68" s="227"/>
      <c r="H68" s="224"/>
      <c r="I68" s="229" t="str">
        <f t="shared" ref="I68:I102" ca="1" si="4">IF(F68="","",IF(H68&lt;&gt;"",DATEDIF(F68,H68,"M"),DATEDIF(F68,TODAY(),"M")))</f>
        <v/>
      </c>
      <c r="J68" s="225"/>
      <c r="K68" s="225"/>
      <c r="L68" s="225"/>
      <c r="M68" s="225"/>
      <c r="N68" s="228"/>
      <c r="O68" s="233"/>
      <c r="P68" s="232">
        <f t="shared" si="3"/>
        <v>0</v>
      </c>
      <c r="Q68" s="236"/>
      <c r="R68" s="225"/>
      <c r="S68" s="225"/>
      <c r="T68" s="225"/>
      <c r="U68" s="225"/>
      <c r="V68" s="225"/>
      <c r="W68" s="225"/>
      <c r="X68" s="225"/>
      <c r="Y68" s="225"/>
      <c r="Z68" s="225"/>
      <c r="AA68" s="225"/>
      <c r="AB68" s="225"/>
      <c r="AC68" s="225"/>
    </row>
    <row r="69" spans="1:29" ht="15" customHeight="1">
      <c r="A69" s="219">
        <v>67</v>
      </c>
      <c r="B69" s="225"/>
      <c r="C69" s="225"/>
      <c r="D69" s="228"/>
      <c r="E69" s="228"/>
      <c r="F69" s="224"/>
      <c r="G69" s="227"/>
      <c r="H69" s="224"/>
      <c r="I69" s="229" t="str">
        <f t="shared" ca="1" si="4"/>
        <v/>
      </c>
      <c r="J69" s="225"/>
      <c r="K69" s="225"/>
      <c r="L69" s="225"/>
      <c r="M69" s="225"/>
      <c r="N69" s="228"/>
      <c r="O69" s="233"/>
      <c r="P69" s="232">
        <f t="shared" si="3"/>
        <v>0</v>
      </c>
      <c r="Q69" s="236"/>
      <c r="R69" s="225"/>
      <c r="S69" s="225"/>
      <c r="T69" s="225"/>
      <c r="U69" s="225"/>
      <c r="V69" s="225"/>
      <c r="W69" s="225"/>
      <c r="X69" s="225"/>
      <c r="Y69" s="225"/>
      <c r="Z69" s="225"/>
      <c r="AA69" s="225"/>
      <c r="AB69" s="225"/>
      <c r="AC69" s="225"/>
    </row>
    <row r="70" spans="1:29" ht="15" customHeight="1">
      <c r="A70" s="219">
        <v>68</v>
      </c>
      <c r="B70" s="225"/>
      <c r="C70" s="225"/>
      <c r="D70" s="228"/>
      <c r="E70" s="228"/>
      <c r="F70" s="224"/>
      <c r="G70" s="227"/>
      <c r="H70" s="224"/>
      <c r="I70" s="229" t="str">
        <f t="shared" ca="1" si="4"/>
        <v/>
      </c>
      <c r="J70" s="225"/>
      <c r="K70" s="225"/>
      <c r="L70" s="225"/>
      <c r="M70" s="225"/>
      <c r="N70" s="228"/>
      <c r="O70" s="233"/>
      <c r="P70" s="232">
        <f t="shared" si="3"/>
        <v>0</v>
      </c>
      <c r="Q70" s="236"/>
      <c r="R70" s="225"/>
      <c r="S70" s="225"/>
      <c r="T70" s="225"/>
      <c r="U70" s="225"/>
      <c r="V70" s="225"/>
      <c r="W70" s="225"/>
      <c r="X70" s="225"/>
      <c r="Y70" s="225"/>
      <c r="Z70" s="225"/>
      <c r="AA70" s="225"/>
      <c r="AB70" s="225"/>
      <c r="AC70" s="225"/>
    </row>
    <row r="71" spans="1:29" ht="15" customHeight="1">
      <c r="A71" s="219">
        <v>69</v>
      </c>
      <c r="B71" s="225"/>
      <c r="C71" s="225"/>
      <c r="D71" s="228"/>
      <c r="E71" s="228"/>
      <c r="F71" s="224"/>
      <c r="G71" s="227"/>
      <c r="H71" s="224"/>
      <c r="I71" s="229" t="str">
        <f t="shared" ca="1" si="4"/>
        <v/>
      </c>
      <c r="J71" s="225"/>
      <c r="K71" s="225"/>
      <c r="L71" s="225"/>
      <c r="M71" s="225"/>
      <c r="N71" s="228"/>
      <c r="O71" s="233"/>
      <c r="P71" s="232">
        <f t="shared" si="3"/>
        <v>0</v>
      </c>
      <c r="Q71" s="236"/>
      <c r="R71" s="225"/>
      <c r="S71" s="225"/>
      <c r="T71" s="225"/>
      <c r="U71" s="225"/>
      <c r="V71" s="225"/>
      <c r="W71" s="225"/>
      <c r="X71" s="225"/>
      <c r="Y71" s="225"/>
      <c r="Z71" s="225"/>
      <c r="AA71" s="225"/>
      <c r="AB71" s="225"/>
      <c r="AC71" s="225"/>
    </row>
    <row r="72" spans="1:29" ht="15" customHeight="1">
      <c r="A72" s="219">
        <v>70</v>
      </c>
      <c r="B72" s="225"/>
      <c r="C72" s="225"/>
      <c r="D72" s="228"/>
      <c r="E72" s="228"/>
      <c r="F72" s="224"/>
      <c r="G72" s="227"/>
      <c r="H72" s="224"/>
      <c r="I72" s="229" t="str">
        <f t="shared" ca="1" si="4"/>
        <v/>
      </c>
      <c r="J72" s="225"/>
      <c r="K72" s="225"/>
      <c r="L72" s="225"/>
      <c r="M72" s="225"/>
      <c r="N72" s="228"/>
      <c r="O72" s="233"/>
      <c r="P72" s="232">
        <f t="shared" si="3"/>
        <v>0</v>
      </c>
      <c r="Q72" s="236"/>
      <c r="R72" s="225"/>
      <c r="S72" s="225"/>
      <c r="T72" s="225"/>
      <c r="U72" s="225"/>
      <c r="V72" s="225"/>
      <c r="W72" s="225"/>
      <c r="X72" s="225"/>
      <c r="Y72" s="225"/>
      <c r="Z72" s="225"/>
      <c r="AA72" s="225"/>
      <c r="AB72" s="225"/>
      <c r="AC72" s="225"/>
    </row>
    <row r="73" spans="1:29" ht="15" customHeight="1">
      <c r="A73" s="219">
        <v>71</v>
      </c>
      <c r="B73" s="225"/>
      <c r="C73" s="225"/>
      <c r="D73" s="228"/>
      <c r="E73" s="228"/>
      <c r="F73" s="224"/>
      <c r="G73" s="227"/>
      <c r="H73" s="224"/>
      <c r="I73" s="229" t="str">
        <f t="shared" ca="1" si="4"/>
        <v/>
      </c>
      <c r="J73" s="225"/>
      <c r="K73" s="225"/>
      <c r="L73" s="225"/>
      <c r="M73" s="225"/>
      <c r="N73" s="228"/>
      <c r="O73" s="233"/>
      <c r="P73" s="232">
        <f t="shared" si="3"/>
        <v>0</v>
      </c>
      <c r="Q73" s="236"/>
      <c r="R73" s="225"/>
      <c r="S73" s="225"/>
      <c r="T73" s="225"/>
      <c r="U73" s="225"/>
      <c r="V73" s="225"/>
      <c r="W73" s="225"/>
      <c r="X73" s="225"/>
      <c r="Y73" s="225"/>
      <c r="Z73" s="225"/>
      <c r="AA73" s="225"/>
      <c r="AB73" s="225"/>
      <c r="AC73" s="225"/>
    </row>
    <row r="74" spans="1:29" ht="15" customHeight="1">
      <c r="A74" s="219">
        <v>72</v>
      </c>
      <c r="B74" s="225"/>
      <c r="C74" s="225"/>
      <c r="D74" s="228"/>
      <c r="E74" s="228"/>
      <c r="F74" s="224"/>
      <c r="G74" s="227"/>
      <c r="H74" s="224"/>
      <c r="I74" s="229" t="str">
        <f t="shared" ca="1" si="4"/>
        <v/>
      </c>
      <c r="J74" s="225"/>
      <c r="K74" s="225"/>
      <c r="L74" s="225"/>
      <c r="M74" s="225"/>
      <c r="N74" s="228"/>
      <c r="O74" s="233"/>
      <c r="P74" s="232">
        <f t="shared" si="3"/>
        <v>0</v>
      </c>
      <c r="Q74" s="236"/>
      <c r="R74" s="225"/>
      <c r="S74" s="225"/>
      <c r="T74" s="225"/>
      <c r="U74" s="225"/>
      <c r="V74" s="225"/>
      <c r="W74" s="225"/>
      <c r="X74" s="225"/>
      <c r="Y74" s="225"/>
      <c r="Z74" s="225"/>
      <c r="AA74" s="225"/>
      <c r="AB74" s="225"/>
      <c r="AC74" s="225"/>
    </row>
    <row r="75" spans="1:29" ht="15" customHeight="1">
      <c r="A75" s="219">
        <v>73</v>
      </c>
      <c r="B75" s="225"/>
      <c r="C75" s="225"/>
      <c r="D75" s="228"/>
      <c r="E75" s="228"/>
      <c r="F75" s="224"/>
      <c r="G75" s="227"/>
      <c r="H75" s="224"/>
      <c r="I75" s="229" t="str">
        <f t="shared" ca="1" si="4"/>
        <v/>
      </c>
      <c r="J75" s="225"/>
      <c r="K75" s="225"/>
      <c r="L75" s="225"/>
      <c r="M75" s="225"/>
      <c r="N75" s="228"/>
      <c r="O75" s="233"/>
      <c r="P75" s="232">
        <f t="shared" si="3"/>
        <v>0</v>
      </c>
      <c r="Q75" s="236"/>
      <c r="R75" s="225"/>
      <c r="S75" s="225"/>
      <c r="T75" s="225"/>
      <c r="U75" s="225"/>
      <c r="V75" s="225"/>
      <c r="W75" s="225"/>
      <c r="X75" s="225"/>
      <c r="Y75" s="225"/>
      <c r="Z75" s="225"/>
      <c r="AA75" s="225"/>
      <c r="AB75" s="225"/>
      <c r="AC75" s="225"/>
    </row>
    <row r="76" spans="1:29" ht="15" customHeight="1">
      <c r="A76" s="219">
        <v>74</v>
      </c>
      <c r="B76" s="225"/>
      <c r="C76" s="225"/>
      <c r="D76" s="228"/>
      <c r="E76" s="228"/>
      <c r="F76" s="224"/>
      <c r="G76" s="227"/>
      <c r="H76" s="224"/>
      <c r="I76" s="229" t="str">
        <f t="shared" ca="1" si="4"/>
        <v/>
      </c>
      <c r="J76" s="225"/>
      <c r="K76" s="225"/>
      <c r="L76" s="225"/>
      <c r="M76" s="225"/>
      <c r="N76" s="228"/>
      <c r="O76" s="233"/>
      <c r="P76" s="232">
        <f t="shared" si="3"/>
        <v>0</v>
      </c>
      <c r="Q76" s="236"/>
      <c r="R76" s="225"/>
      <c r="S76" s="225"/>
      <c r="T76" s="225"/>
      <c r="U76" s="225"/>
      <c r="V76" s="225"/>
      <c r="W76" s="225"/>
      <c r="X76" s="225"/>
      <c r="Y76" s="225"/>
      <c r="Z76" s="225"/>
      <c r="AA76" s="225"/>
      <c r="AB76" s="225"/>
      <c r="AC76" s="225"/>
    </row>
    <row r="77" spans="1:29" ht="15" customHeight="1">
      <c r="A77" s="219">
        <v>75</v>
      </c>
      <c r="B77" s="225"/>
      <c r="C77" s="225"/>
      <c r="D77" s="228"/>
      <c r="E77" s="228"/>
      <c r="F77" s="224"/>
      <c r="G77" s="227"/>
      <c r="H77" s="224"/>
      <c r="I77" s="229" t="str">
        <f t="shared" ca="1" si="4"/>
        <v/>
      </c>
      <c r="J77" s="225"/>
      <c r="K77" s="225"/>
      <c r="L77" s="225"/>
      <c r="M77" s="225"/>
      <c r="N77" s="228"/>
      <c r="O77" s="233"/>
      <c r="P77" s="232">
        <f t="shared" si="3"/>
        <v>0</v>
      </c>
      <c r="Q77" s="236"/>
      <c r="R77" s="225"/>
      <c r="S77" s="225"/>
      <c r="T77" s="225"/>
      <c r="U77" s="225"/>
      <c r="V77" s="225"/>
      <c r="W77" s="225"/>
      <c r="X77" s="225"/>
      <c r="Y77" s="225"/>
      <c r="Z77" s="225"/>
      <c r="AA77" s="225"/>
      <c r="AB77" s="225"/>
      <c r="AC77" s="225"/>
    </row>
    <row r="78" spans="1:29" ht="15" customHeight="1">
      <c r="A78" s="219">
        <v>76</v>
      </c>
      <c r="B78" s="225"/>
      <c r="C78" s="225"/>
      <c r="D78" s="228"/>
      <c r="E78" s="228"/>
      <c r="F78" s="224"/>
      <c r="G78" s="227"/>
      <c r="H78" s="224"/>
      <c r="I78" s="229" t="str">
        <f t="shared" ca="1" si="4"/>
        <v/>
      </c>
      <c r="J78" s="225"/>
      <c r="K78" s="225"/>
      <c r="L78" s="225"/>
      <c r="M78" s="225"/>
      <c r="N78" s="228"/>
      <c r="O78" s="233"/>
      <c r="P78" s="232">
        <f t="shared" si="3"/>
        <v>0</v>
      </c>
      <c r="Q78" s="236"/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</row>
    <row r="79" spans="1:29" ht="15" customHeight="1">
      <c r="A79" s="219">
        <v>77</v>
      </c>
      <c r="B79" s="225"/>
      <c r="C79" s="225"/>
      <c r="D79" s="228"/>
      <c r="E79" s="228"/>
      <c r="F79" s="224"/>
      <c r="G79" s="227"/>
      <c r="H79" s="224"/>
      <c r="I79" s="229" t="str">
        <f t="shared" ca="1" si="4"/>
        <v/>
      </c>
      <c r="J79" s="225"/>
      <c r="K79" s="225"/>
      <c r="L79" s="225"/>
      <c r="M79" s="225"/>
      <c r="N79" s="228"/>
      <c r="O79" s="233"/>
      <c r="P79" s="232">
        <f t="shared" si="3"/>
        <v>0</v>
      </c>
      <c r="Q79" s="236"/>
      <c r="R79" s="225"/>
      <c r="S79" s="225"/>
      <c r="T79" s="225"/>
      <c r="U79" s="225"/>
      <c r="V79" s="225"/>
      <c r="W79" s="225"/>
      <c r="X79" s="225"/>
      <c r="Y79" s="225"/>
      <c r="Z79" s="225"/>
      <c r="AA79" s="225"/>
      <c r="AB79" s="225"/>
      <c r="AC79" s="225"/>
    </row>
    <row r="80" spans="1:29" ht="15" customHeight="1">
      <c r="A80" s="219">
        <v>78</v>
      </c>
      <c r="B80" s="225"/>
      <c r="C80" s="225"/>
      <c r="D80" s="228"/>
      <c r="E80" s="228"/>
      <c r="F80" s="224"/>
      <c r="G80" s="227"/>
      <c r="H80" s="224"/>
      <c r="I80" s="229" t="str">
        <f t="shared" ca="1" si="4"/>
        <v/>
      </c>
      <c r="J80" s="225"/>
      <c r="K80" s="225"/>
      <c r="L80" s="225"/>
      <c r="M80" s="225"/>
      <c r="N80" s="228"/>
      <c r="O80" s="233"/>
      <c r="P80" s="232">
        <f t="shared" si="3"/>
        <v>0</v>
      </c>
      <c r="Q80" s="236"/>
      <c r="R80" s="225"/>
      <c r="S80" s="225"/>
      <c r="T80" s="225"/>
      <c r="U80" s="225"/>
      <c r="V80" s="225"/>
      <c r="W80" s="225"/>
      <c r="X80" s="225"/>
      <c r="Y80" s="225"/>
      <c r="Z80" s="225"/>
      <c r="AA80" s="225"/>
      <c r="AB80" s="225"/>
      <c r="AC80" s="225"/>
    </row>
    <row r="81" spans="1:29" ht="15" customHeight="1">
      <c r="A81" s="219">
        <v>79</v>
      </c>
      <c r="B81" s="225"/>
      <c r="C81" s="225"/>
      <c r="D81" s="228"/>
      <c r="E81" s="228"/>
      <c r="F81" s="224"/>
      <c r="G81" s="227"/>
      <c r="H81" s="224"/>
      <c r="I81" s="229" t="str">
        <f t="shared" ca="1" si="4"/>
        <v/>
      </c>
      <c r="J81" s="225"/>
      <c r="K81" s="225"/>
      <c r="L81" s="225"/>
      <c r="M81" s="225"/>
      <c r="N81" s="228"/>
      <c r="O81" s="233"/>
      <c r="P81" s="232">
        <f t="shared" si="3"/>
        <v>0</v>
      </c>
      <c r="Q81" s="236"/>
      <c r="R81" s="225"/>
      <c r="S81" s="225"/>
      <c r="T81" s="225"/>
      <c r="U81" s="225"/>
      <c r="V81" s="225"/>
      <c r="W81" s="225"/>
      <c r="X81" s="225"/>
      <c r="Y81" s="225"/>
      <c r="Z81" s="225"/>
      <c r="AA81" s="225"/>
      <c r="AB81" s="225"/>
      <c r="AC81" s="225"/>
    </row>
    <row r="82" spans="1:29" ht="15" customHeight="1">
      <c r="A82" s="219">
        <v>80</v>
      </c>
      <c r="B82" s="225"/>
      <c r="C82" s="225"/>
      <c r="D82" s="228"/>
      <c r="E82" s="228"/>
      <c r="F82" s="224"/>
      <c r="G82" s="227"/>
      <c r="H82" s="224"/>
      <c r="I82" s="229" t="str">
        <f t="shared" ca="1" si="4"/>
        <v/>
      </c>
      <c r="J82" s="225"/>
      <c r="K82" s="225"/>
      <c r="L82" s="225"/>
      <c r="M82" s="225"/>
      <c r="N82" s="228"/>
      <c r="O82" s="233"/>
      <c r="P82" s="232">
        <f t="shared" si="3"/>
        <v>0</v>
      </c>
      <c r="Q82" s="236"/>
      <c r="R82" s="225"/>
      <c r="S82" s="225"/>
      <c r="T82" s="225"/>
      <c r="U82" s="225"/>
      <c r="V82" s="225"/>
      <c r="W82" s="225"/>
      <c r="X82" s="225"/>
      <c r="Y82" s="225"/>
      <c r="Z82" s="225"/>
      <c r="AA82" s="225"/>
      <c r="AB82" s="225"/>
      <c r="AC82" s="225"/>
    </row>
    <row r="83" spans="1:29" ht="15" customHeight="1">
      <c r="A83" s="219">
        <v>81</v>
      </c>
      <c r="B83" s="225"/>
      <c r="C83" s="225"/>
      <c r="D83" s="228"/>
      <c r="E83" s="228"/>
      <c r="F83" s="224"/>
      <c r="G83" s="227"/>
      <c r="H83" s="224"/>
      <c r="I83" s="229" t="str">
        <f t="shared" ca="1" si="4"/>
        <v/>
      </c>
      <c r="J83" s="225"/>
      <c r="K83" s="225"/>
      <c r="L83" s="225"/>
      <c r="M83" s="225"/>
      <c r="N83" s="228"/>
      <c r="O83" s="233"/>
      <c r="P83" s="232">
        <f t="shared" si="3"/>
        <v>0</v>
      </c>
      <c r="Q83" s="236"/>
      <c r="R83" s="225"/>
      <c r="S83" s="225"/>
      <c r="T83" s="225"/>
      <c r="U83" s="225"/>
      <c r="V83" s="225"/>
      <c r="W83" s="225"/>
      <c r="X83" s="225"/>
      <c r="Y83" s="225"/>
      <c r="Z83" s="225"/>
      <c r="AA83" s="225"/>
      <c r="AB83" s="225"/>
      <c r="AC83" s="225"/>
    </row>
    <row r="84" spans="1:29" ht="15" customHeight="1">
      <c r="A84" s="219">
        <v>82</v>
      </c>
      <c r="B84" s="225"/>
      <c r="C84" s="225"/>
      <c r="D84" s="228"/>
      <c r="E84" s="228"/>
      <c r="F84" s="224"/>
      <c r="G84" s="227"/>
      <c r="H84" s="224"/>
      <c r="I84" s="229" t="str">
        <f t="shared" ca="1" si="4"/>
        <v/>
      </c>
      <c r="J84" s="225"/>
      <c r="K84" s="225"/>
      <c r="L84" s="225"/>
      <c r="M84" s="225"/>
      <c r="N84" s="228"/>
      <c r="O84" s="233"/>
      <c r="P84" s="232">
        <f t="shared" si="3"/>
        <v>0</v>
      </c>
      <c r="Q84" s="236"/>
      <c r="R84" s="225"/>
      <c r="S84" s="225"/>
      <c r="T84" s="225"/>
      <c r="U84" s="225"/>
      <c r="V84" s="225"/>
      <c r="W84" s="225"/>
      <c r="X84" s="225"/>
      <c r="Y84" s="225"/>
      <c r="Z84" s="225"/>
      <c r="AA84" s="225"/>
      <c r="AB84" s="225"/>
      <c r="AC84" s="225"/>
    </row>
    <row r="85" spans="1:29" ht="15" customHeight="1">
      <c r="A85" s="219">
        <v>83</v>
      </c>
      <c r="B85" s="225"/>
      <c r="C85" s="225"/>
      <c r="D85" s="228"/>
      <c r="E85" s="228"/>
      <c r="F85" s="224"/>
      <c r="G85" s="227"/>
      <c r="H85" s="224"/>
      <c r="I85" s="229" t="str">
        <f t="shared" ca="1" si="4"/>
        <v/>
      </c>
      <c r="J85" s="225"/>
      <c r="K85" s="225"/>
      <c r="L85" s="225"/>
      <c r="M85" s="225"/>
      <c r="N85" s="228"/>
      <c r="O85" s="233"/>
      <c r="P85" s="232">
        <f t="shared" si="3"/>
        <v>0</v>
      </c>
      <c r="Q85" s="236"/>
      <c r="R85" s="225"/>
      <c r="S85" s="225"/>
      <c r="T85" s="225"/>
      <c r="U85" s="225"/>
      <c r="V85" s="225"/>
      <c r="W85" s="225"/>
      <c r="X85" s="225"/>
      <c r="Y85" s="225"/>
      <c r="Z85" s="225"/>
      <c r="AA85" s="225"/>
      <c r="AB85" s="225"/>
      <c r="AC85" s="225"/>
    </row>
    <row r="86" spans="1:29" ht="15" customHeight="1">
      <c r="A86" s="219">
        <v>84</v>
      </c>
      <c r="B86" s="225"/>
      <c r="C86" s="225"/>
      <c r="D86" s="228"/>
      <c r="E86" s="228"/>
      <c r="F86" s="224"/>
      <c r="G86" s="227"/>
      <c r="H86" s="224"/>
      <c r="I86" s="229" t="str">
        <f t="shared" ca="1" si="4"/>
        <v/>
      </c>
      <c r="J86" s="225"/>
      <c r="K86" s="225"/>
      <c r="L86" s="225"/>
      <c r="M86" s="225"/>
      <c r="N86" s="228"/>
      <c r="O86" s="233"/>
      <c r="P86" s="232">
        <f t="shared" si="3"/>
        <v>0</v>
      </c>
      <c r="Q86" s="236"/>
      <c r="R86" s="225"/>
      <c r="S86" s="225"/>
      <c r="T86" s="225"/>
      <c r="U86" s="225"/>
      <c r="V86" s="225"/>
      <c r="W86" s="225"/>
      <c r="X86" s="225"/>
      <c r="Y86" s="225"/>
      <c r="Z86" s="225"/>
      <c r="AA86" s="225"/>
      <c r="AB86" s="225"/>
      <c r="AC86" s="225"/>
    </row>
    <row r="87" spans="1:29" ht="15" customHeight="1">
      <c r="A87" s="219">
        <v>85</v>
      </c>
      <c r="B87" s="225"/>
      <c r="C87" s="225"/>
      <c r="D87" s="228"/>
      <c r="E87" s="228"/>
      <c r="F87" s="224"/>
      <c r="G87" s="227"/>
      <c r="H87" s="224"/>
      <c r="I87" s="229" t="str">
        <f t="shared" ca="1" si="4"/>
        <v/>
      </c>
      <c r="J87" s="225"/>
      <c r="K87" s="225"/>
      <c r="L87" s="225"/>
      <c r="M87" s="225"/>
      <c r="N87" s="228"/>
      <c r="O87" s="233"/>
      <c r="P87" s="232">
        <f t="shared" si="3"/>
        <v>0</v>
      </c>
      <c r="Q87" s="236"/>
      <c r="R87" s="225"/>
      <c r="S87" s="225"/>
      <c r="T87" s="225"/>
      <c r="U87" s="225"/>
      <c r="V87" s="225"/>
      <c r="W87" s="225"/>
      <c r="X87" s="225"/>
      <c r="Y87" s="225"/>
      <c r="Z87" s="225"/>
      <c r="AA87" s="225"/>
      <c r="AB87" s="225"/>
      <c r="AC87" s="225"/>
    </row>
    <row r="88" spans="1:29" ht="15" customHeight="1">
      <c r="A88" s="219">
        <v>86</v>
      </c>
      <c r="B88" s="225"/>
      <c r="C88" s="225"/>
      <c r="D88" s="228"/>
      <c r="E88" s="228"/>
      <c r="F88" s="224"/>
      <c r="G88" s="227"/>
      <c r="H88" s="224"/>
      <c r="I88" s="229" t="str">
        <f t="shared" ca="1" si="4"/>
        <v/>
      </c>
      <c r="J88" s="225"/>
      <c r="K88" s="225"/>
      <c r="L88" s="225"/>
      <c r="M88" s="225"/>
      <c r="N88" s="228"/>
      <c r="O88" s="233"/>
      <c r="P88" s="232">
        <f t="shared" si="3"/>
        <v>0</v>
      </c>
      <c r="Q88" s="236"/>
      <c r="R88" s="225"/>
      <c r="S88" s="225"/>
      <c r="T88" s="225"/>
      <c r="U88" s="225"/>
      <c r="V88" s="225"/>
      <c r="W88" s="225"/>
      <c r="X88" s="225"/>
      <c r="Y88" s="225"/>
      <c r="Z88" s="225"/>
      <c r="AA88" s="225"/>
      <c r="AB88" s="225"/>
      <c r="AC88" s="225"/>
    </row>
    <row r="89" spans="1:29" ht="15" customHeight="1">
      <c r="A89" s="219">
        <v>87</v>
      </c>
      <c r="B89" s="225"/>
      <c r="C89" s="225"/>
      <c r="D89" s="228"/>
      <c r="E89" s="228"/>
      <c r="F89" s="224"/>
      <c r="G89" s="227"/>
      <c r="H89" s="224"/>
      <c r="I89" s="229" t="str">
        <f t="shared" ca="1" si="4"/>
        <v/>
      </c>
      <c r="J89" s="225"/>
      <c r="K89" s="225"/>
      <c r="L89" s="225"/>
      <c r="M89" s="225"/>
      <c r="N89" s="228"/>
      <c r="O89" s="233"/>
      <c r="P89" s="232">
        <f t="shared" si="3"/>
        <v>0</v>
      </c>
      <c r="Q89" s="236"/>
      <c r="R89" s="225"/>
      <c r="S89" s="225"/>
      <c r="T89" s="225"/>
      <c r="U89" s="225"/>
      <c r="V89" s="225"/>
      <c r="W89" s="225"/>
      <c r="X89" s="225"/>
      <c r="Y89" s="225"/>
      <c r="Z89" s="225"/>
      <c r="AA89" s="225"/>
      <c r="AB89" s="225"/>
      <c r="AC89" s="225"/>
    </row>
    <row r="90" spans="1:29" ht="15" customHeight="1">
      <c r="A90" s="219">
        <v>88</v>
      </c>
      <c r="B90" s="225"/>
      <c r="C90" s="225"/>
      <c r="D90" s="228"/>
      <c r="E90" s="228"/>
      <c r="F90" s="224"/>
      <c r="G90" s="227"/>
      <c r="H90" s="224"/>
      <c r="I90" s="229" t="str">
        <f t="shared" ca="1" si="4"/>
        <v/>
      </c>
      <c r="J90" s="225"/>
      <c r="K90" s="225"/>
      <c r="L90" s="225"/>
      <c r="M90" s="225"/>
      <c r="N90" s="228"/>
      <c r="O90" s="233"/>
      <c r="P90" s="232">
        <f t="shared" si="3"/>
        <v>0</v>
      </c>
      <c r="Q90" s="236"/>
      <c r="R90" s="225"/>
      <c r="S90" s="225"/>
      <c r="T90" s="225"/>
      <c r="U90" s="225"/>
      <c r="V90" s="225"/>
      <c r="W90" s="225"/>
      <c r="X90" s="225"/>
      <c r="Y90" s="225"/>
      <c r="Z90" s="225"/>
      <c r="AA90" s="225"/>
      <c r="AB90" s="225"/>
      <c r="AC90" s="225"/>
    </row>
    <row r="91" spans="1:29" ht="15" customHeight="1">
      <c r="A91" s="219">
        <v>89</v>
      </c>
      <c r="B91" s="225"/>
      <c r="C91" s="225"/>
      <c r="D91" s="228"/>
      <c r="E91" s="228"/>
      <c r="F91" s="224"/>
      <c r="G91" s="227"/>
      <c r="H91" s="224"/>
      <c r="I91" s="229" t="str">
        <f t="shared" ca="1" si="4"/>
        <v/>
      </c>
      <c r="J91" s="225"/>
      <c r="K91" s="225"/>
      <c r="L91" s="225"/>
      <c r="M91" s="225"/>
      <c r="N91" s="228"/>
      <c r="O91" s="233"/>
      <c r="P91" s="232">
        <f t="shared" si="3"/>
        <v>0</v>
      </c>
      <c r="Q91" s="236"/>
      <c r="R91" s="225"/>
      <c r="S91" s="225"/>
      <c r="T91" s="225"/>
      <c r="U91" s="225"/>
      <c r="V91" s="225"/>
      <c r="W91" s="225"/>
      <c r="X91" s="225"/>
      <c r="Y91" s="225"/>
      <c r="Z91" s="225"/>
      <c r="AA91" s="225"/>
      <c r="AB91" s="225"/>
      <c r="AC91" s="225"/>
    </row>
    <row r="92" spans="1:29" ht="15" customHeight="1">
      <c r="A92" s="219">
        <v>90</v>
      </c>
      <c r="B92" s="225"/>
      <c r="C92" s="225"/>
      <c r="D92" s="228"/>
      <c r="E92" s="228"/>
      <c r="F92" s="224"/>
      <c r="G92" s="227"/>
      <c r="H92" s="224"/>
      <c r="I92" s="229" t="str">
        <f t="shared" ca="1" si="4"/>
        <v/>
      </c>
      <c r="J92" s="225"/>
      <c r="K92" s="225"/>
      <c r="L92" s="225"/>
      <c r="M92" s="225"/>
      <c r="N92" s="228"/>
      <c r="O92" s="233"/>
      <c r="P92" s="232">
        <f t="shared" si="3"/>
        <v>0</v>
      </c>
      <c r="Q92" s="236"/>
      <c r="R92" s="225"/>
      <c r="S92" s="225"/>
      <c r="T92" s="225"/>
      <c r="U92" s="225"/>
      <c r="V92" s="225"/>
      <c r="W92" s="225"/>
      <c r="X92" s="225"/>
      <c r="Y92" s="225"/>
      <c r="Z92" s="225"/>
      <c r="AA92" s="225"/>
      <c r="AB92" s="225"/>
      <c r="AC92" s="225"/>
    </row>
    <row r="93" spans="1:29" ht="15" customHeight="1">
      <c r="A93" s="219">
        <v>91</v>
      </c>
      <c r="B93" s="225"/>
      <c r="C93" s="225"/>
      <c r="D93" s="228"/>
      <c r="E93" s="228"/>
      <c r="F93" s="224"/>
      <c r="G93" s="227"/>
      <c r="H93" s="224"/>
      <c r="I93" s="229" t="str">
        <f t="shared" ca="1" si="4"/>
        <v/>
      </c>
      <c r="J93" s="225"/>
      <c r="K93" s="225"/>
      <c r="L93" s="225"/>
      <c r="M93" s="225"/>
      <c r="N93" s="228"/>
      <c r="O93" s="233"/>
      <c r="P93" s="232">
        <f t="shared" si="3"/>
        <v>0</v>
      </c>
      <c r="Q93" s="236"/>
      <c r="R93" s="225"/>
      <c r="S93" s="225"/>
      <c r="T93" s="225"/>
      <c r="U93" s="225"/>
      <c r="V93" s="225"/>
      <c r="W93" s="225"/>
      <c r="X93" s="225"/>
      <c r="Y93" s="225"/>
      <c r="Z93" s="225"/>
      <c r="AA93" s="225"/>
      <c r="AB93" s="225"/>
      <c r="AC93" s="225"/>
    </row>
    <row r="94" spans="1:29" ht="15" customHeight="1">
      <c r="A94" s="219">
        <v>92</v>
      </c>
      <c r="B94" s="225"/>
      <c r="C94" s="225"/>
      <c r="D94" s="228"/>
      <c r="E94" s="228"/>
      <c r="F94" s="224"/>
      <c r="G94" s="227"/>
      <c r="H94" s="224"/>
      <c r="I94" s="229" t="str">
        <f t="shared" ca="1" si="4"/>
        <v/>
      </c>
      <c r="J94" s="225"/>
      <c r="K94" s="225"/>
      <c r="L94" s="225"/>
      <c r="M94" s="225"/>
      <c r="N94" s="228"/>
      <c r="O94" s="233"/>
      <c r="P94" s="232">
        <f t="shared" si="3"/>
        <v>0</v>
      </c>
      <c r="Q94" s="236"/>
      <c r="R94" s="225"/>
      <c r="S94" s="225"/>
      <c r="T94" s="225"/>
      <c r="U94" s="225"/>
      <c r="V94" s="225"/>
      <c r="W94" s="225"/>
      <c r="X94" s="225"/>
      <c r="Y94" s="225"/>
      <c r="Z94" s="225"/>
      <c r="AA94" s="225"/>
      <c r="AB94" s="225"/>
      <c r="AC94" s="225"/>
    </row>
    <row r="95" spans="1:29" ht="15" customHeight="1">
      <c r="A95" s="219">
        <v>93</v>
      </c>
      <c r="B95" s="225"/>
      <c r="C95" s="225"/>
      <c r="D95" s="228"/>
      <c r="E95" s="228"/>
      <c r="F95" s="224"/>
      <c r="G95" s="227"/>
      <c r="H95" s="224"/>
      <c r="I95" s="229" t="str">
        <f t="shared" ca="1" si="4"/>
        <v/>
      </c>
      <c r="J95" s="225"/>
      <c r="K95" s="225"/>
      <c r="L95" s="225"/>
      <c r="M95" s="225"/>
      <c r="N95" s="228"/>
      <c r="O95" s="233"/>
      <c r="P95" s="232">
        <f t="shared" si="3"/>
        <v>0</v>
      </c>
      <c r="Q95" s="236"/>
      <c r="R95" s="225"/>
      <c r="S95" s="225"/>
      <c r="T95" s="225"/>
      <c r="U95" s="225"/>
      <c r="V95" s="225"/>
      <c r="W95" s="225"/>
      <c r="X95" s="225"/>
      <c r="Y95" s="225"/>
      <c r="Z95" s="225"/>
      <c r="AA95" s="225"/>
      <c r="AB95" s="225"/>
      <c r="AC95" s="225"/>
    </row>
    <row r="96" spans="1:29">
      <c r="A96" s="219">
        <v>94</v>
      </c>
      <c r="B96" s="225"/>
      <c r="C96" s="225"/>
      <c r="D96" s="228"/>
      <c r="E96" s="228"/>
      <c r="F96" s="224"/>
      <c r="G96" s="227"/>
      <c r="H96" s="224"/>
      <c r="I96" s="229" t="str">
        <f t="shared" ca="1" si="4"/>
        <v/>
      </c>
      <c r="J96" s="225"/>
      <c r="K96" s="225"/>
      <c r="L96" s="225"/>
      <c r="M96" s="225"/>
      <c r="N96" s="228"/>
      <c r="O96" s="233"/>
      <c r="P96" s="232">
        <f t="shared" si="3"/>
        <v>0</v>
      </c>
      <c r="Q96" s="236"/>
      <c r="R96" s="225"/>
      <c r="S96" s="225"/>
      <c r="T96" s="225"/>
      <c r="U96" s="225"/>
      <c r="V96" s="225"/>
      <c r="W96" s="225"/>
      <c r="X96" s="225"/>
      <c r="Y96" s="225"/>
      <c r="Z96" s="225"/>
      <c r="AA96" s="225"/>
      <c r="AB96" s="225"/>
      <c r="AC96" s="225"/>
    </row>
    <row r="97" spans="1:29">
      <c r="A97" s="219">
        <v>95</v>
      </c>
      <c r="B97" s="225"/>
      <c r="C97" s="225"/>
      <c r="D97" s="228"/>
      <c r="E97" s="228"/>
      <c r="F97" s="224"/>
      <c r="G97" s="227"/>
      <c r="H97" s="224"/>
      <c r="I97" s="229" t="str">
        <f t="shared" ca="1" si="4"/>
        <v/>
      </c>
      <c r="J97" s="225"/>
      <c r="K97" s="225"/>
      <c r="L97" s="225"/>
      <c r="M97" s="225"/>
      <c r="N97" s="228"/>
      <c r="O97" s="233"/>
      <c r="P97" s="232">
        <f t="shared" si="3"/>
        <v>0</v>
      </c>
      <c r="Q97" s="236"/>
      <c r="R97" s="225"/>
      <c r="S97" s="225"/>
      <c r="T97" s="225"/>
      <c r="U97" s="225"/>
      <c r="V97" s="225"/>
      <c r="W97" s="225"/>
      <c r="X97" s="225"/>
      <c r="Y97" s="225"/>
      <c r="Z97" s="225"/>
      <c r="AA97" s="225"/>
      <c r="AB97" s="225"/>
      <c r="AC97" s="225"/>
    </row>
    <row r="98" spans="1:29">
      <c r="A98" s="219">
        <v>96</v>
      </c>
      <c r="B98" s="225"/>
      <c r="C98" s="225"/>
      <c r="D98" s="228"/>
      <c r="E98" s="228"/>
      <c r="F98" s="224"/>
      <c r="G98" s="227"/>
      <c r="H98" s="224"/>
      <c r="I98" s="229" t="str">
        <f t="shared" ca="1" si="4"/>
        <v/>
      </c>
      <c r="J98" s="225"/>
      <c r="K98" s="225"/>
      <c r="L98" s="225"/>
      <c r="M98" s="225"/>
      <c r="N98" s="228"/>
      <c r="O98" s="233"/>
      <c r="P98" s="232">
        <f t="shared" si="3"/>
        <v>0</v>
      </c>
      <c r="Q98" s="236"/>
      <c r="R98" s="225"/>
      <c r="S98" s="225"/>
      <c r="T98" s="225"/>
      <c r="U98" s="225"/>
      <c r="V98" s="225"/>
      <c r="W98" s="225"/>
      <c r="X98" s="225"/>
      <c r="Y98" s="225"/>
      <c r="Z98" s="225"/>
      <c r="AA98" s="225"/>
      <c r="AB98" s="225"/>
      <c r="AC98" s="225"/>
    </row>
    <row r="99" spans="1:29">
      <c r="A99" s="219">
        <v>97</v>
      </c>
      <c r="B99" s="225"/>
      <c r="C99" s="225"/>
      <c r="D99" s="228"/>
      <c r="E99" s="228"/>
      <c r="F99" s="224"/>
      <c r="G99" s="227"/>
      <c r="H99" s="224"/>
      <c r="I99" s="229" t="str">
        <f t="shared" ca="1" si="4"/>
        <v/>
      </c>
      <c r="J99" s="225"/>
      <c r="K99" s="225"/>
      <c r="L99" s="225"/>
      <c r="M99" s="225"/>
      <c r="N99" s="228"/>
      <c r="O99" s="233"/>
      <c r="P99" s="232">
        <f t="shared" ref="P99:P102" si="5">IF(OR(M99="",M99="Active"),N99*IF(O99="",100%,O99),0)</f>
        <v>0</v>
      </c>
      <c r="Q99" s="236"/>
      <c r="R99" s="225"/>
      <c r="S99" s="225"/>
      <c r="T99" s="225"/>
      <c r="U99" s="225"/>
      <c r="V99" s="225"/>
      <c r="W99" s="225"/>
      <c r="X99" s="225"/>
      <c r="Y99" s="225"/>
      <c r="Z99" s="225"/>
      <c r="AA99" s="225"/>
      <c r="AB99" s="225"/>
      <c r="AC99" s="225"/>
    </row>
    <row r="100" spans="1:29">
      <c r="A100" s="219">
        <v>98</v>
      </c>
      <c r="B100" s="225"/>
      <c r="C100" s="225"/>
      <c r="D100" s="228"/>
      <c r="E100" s="228"/>
      <c r="F100" s="224"/>
      <c r="G100" s="227"/>
      <c r="H100" s="224"/>
      <c r="I100" s="229" t="str">
        <f t="shared" ca="1" si="4"/>
        <v/>
      </c>
      <c r="J100" s="225"/>
      <c r="K100" s="225"/>
      <c r="L100" s="225"/>
      <c r="M100" s="225"/>
      <c r="N100" s="228"/>
      <c r="O100" s="233"/>
      <c r="P100" s="232">
        <f t="shared" si="5"/>
        <v>0</v>
      </c>
      <c r="Q100" s="236"/>
      <c r="R100" s="225"/>
      <c r="S100" s="225"/>
      <c r="T100" s="225"/>
      <c r="U100" s="225"/>
      <c r="V100" s="225"/>
      <c r="W100" s="225"/>
      <c r="X100" s="225"/>
      <c r="Y100" s="225"/>
      <c r="Z100" s="225"/>
      <c r="AA100" s="225"/>
      <c r="AB100" s="225"/>
      <c r="AC100" s="225"/>
    </row>
    <row r="101" spans="1:29">
      <c r="A101" s="219">
        <v>99</v>
      </c>
      <c r="B101" s="225"/>
      <c r="C101" s="225"/>
      <c r="D101" s="228"/>
      <c r="E101" s="228"/>
      <c r="F101" s="224"/>
      <c r="G101" s="227"/>
      <c r="H101" s="224"/>
      <c r="I101" s="229" t="str">
        <f t="shared" ca="1" si="4"/>
        <v/>
      </c>
      <c r="J101" s="225"/>
      <c r="K101" s="225"/>
      <c r="L101" s="225"/>
      <c r="M101" s="225"/>
      <c r="N101" s="228"/>
      <c r="O101" s="233"/>
      <c r="P101" s="232">
        <f t="shared" si="5"/>
        <v>0</v>
      </c>
      <c r="Q101" s="236"/>
      <c r="R101" s="225"/>
      <c r="S101" s="225"/>
      <c r="T101" s="225"/>
      <c r="U101" s="225"/>
      <c r="V101" s="225"/>
      <c r="W101" s="225"/>
      <c r="X101" s="225"/>
      <c r="Y101" s="225"/>
      <c r="Z101" s="225"/>
      <c r="AA101" s="225"/>
      <c r="AB101" s="225"/>
      <c r="AC101" s="225"/>
    </row>
    <row r="102" spans="1:29">
      <c r="A102" s="219">
        <v>100</v>
      </c>
      <c r="B102" s="225"/>
      <c r="C102" s="225"/>
      <c r="D102" s="228"/>
      <c r="E102" s="228"/>
      <c r="F102" s="224"/>
      <c r="G102" s="227"/>
      <c r="H102" s="224"/>
      <c r="I102" s="229" t="str">
        <f t="shared" ca="1" si="4"/>
        <v/>
      </c>
      <c r="J102" s="225"/>
      <c r="K102" s="225"/>
      <c r="L102" s="225"/>
      <c r="M102" s="225"/>
      <c r="N102" s="228"/>
      <c r="O102" s="233"/>
      <c r="P102" s="232">
        <f t="shared" si="5"/>
        <v>0</v>
      </c>
      <c r="Q102" s="236"/>
      <c r="R102" s="225"/>
      <c r="S102" s="225"/>
      <c r="T102" s="225"/>
      <c r="U102" s="225"/>
      <c r="V102" s="225"/>
      <c r="W102" s="225"/>
      <c r="X102" s="225"/>
      <c r="Y102" s="225"/>
      <c r="Z102" s="225"/>
      <c r="AA102" s="225"/>
      <c r="AB102" s="225"/>
      <c r="AC102" s="225"/>
    </row>
    <row r="103" spans="1:29">
      <c r="L103" s="451" t="s">
        <v>568</v>
      </c>
      <c r="M103" s="452"/>
      <c r="N103" s="237">
        <f>SUM(P3:P102)</f>
        <v>0</v>
      </c>
      <c r="O103" s="238"/>
      <c r="P103" s="238"/>
    </row>
    <row r="104" spans="1:29">
      <c r="L104" s="453" t="s">
        <v>569</v>
      </c>
      <c r="M104" s="454"/>
      <c r="N104" s="237">
        <f>SUM(N3:N102)</f>
        <v>0</v>
      </c>
      <c r="O104" s="238"/>
      <c r="P104" s="238"/>
    </row>
    <row r="105" spans="1:29">
      <c r="L105" s="453" t="s">
        <v>570</v>
      </c>
      <c r="M105" s="454"/>
      <c r="N105" s="237">
        <f>N104-N103</f>
        <v>0</v>
      </c>
      <c r="O105" s="238"/>
      <c r="P105" s="238"/>
    </row>
  </sheetData>
  <sheetProtection algorithmName="SHA-512" hashValue="f8IqcvYpXF7q7NOS4SXToPmZM6Q7fMZ7bQo0nZt7rakHNHR/qb03BEicJIJJ58+5FHEErRSR8wvlwOljHVW2xQ==" saltValue="o/1bahprCxmPbYQ8zsLyJQ==" spinCount="100000" sheet="1" formatCells="0" formatColumns="0" formatRows="0" insertColumns="0" insertRows="0" autoFilter="0"/>
  <autoFilter ref="A2:Q105"/>
  <mergeCells count="21">
    <mergeCell ref="M1:M2"/>
    <mergeCell ref="N1:N2"/>
    <mergeCell ref="O1:O2"/>
    <mergeCell ref="P1:P2"/>
    <mergeCell ref="Q1:Q2"/>
    <mergeCell ref="R1:AC1"/>
    <mergeCell ref="L103:M103"/>
    <mergeCell ref="L104:M104"/>
    <mergeCell ref="L105:M105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dataValidations count="1">
    <dataValidation type="list" allowBlank="1" showInputMessage="1" showErrorMessage="1" sqref="M21 M3:M7 M8:M9 M10:M16 M17:M20 M22:M29 M30:M102">
      <formula1>"Active, Closed, Getting closed within 12 months, To be closed before our Disbursal, To be closed with our Disbursal"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Validation!$A$89:$A$120</xm:f>
          </x14:formula1>
          <xm:sqref>C3:C102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U61"/>
  <sheetViews>
    <sheetView showGridLines="0" topLeftCell="A16" workbookViewId="0">
      <selection activeCell="F22" sqref="F22"/>
    </sheetView>
  </sheetViews>
  <sheetFormatPr defaultColWidth="0" defaultRowHeight="12" customHeight="1" zeroHeight="1"/>
  <cols>
    <col min="1" max="1" width="1.5703125" style="200" customWidth="1"/>
    <col min="2" max="2" width="48.140625" style="201" customWidth="1"/>
    <col min="3" max="3" width="12.28515625" style="200" customWidth="1"/>
    <col min="4" max="4" width="14.140625" style="200" customWidth="1"/>
    <col min="5" max="6" width="20.7109375" style="200" customWidth="1"/>
    <col min="7" max="7" width="16.85546875" style="200" customWidth="1"/>
    <col min="8" max="8" width="1.140625" style="202" customWidth="1"/>
    <col min="9" max="9" width="9.140625" style="202" hidden="1" customWidth="1"/>
    <col min="10" max="11" width="8" style="202" hidden="1" customWidth="1"/>
    <col min="12" max="21" width="9.140625" style="202" hidden="1" customWidth="1"/>
    <col min="22" max="16384" width="9.140625" style="200" hidden="1"/>
  </cols>
  <sheetData>
    <row r="1" spans="2:7" ht="12" customHeight="1"/>
    <row r="2" spans="2:7">
      <c r="B2" s="203" t="s">
        <v>69</v>
      </c>
      <c r="C2" s="461">
        <f>BasicInput!$D$27</f>
        <v>3000000</v>
      </c>
      <c r="D2" s="461"/>
      <c r="E2" s="461"/>
      <c r="F2" s="461"/>
      <c r="G2" s="461"/>
    </row>
    <row r="3" spans="2:7">
      <c r="B3" s="203" t="s">
        <v>70</v>
      </c>
      <c r="C3" s="462">
        <f>BasicInput!$F$27</f>
        <v>0.12</v>
      </c>
      <c r="D3" s="463"/>
      <c r="E3" s="463"/>
      <c r="F3" s="463"/>
      <c r="G3" s="463"/>
    </row>
    <row r="4" spans="2:7">
      <c r="B4" s="203" t="s">
        <v>71</v>
      </c>
      <c r="C4" s="464">
        <f>BasicInput!$E$27</f>
        <v>240</v>
      </c>
      <c r="D4" s="463"/>
      <c r="E4" s="463"/>
      <c r="F4" s="463"/>
      <c r="G4" s="463"/>
    </row>
    <row r="5" spans="2:7" ht="12" customHeight="1"/>
    <row r="6" spans="2:7">
      <c r="B6" s="203" t="s">
        <v>73</v>
      </c>
      <c r="C6" s="465" t="s">
        <v>32</v>
      </c>
      <c r="D6" s="466"/>
      <c r="E6" s="466"/>
      <c r="F6" s="466"/>
      <c r="G6" s="467"/>
    </row>
    <row r="7" spans="2:7">
      <c r="B7" s="204" t="s">
        <v>74</v>
      </c>
      <c r="C7" s="468" t="s">
        <v>75</v>
      </c>
      <c r="D7" s="468"/>
      <c r="E7" s="468"/>
      <c r="F7" s="469"/>
      <c r="G7" s="470"/>
    </row>
    <row r="8" spans="2:7">
      <c r="B8" s="205" t="s">
        <v>76</v>
      </c>
      <c r="C8" s="461">
        <f>BasicInput!$I$39</f>
        <v>0</v>
      </c>
      <c r="D8" s="461"/>
      <c r="E8" s="461"/>
      <c r="F8" s="461"/>
      <c r="G8" s="461"/>
    </row>
    <row r="9" spans="2:7">
      <c r="B9" s="205" t="s">
        <v>77</v>
      </c>
      <c r="C9" s="461">
        <f>BasicInput!$J$39</f>
        <v>0</v>
      </c>
      <c r="D9" s="461"/>
      <c r="E9" s="461"/>
      <c r="F9" s="461"/>
      <c r="G9" s="461"/>
    </row>
    <row r="10" spans="2:7">
      <c r="B10" s="205" t="s">
        <v>571</v>
      </c>
      <c r="C10" s="471"/>
      <c r="D10" s="472"/>
      <c r="E10" s="472"/>
      <c r="F10" s="472"/>
      <c r="G10" s="473"/>
    </row>
    <row r="11" spans="2:7">
      <c r="B11" s="205" t="s">
        <v>78</v>
      </c>
      <c r="C11" s="474">
        <f>IF(C10=0,IF(C9=0,C8,IF(ABS(C9-C8)/MIN(C9,C8)&gt;0.2,"Trigger Third Valuation",AVERAGE(C8,C9))),IF(ABS(C10-C9)&lt;ABS(C10-C8),(IF(ABS(C10-C9)&lt;ABS(C9-C8),AVERAGE(C10,C9),AVERAGE(C9,C8))),(IF(ABS(C10-C8)&lt;ABS(C9-C8),AVERAGE(C10,C8),AVERAGE(C9,C8)))))</f>
        <v>0</v>
      </c>
      <c r="D11" s="475"/>
      <c r="E11" s="475"/>
      <c r="F11" s="475"/>
      <c r="G11" s="476"/>
    </row>
    <row r="12" spans="2:7" ht="12" customHeight="1"/>
    <row r="13" spans="2:7">
      <c r="B13" s="204" t="s">
        <v>79</v>
      </c>
      <c r="C13" s="468" t="s">
        <v>75</v>
      </c>
      <c r="D13" s="468"/>
      <c r="E13" s="468"/>
      <c r="F13" s="469"/>
      <c r="G13" s="470"/>
    </row>
    <row r="14" spans="2:7">
      <c r="B14" s="205" t="s">
        <v>572</v>
      </c>
      <c r="C14" s="461">
        <f>'ExistingLoans&amp;Facilities&amp;RTR'!$N$103</f>
        <v>0</v>
      </c>
      <c r="D14" s="461"/>
      <c r="E14" s="461"/>
      <c r="F14" s="461"/>
      <c r="G14" s="461"/>
    </row>
    <row r="15" spans="2:7">
      <c r="B15" s="205" t="s">
        <v>81</v>
      </c>
      <c r="C15" s="461">
        <f>'ExistingLoans&amp;Facilities&amp;RTR'!$N$105</f>
        <v>0</v>
      </c>
      <c r="D15" s="461"/>
      <c r="E15" s="461"/>
      <c r="F15" s="461"/>
      <c r="G15" s="461"/>
    </row>
    <row r="16" spans="2:7" ht="12" customHeight="1"/>
    <row r="17" spans="2:11">
      <c r="B17" s="477" t="s">
        <v>82</v>
      </c>
      <c r="C17" s="477"/>
      <c r="D17" s="477"/>
      <c r="E17" s="477"/>
      <c r="F17" s="477"/>
      <c r="G17" s="477"/>
    </row>
    <row r="18" spans="2:11">
      <c r="B18" s="206" t="s">
        <v>83</v>
      </c>
      <c r="C18" s="207" t="s">
        <v>84</v>
      </c>
      <c r="D18" s="207" t="s">
        <v>87</v>
      </c>
      <c r="E18" s="207" t="s">
        <v>85</v>
      </c>
      <c r="F18" s="207" t="s">
        <v>86</v>
      </c>
      <c r="G18" s="207" t="s">
        <v>88</v>
      </c>
    </row>
    <row r="19" spans="2:11">
      <c r="B19" s="478" t="s">
        <v>573</v>
      </c>
      <c r="C19" s="478"/>
      <c r="D19" s="478"/>
      <c r="E19" s="478"/>
      <c r="F19" s="478"/>
      <c r="G19" s="478"/>
    </row>
    <row r="20" spans="2:11">
      <c r="B20" s="205" t="s">
        <v>97</v>
      </c>
      <c r="C20" s="208">
        <v>1</v>
      </c>
      <c r="D20" s="209" t="s">
        <v>100</v>
      </c>
      <c r="E20" s="209">
        <f>BasicInput!E48</f>
        <v>0</v>
      </c>
      <c r="F20" s="209">
        <f>BasicInput!D48</f>
        <v>0</v>
      </c>
      <c r="G20" s="210">
        <f>IF(D20="Monthly",C20*F20*12,C20*F20)</f>
        <v>0</v>
      </c>
    </row>
    <row r="21" spans="2:11">
      <c r="B21" s="478" t="s">
        <v>574</v>
      </c>
      <c r="C21" s="478"/>
      <c r="D21" s="478"/>
      <c r="E21" s="478"/>
      <c r="F21" s="478"/>
      <c r="G21" s="478"/>
    </row>
    <row r="22" spans="2:11">
      <c r="B22" s="205" t="s">
        <v>575</v>
      </c>
      <c r="C22" s="208">
        <v>1</v>
      </c>
      <c r="D22" s="209" t="s">
        <v>100</v>
      </c>
      <c r="E22" s="209">
        <f>IF(BasicInput!C1="Prime",PrimeCashProfitMethod!C4,AffordConsolidated!D29*100000)+'44AD,44ADA,44AEIncome'!C117</f>
        <v>0</v>
      </c>
      <c r="F22" s="209">
        <f>IF(BasicInput!C1="Prime",PrimeCashProfitMethod!B4,AffordConsolidated!C29*100000)+'44AD,44ADA,44AEIncome'!B117</f>
        <v>0</v>
      </c>
      <c r="G22" s="498">
        <f>IFERROR((IF((K26-J26)/J26&lt;=50%,K26,IF((AVERAGE(K26,J26)-J26)/J26&gt;50%,AVERAGE(J26,K26),J26*150%))),0)</f>
        <v>0</v>
      </c>
      <c r="J22" s="202">
        <f>IF(D22="Monthly",C22*E22*12,C22*E22)</f>
        <v>0</v>
      </c>
      <c r="K22" s="202">
        <f>IF(D22="Monthly",C22*F22*12,C22*F22)</f>
        <v>0</v>
      </c>
    </row>
    <row r="23" spans="2:11">
      <c r="B23" s="205" t="s">
        <v>576</v>
      </c>
      <c r="C23" s="208">
        <v>1</v>
      </c>
      <c r="D23" s="209" t="s">
        <v>100</v>
      </c>
      <c r="E23" s="209">
        <f>IF(BasicInput!C1="Prime",PrimeCashProfitMethod!C5,AffordConsolidated!D23*100000)</f>
        <v>0</v>
      </c>
      <c r="F23" s="209">
        <f>IF(BasicInput!C1="Prime",PrimeCashProfitMethod!B5,AffordConsolidated!C23*100000)</f>
        <v>0</v>
      </c>
      <c r="G23" s="499"/>
      <c r="J23" s="202">
        <f>IF(D23="Monthly",C23*E23*12,C23*E23)</f>
        <v>0</v>
      </c>
      <c r="K23" s="202">
        <f>IF(D23="Monthly",C23*F23*12,C23*F23)</f>
        <v>0</v>
      </c>
    </row>
    <row r="24" spans="2:11">
      <c r="B24" s="205" t="s">
        <v>577</v>
      </c>
      <c r="C24" s="208">
        <v>1</v>
      </c>
      <c r="D24" s="209" t="s">
        <v>100</v>
      </c>
      <c r="E24" s="209">
        <f>IF(BasicInput!C1="Prime",PrimeCashProfitMethod!C6,0)</f>
        <v>0</v>
      </c>
      <c r="F24" s="209">
        <f>IF(BasicInput!C1="Prime",PrimeCashProfitMethod!B6,0)</f>
        <v>0</v>
      </c>
      <c r="G24" s="499"/>
      <c r="J24" s="202">
        <f>IF(D24="Monthly",C24*E24*12,C24*E24)</f>
        <v>0</v>
      </c>
      <c r="K24" s="202">
        <f>IF(D24="Monthly",C24*F24*12,C24*F24)</f>
        <v>0</v>
      </c>
    </row>
    <row r="25" spans="2:11">
      <c r="B25" s="205" t="s">
        <v>578</v>
      </c>
      <c r="C25" s="208">
        <v>1</v>
      </c>
      <c r="D25" s="209" t="s">
        <v>100</v>
      </c>
      <c r="E25" s="209">
        <f>IF(BasicInput!C1="Prime",PrimeCashProfitMethod!C7,AffordConsolidated!D25*100000)</f>
        <v>0</v>
      </c>
      <c r="F25" s="209">
        <f>IF(BasicInput!C1="Prime",PrimeCashProfitMethod!B7,AffordConsolidated!C25*100000)</f>
        <v>0</v>
      </c>
      <c r="G25" s="500"/>
      <c r="J25" s="202">
        <f>IF(D25="Monthly",C25*E25*12,C25*E25)</f>
        <v>0</v>
      </c>
      <c r="K25" s="202">
        <f>IF(D25="Monthly",C25*F25*12,C25*F25)</f>
        <v>0</v>
      </c>
    </row>
    <row r="26" spans="2:11">
      <c r="B26" s="478" t="s">
        <v>107</v>
      </c>
      <c r="C26" s="478"/>
      <c r="D26" s="478"/>
      <c r="E26" s="478"/>
      <c r="F26" s="478"/>
      <c r="G26" s="478"/>
      <c r="J26" s="217">
        <f>IF(SUM(J22:J25)&lt;=0,0.00001,SUM(J22:J25))</f>
        <v>1.0000000000000001E-5</v>
      </c>
      <c r="K26" s="202">
        <f>SUM(K22:K25)</f>
        <v>0</v>
      </c>
    </row>
    <row r="27" spans="2:11">
      <c r="B27" s="205" t="s">
        <v>108</v>
      </c>
      <c r="C27" s="208">
        <v>1</v>
      </c>
      <c r="D27" s="209" t="s">
        <v>100</v>
      </c>
      <c r="E27" s="209"/>
      <c r="F27" s="209">
        <f>BasicInput!D49</f>
        <v>0</v>
      </c>
      <c r="G27" s="210">
        <f>IF(D27="Annual",F27,F27*12)</f>
        <v>0</v>
      </c>
    </row>
    <row r="28" spans="2:11">
      <c r="B28" s="205" t="s">
        <v>109</v>
      </c>
      <c r="C28" s="208">
        <v>1</v>
      </c>
      <c r="D28" s="209" t="s">
        <v>100</v>
      </c>
      <c r="E28" s="209"/>
      <c r="F28" s="209"/>
      <c r="G28" s="210">
        <f>IF(D28="Monthly",AVERAGE(C28*F28*12,C28*E28*12),AVERAGE(C28*F28,C28*E28))</f>
        <v>0</v>
      </c>
    </row>
    <row r="29" spans="2:11">
      <c r="B29" s="205" t="s">
        <v>110</v>
      </c>
      <c r="C29" s="208">
        <v>0.5</v>
      </c>
      <c r="D29" s="209" t="s">
        <v>100</v>
      </c>
      <c r="E29" s="209"/>
      <c r="F29" s="209">
        <f>BasicInput!D50</f>
        <v>0</v>
      </c>
      <c r="G29" s="210">
        <f>IF(D29="Monthly",AVERAGE(C29*F29*12,C29*E29*12),AVERAGE(C29*F29,C29*E29))</f>
        <v>0</v>
      </c>
    </row>
    <row r="30" spans="2:11">
      <c r="B30" s="205" t="s">
        <v>111</v>
      </c>
      <c r="C30" s="208">
        <v>1</v>
      </c>
      <c r="D30" s="209" t="s">
        <v>100</v>
      </c>
      <c r="E30" s="209"/>
      <c r="F30" s="209">
        <f>BasicInput!D51</f>
        <v>0</v>
      </c>
      <c r="G30" s="210">
        <f>IF(D30="Monthly",AVERAGE(C30*F30*12,C30*E30*12),AVERAGE(C30*F30,C30*E30))</f>
        <v>0</v>
      </c>
    </row>
    <row r="31" spans="2:11">
      <c r="B31" s="205" t="s">
        <v>107</v>
      </c>
      <c r="C31" s="208">
        <v>1</v>
      </c>
      <c r="D31" s="209" t="s">
        <v>100</v>
      </c>
      <c r="E31" s="209"/>
      <c r="F31" s="209">
        <f>BasicInput!D52</f>
        <v>0</v>
      </c>
      <c r="G31" s="210">
        <f>IF(D31="Monthly",AVERAGE(C31*F31*12,C31*E31*12),AVERAGE(C31*F31,C31*E31))</f>
        <v>0</v>
      </c>
    </row>
    <row r="32" spans="2:11">
      <c r="B32" s="479" t="s">
        <v>579</v>
      </c>
      <c r="C32" s="479"/>
      <c r="D32" s="479"/>
      <c r="E32" s="479"/>
      <c r="F32" s="479"/>
      <c r="G32" s="479"/>
    </row>
    <row r="33" spans="2:7" ht="12" customHeight="1">
      <c r="B33" s="480" t="s">
        <v>113</v>
      </c>
      <c r="C33" s="481"/>
      <c r="D33" s="481"/>
      <c r="E33" s="481"/>
      <c r="F33" s="481"/>
      <c r="G33" s="482"/>
    </row>
    <row r="34" spans="2:7">
      <c r="B34" s="205" t="s">
        <v>114</v>
      </c>
      <c r="C34" s="211">
        <v>1</v>
      </c>
      <c r="D34" s="209" t="s">
        <v>100</v>
      </c>
      <c r="E34" s="212"/>
      <c r="F34" s="212">
        <f>BasicInput!D53</f>
        <v>0</v>
      </c>
      <c r="G34" s="210">
        <f>IF(D34="Annual",F34,F34*12)</f>
        <v>0</v>
      </c>
    </row>
    <row r="35" spans="2:7">
      <c r="B35" s="205" t="s">
        <v>115</v>
      </c>
      <c r="C35" s="211">
        <v>1</v>
      </c>
      <c r="D35" s="209" t="s">
        <v>100</v>
      </c>
      <c r="E35" s="212"/>
      <c r="F35" s="212"/>
      <c r="G35" s="210">
        <f>IF(D35="Monthly",AVERAGE(C35*F35*12,C35*E35*12),AVERAGE(C35*F35,C35*E35))</f>
        <v>0</v>
      </c>
    </row>
    <row r="36" spans="2:7">
      <c r="B36" s="480" t="s">
        <v>580</v>
      </c>
      <c r="C36" s="481"/>
      <c r="D36" s="481"/>
      <c r="E36" s="481"/>
      <c r="F36" s="482"/>
      <c r="G36" s="213">
        <f>IF(SUM(G27:G31)&gt;SUM(G22,G20),SUM(G20,G22,G22,G20,G34:G35),SUM(G20,G22,G27:G31,G34:G35))</f>
        <v>0</v>
      </c>
    </row>
    <row r="37" spans="2:7">
      <c r="B37" s="483" t="s">
        <v>581</v>
      </c>
      <c r="C37" s="484"/>
      <c r="D37" s="484"/>
      <c r="E37" s="484"/>
      <c r="F37" s="484"/>
      <c r="G37" s="485"/>
    </row>
    <row r="38" spans="2:7" ht="12" customHeight="1"/>
    <row r="39" spans="2:7">
      <c r="B39" s="477" t="s">
        <v>118</v>
      </c>
      <c r="C39" s="477"/>
      <c r="D39" s="477"/>
      <c r="E39" s="477"/>
      <c r="F39" s="477"/>
      <c r="G39" s="477"/>
    </row>
    <row r="40" spans="2:7" ht="2.25" customHeight="1">
      <c r="B40" s="486"/>
      <c r="C40" s="487"/>
      <c r="D40" s="487"/>
      <c r="E40" s="487"/>
      <c r="F40" s="487"/>
      <c r="G40" s="488"/>
    </row>
    <row r="41" spans="2:7">
      <c r="B41" s="205" t="s">
        <v>119</v>
      </c>
      <c r="C41" s="489">
        <f>G36/12</f>
        <v>0</v>
      </c>
      <c r="D41" s="490"/>
      <c r="E41" s="490"/>
      <c r="F41" s="490"/>
      <c r="G41" s="490"/>
    </row>
    <row r="42" spans="2:7">
      <c r="B42" s="205" t="s">
        <v>120</v>
      </c>
      <c r="C42" s="491">
        <v>0.8</v>
      </c>
      <c r="D42" s="491"/>
      <c r="E42" s="491"/>
      <c r="F42" s="491"/>
      <c r="G42" s="491"/>
    </row>
    <row r="43" spans="2:7">
      <c r="B43" s="205" t="s">
        <v>582</v>
      </c>
      <c r="C43" s="490">
        <f>C14</f>
        <v>0</v>
      </c>
      <c r="D43" s="490"/>
      <c r="E43" s="490"/>
      <c r="F43" s="490"/>
      <c r="G43" s="490"/>
    </row>
    <row r="44" spans="2:7">
      <c r="B44" s="205" t="s">
        <v>122</v>
      </c>
      <c r="C44" s="490">
        <f>(C41*C42)-C43</f>
        <v>0</v>
      </c>
      <c r="D44" s="490"/>
      <c r="E44" s="490"/>
      <c r="F44" s="490"/>
      <c r="G44" s="490"/>
    </row>
    <row r="45" spans="2:7">
      <c r="B45" s="214" t="s">
        <v>583</v>
      </c>
      <c r="C45" s="492" t="str">
        <f>IF(C44&lt;=0,"Case Not Eligible",(C44/(PMT(C3/12,C4,-100000)))*100000)</f>
        <v>Case Not Eligible</v>
      </c>
      <c r="D45" s="492"/>
      <c r="E45" s="492"/>
      <c r="F45" s="492"/>
      <c r="G45" s="492"/>
    </row>
    <row r="46" spans="2:7" ht="2.25" customHeight="1">
      <c r="B46" s="486"/>
      <c r="C46" s="487"/>
      <c r="D46" s="487"/>
      <c r="E46" s="487"/>
      <c r="F46" s="487"/>
      <c r="G46" s="488"/>
    </row>
    <row r="47" spans="2:7">
      <c r="B47" s="205" t="s">
        <v>124</v>
      </c>
      <c r="C47" s="493">
        <f>+C11</f>
        <v>0</v>
      </c>
      <c r="D47" s="493"/>
      <c r="E47" s="493"/>
      <c r="F47" s="493"/>
      <c r="G47" s="493"/>
    </row>
    <row r="48" spans="2:7">
      <c r="B48" s="205" t="s">
        <v>125</v>
      </c>
      <c r="C48" s="491">
        <f>IF(C6="LAP-Resi",70%,IF(C6="LAP-Resi (Vacant)",65%,IF(C6="LAP-Comm",60%,IF(C6="LAP-Comm (Vacant)",55%,IF(C6="Commerical Purchase",65%,IF(C6="Home Loan",80%,IF(C6="Industrial Property",50%,0)))))))</f>
        <v>0.8</v>
      </c>
      <c r="D48" s="491"/>
      <c r="E48" s="491"/>
      <c r="F48" s="491"/>
      <c r="G48" s="491"/>
    </row>
    <row r="49" spans="2:7">
      <c r="B49" s="214" t="s">
        <v>126</v>
      </c>
      <c r="C49" s="492" t="s">
        <v>584</v>
      </c>
      <c r="D49" s="492"/>
      <c r="E49" s="492"/>
      <c r="F49" s="492"/>
      <c r="G49" s="492"/>
    </row>
    <row r="50" spans="2:7" ht="2.25" customHeight="1">
      <c r="B50" s="486"/>
      <c r="C50" s="487"/>
      <c r="D50" s="487"/>
      <c r="E50" s="487"/>
      <c r="F50" s="487"/>
      <c r="G50" s="488"/>
    </row>
    <row r="51" spans="2:7">
      <c r="B51" s="214" t="s">
        <v>127</v>
      </c>
      <c r="C51" s="492" t="str">
        <f>IF(C45="Case Not Eligible","Case Not Eligible",IF(C49=0,MIN(C45,C2),MIN(C45,C49,C2)))</f>
        <v>Case Not Eligible</v>
      </c>
      <c r="D51" s="492"/>
      <c r="E51" s="492"/>
      <c r="F51" s="492"/>
      <c r="G51" s="492"/>
    </row>
    <row r="52" spans="2:7">
      <c r="B52" s="205" t="s">
        <v>128</v>
      </c>
      <c r="C52" s="493" t="str">
        <f>IF(C51="Case Not Eligible","Case Not Eligible",PMT(C3/12,C4,-C51))</f>
        <v>Case Not Eligible</v>
      </c>
      <c r="D52" s="493"/>
      <c r="E52" s="493"/>
      <c r="F52" s="493"/>
      <c r="G52" s="493"/>
    </row>
    <row r="53" spans="2:7" ht="2.25" customHeight="1">
      <c r="B53" s="486"/>
      <c r="C53" s="487"/>
      <c r="D53" s="487"/>
      <c r="E53" s="487"/>
      <c r="F53" s="487"/>
      <c r="G53" s="488"/>
    </row>
    <row r="54" spans="2:7">
      <c r="B54" s="205" t="s">
        <v>129</v>
      </c>
      <c r="C54" s="491" t="e">
        <f>SUM(PMT(C3/12,C4,-C2),C43)/C41</f>
        <v>#DIV/0!</v>
      </c>
      <c r="D54" s="491"/>
      <c r="E54" s="491"/>
      <c r="F54" s="491"/>
      <c r="G54" s="491"/>
    </row>
    <row r="55" spans="2:7">
      <c r="B55" s="205" t="s">
        <v>130</v>
      </c>
      <c r="C55" s="491" t="e">
        <f>C2/C47</f>
        <v>#DIV/0!</v>
      </c>
      <c r="D55" s="491"/>
      <c r="E55" s="491"/>
      <c r="F55" s="491"/>
      <c r="G55" s="491"/>
    </row>
    <row r="56" spans="2:7">
      <c r="C56" s="215"/>
      <c r="D56" s="215"/>
      <c r="E56" s="215"/>
      <c r="F56" s="215"/>
      <c r="G56" s="215"/>
    </row>
    <row r="57" spans="2:7" ht="12" customHeight="1">
      <c r="B57" s="216" t="s">
        <v>585</v>
      </c>
      <c r="C57" s="494" t="e">
        <f>IF(((SUM(F22:F25)-SUM(E22:E25))/SUM(E22:E25))&gt;=-20%,"No Deviation","Deviation Approval required")</f>
        <v>#DIV/0!</v>
      </c>
      <c r="D57" s="494"/>
      <c r="E57" s="494"/>
      <c r="F57" s="494"/>
      <c r="G57" s="494"/>
    </row>
    <row r="58" spans="2:7" ht="12" customHeight="1">
      <c r="B58" s="216" t="s">
        <v>586</v>
      </c>
      <c r="C58" s="494" t="e">
        <f>IF(C54-C42&gt;15%,"Deviation Approval required",IF(C54-C42&gt;10%,"Deviation Approval required",IF(C54-C42&gt;5%,"Deviation Approval required",IF(C54-C42&gt;0%,"Deviation Approval required","Within Policy Norms"))))</f>
        <v>#DIV/0!</v>
      </c>
      <c r="D58" s="494"/>
      <c r="E58" s="494"/>
      <c r="F58" s="494"/>
      <c r="G58" s="494"/>
    </row>
    <row r="59" spans="2:7" ht="12.75" customHeight="1">
      <c r="B59" s="216" t="s">
        <v>587</v>
      </c>
      <c r="C59" s="494" t="str">
        <f>IF(OR(C6="Home Loan",C6="Industrial Property"),"Deviation not allowed on LTV",IF((C55-C48)&lt;=0%,"Within Policy Norms",IF(C6="LAP-Resi (Vacant)","Deviation Approval required",IF(C6="LAP-Comm (Vacant)","Deviation Approval Required",IF((C55-C48)&lt;=2.5%,"Deviation Approval Required",IF((C55-C48)&lt;=5%,"Deviation Approval Required","Deviation Approval Required"))))))</f>
        <v>Deviation not allowed on LTV</v>
      </c>
      <c r="D59" s="494"/>
      <c r="E59" s="494"/>
      <c r="F59" s="494"/>
      <c r="G59" s="494"/>
    </row>
    <row r="60" spans="2:7" ht="12" customHeight="1">
      <c r="B60" s="216" t="s">
        <v>588</v>
      </c>
      <c r="C60" s="495" t="str">
        <f>IF(C2&gt;100000000,"Offering Under this Program for the Applied Loan Amount is Not Permitted"," No Deviation ")</f>
        <v xml:space="preserve"> No Deviation </v>
      </c>
      <c r="D60" s="496"/>
      <c r="E60" s="496"/>
      <c r="F60" s="496"/>
      <c r="G60" s="497"/>
    </row>
    <row r="61" spans="2:7" ht="12" customHeight="1"/>
  </sheetData>
  <sheetProtection algorithmName="SHA-512" hashValue="QEMgDWQycuZzQEi9CuQaVI2CW6RxXlptDPwIm3odmaho62voNNwSJzM39GEuSPH6Ff5xDQdAIzu6/hY6Cojq1A==" saltValue="eJH9wpNZP7gLf+Ffg8xfsg==" spinCount="100000" sheet="1" formatCells="0" formatColumns="0" formatRows="0" insertColumns="0" insertRows="0" autoFilter="0"/>
  <mergeCells count="42">
    <mergeCell ref="C60:G60"/>
    <mergeCell ref="G22:G25"/>
    <mergeCell ref="C54:G54"/>
    <mergeCell ref="C55:G55"/>
    <mergeCell ref="C57:G57"/>
    <mergeCell ref="C58:G58"/>
    <mergeCell ref="C59:G59"/>
    <mergeCell ref="C49:G49"/>
    <mergeCell ref="B50:G50"/>
    <mergeCell ref="C51:G51"/>
    <mergeCell ref="C52:G52"/>
    <mergeCell ref="B53:G53"/>
    <mergeCell ref="C44:G44"/>
    <mergeCell ref="C45:G45"/>
    <mergeCell ref="B46:G46"/>
    <mergeCell ref="C47:G47"/>
    <mergeCell ref="C48:G48"/>
    <mergeCell ref="B39:G39"/>
    <mergeCell ref="B40:G40"/>
    <mergeCell ref="C41:G41"/>
    <mergeCell ref="C42:G42"/>
    <mergeCell ref="C43:G43"/>
    <mergeCell ref="B26:G26"/>
    <mergeCell ref="B32:G32"/>
    <mergeCell ref="B33:G33"/>
    <mergeCell ref="B36:F36"/>
    <mergeCell ref="B37:G37"/>
    <mergeCell ref="C14:G14"/>
    <mergeCell ref="C15:G15"/>
    <mergeCell ref="B17:G17"/>
    <mergeCell ref="B19:G19"/>
    <mergeCell ref="B21:G21"/>
    <mergeCell ref="C8:G8"/>
    <mergeCell ref="C9:G9"/>
    <mergeCell ref="C10:G10"/>
    <mergeCell ref="C11:G11"/>
    <mergeCell ref="C13:G13"/>
    <mergeCell ref="C2:G2"/>
    <mergeCell ref="C3:G3"/>
    <mergeCell ref="C4:G4"/>
    <mergeCell ref="C6:G6"/>
    <mergeCell ref="C7:G7"/>
  </mergeCells>
  <dataValidations count="4">
    <dataValidation type="list" allowBlank="1" showInputMessage="1" showErrorMessage="1" error="Please select appropriate option" sqref="C6:G6">
      <formula1>"LAP-Resi,LAP-Resi (Vacant), LAP-Comm,LAP-Comm (Vacant), Commerical Purchase,Home Loan,Industrial Property"</formula1>
    </dataValidation>
    <dataValidation allowBlank="1" showInputMessage="1" showErrorMessage="1" sqref="E27:F31 E22:F25"/>
    <dataValidation allowBlank="1" showInputMessage="1" showErrorMessage="1" error="Please enter Value 1 and 2 " sqref="C10:G10"/>
    <dataValidation type="list" allowBlank="1" showInputMessage="1" showErrorMessage="1" sqref="D20 D22:D25 D27:D31 D34:D35">
      <formula1>"Monthly,Annual"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M64"/>
  <sheetViews>
    <sheetView tabSelected="1" topLeftCell="A46" workbookViewId="0">
      <selection activeCell="A13" sqref="A13:E64"/>
    </sheetView>
  </sheetViews>
  <sheetFormatPr defaultColWidth="9.140625" defaultRowHeight="12.75"/>
  <cols>
    <col min="1" max="1" width="64.5703125" style="44" customWidth="1"/>
    <col min="2" max="7" width="9.140625" style="44"/>
    <col min="8" max="8" width="37.85546875" style="44" customWidth="1"/>
    <col min="9" max="16384" width="9.140625" style="44"/>
  </cols>
  <sheetData>
    <row r="1" spans="1:13" s="1" customFormat="1">
      <c r="A1" s="45" t="s">
        <v>589</v>
      </c>
      <c r="B1" s="501" t="s">
        <v>2044</v>
      </c>
      <c r="C1" s="501"/>
      <c r="D1" s="501"/>
      <c r="E1" s="501"/>
      <c r="H1" s="502" t="s">
        <v>590</v>
      </c>
      <c r="I1" s="502"/>
      <c r="J1" s="502"/>
      <c r="K1" s="502"/>
      <c r="L1" s="502"/>
    </row>
    <row r="2" spans="1:13" s="1" customFormat="1">
      <c r="A2" s="45" t="s">
        <v>591</v>
      </c>
      <c r="B2" s="503">
        <v>43102</v>
      </c>
      <c r="C2" s="503"/>
      <c r="D2" s="503"/>
      <c r="E2" s="503"/>
      <c r="H2" s="171" t="s">
        <v>592</v>
      </c>
      <c r="I2" s="354" t="s">
        <v>593</v>
      </c>
      <c r="J2" s="354"/>
      <c r="K2" s="354" t="s">
        <v>594</v>
      </c>
      <c r="L2" s="354"/>
    </row>
    <row r="3" spans="1:13" s="1" customFormat="1">
      <c r="A3" s="45" t="s">
        <v>595</v>
      </c>
      <c r="B3" s="501" t="s">
        <v>17</v>
      </c>
      <c r="C3" s="501"/>
      <c r="D3" s="501"/>
      <c r="E3" s="501"/>
      <c r="H3" s="3" t="s">
        <v>596</v>
      </c>
      <c r="I3" s="504"/>
      <c r="J3" s="504"/>
      <c r="K3" s="505"/>
      <c r="L3" s="505"/>
    </row>
    <row r="4" spans="1:13" s="1" customFormat="1">
      <c r="A4" s="45" t="s">
        <v>597</v>
      </c>
      <c r="B4" s="501" t="s">
        <v>2045</v>
      </c>
      <c r="C4" s="501"/>
      <c r="D4" s="501"/>
      <c r="E4" s="501"/>
      <c r="H4" s="3" t="s">
        <v>598</v>
      </c>
      <c r="I4" s="504"/>
      <c r="J4" s="504"/>
      <c r="K4" s="505"/>
      <c r="L4" s="505"/>
    </row>
    <row r="5" spans="1:13" s="1" customFormat="1">
      <c r="A5" s="45" t="s">
        <v>599</v>
      </c>
      <c r="B5" s="501" t="s">
        <v>829</v>
      </c>
      <c r="C5" s="501"/>
      <c r="D5" s="501"/>
      <c r="E5" s="501"/>
      <c r="H5" s="3" t="s">
        <v>600</v>
      </c>
      <c r="I5" s="504"/>
      <c r="J5" s="504"/>
      <c r="K5" s="505"/>
      <c r="L5" s="505"/>
    </row>
    <row r="6" spans="1:13" s="1" customFormat="1">
      <c r="A6" s="45" t="s">
        <v>601</v>
      </c>
      <c r="B6" s="501"/>
      <c r="C6" s="501"/>
      <c r="D6" s="501"/>
      <c r="E6" s="501"/>
      <c r="H6" s="3" t="s">
        <v>602</v>
      </c>
      <c r="I6" s="504"/>
      <c r="J6" s="504"/>
      <c r="K6" s="505"/>
      <c r="L6" s="505"/>
    </row>
    <row r="7" spans="1:13" s="1" customFormat="1" ht="25.5">
      <c r="A7" s="45" t="s">
        <v>603</v>
      </c>
      <c r="B7" s="506"/>
      <c r="C7" s="506"/>
      <c r="D7" s="506"/>
      <c r="E7" s="506"/>
      <c r="H7" s="3" t="s">
        <v>604</v>
      </c>
      <c r="I7" s="504"/>
      <c r="J7" s="504"/>
      <c r="K7" s="505"/>
      <c r="L7" s="505"/>
      <c r="M7" s="1" t="s">
        <v>605</v>
      </c>
    </row>
    <row r="8" spans="1:13" s="1" customFormat="1">
      <c r="A8" s="45" t="s">
        <v>606</v>
      </c>
      <c r="B8" s="506" t="s">
        <v>2046</v>
      </c>
      <c r="C8" s="506"/>
      <c r="D8" s="506"/>
      <c r="E8" s="506"/>
      <c r="H8" s="3" t="s">
        <v>607</v>
      </c>
      <c r="I8" s="504"/>
      <c r="J8" s="504"/>
      <c r="K8" s="505"/>
      <c r="L8" s="505"/>
    </row>
    <row r="9" spans="1:13" s="1" customFormat="1">
      <c r="A9" s="45" t="s">
        <v>608</v>
      </c>
      <c r="B9" s="507" t="s">
        <v>2047</v>
      </c>
      <c r="C9" s="507"/>
      <c r="D9" s="507"/>
      <c r="E9" s="507"/>
      <c r="H9" s="3" t="s">
        <v>609</v>
      </c>
      <c r="I9" s="504"/>
      <c r="J9" s="504"/>
      <c r="K9" s="505"/>
      <c r="L9" s="505"/>
    </row>
    <row r="10" spans="1:13" s="1" customFormat="1">
      <c r="A10" s="45" t="s">
        <v>610</v>
      </c>
      <c r="B10" s="507" t="s">
        <v>2048</v>
      </c>
      <c r="C10" s="507"/>
      <c r="D10" s="507"/>
      <c r="E10" s="507"/>
      <c r="H10" s="3" t="s">
        <v>611</v>
      </c>
      <c r="I10" s="504"/>
      <c r="J10" s="504"/>
      <c r="K10" s="505"/>
      <c r="L10" s="505"/>
    </row>
    <row r="11" spans="1:13" s="1" customFormat="1">
      <c r="A11" s="45" t="s">
        <v>612</v>
      </c>
      <c r="B11" s="507" t="s">
        <v>2049</v>
      </c>
      <c r="C11" s="507"/>
      <c r="D11" s="507"/>
      <c r="E11" s="507"/>
      <c r="H11" s="171" t="s">
        <v>613</v>
      </c>
      <c r="I11" s="354" t="s">
        <v>614</v>
      </c>
      <c r="J11" s="354"/>
      <c r="K11" s="354" t="s">
        <v>75</v>
      </c>
      <c r="L11" s="354"/>
    </row>
    <row r="12" spans="1:13" s="1" customFormat="1">
      <c r="H12" s="3" t="s">
        <v>615</v>
      </c>
      <c r="I12" s="420"/>
      <c r="J12" s="420"/>
      <c r="K12" s="505"/>
      <c r="L12" s="505"/>
    </row>
    <row r="13" spans="1:13" s="1" customFormat="1" ht="38.25">
      <c r="A13" s="2" t="s">
        <v>616</v>
      </c>
      <c r="B13" s="2" t="s">
        <v>617</v>
      </c>
      <c r="C13" s="2" t="s">
        <v>618</v>
      </c>
      <c r="D13" s="2" t="s">
        <v>619</v>
      </c>
      <c r="E13" s="2" t="s">
        <v>91</v>
      </c>
      <c r="H13" s="3"/>
      <c r="I13" s="420"/>
      <c r="J13" s="420"/>
      <c r="K13" s="505"/>
      <c r="L13" s="505"/>
    </row>
    <row r="14" spans="1:13" s="1" customFormat="1">
      <c r="A14" s="3" t="s">
        <v>620</v>
      </c>
      <c r="B14" s="195"/>
      <c r="C14" s="195"/>
      <c r="D14" s="196"/>
      <c r="E14" s="196">
        <v>100000</v>
      </c>
      <c r="H14" s="3" t="s">
        <v>621</v>
      </c>
      <c r="I14" s="420"/>
      <c r="J14" s="420"/>
      <c r="K14" s="505"/>
      <c r="L14" s="505"/>
    </row>
    <row r="15" spans="1:13" s="1" customFormat="1" ht="25.5">
      <c r="A15" s="3"/>
      <c r="B15" s="195"/>
      <c r="C15" s="195"/>
      <c r="D15" s="196"/>
      <c r="E15" s="196"/>
      <c r="H15" s="3" t="s">
        <v>622</v>
      </c>
      <c r="I15" s="420"/>
      <c r="J15" s="420"/>
      <c r="K15" s="420"/>
      <c r="L15" s="420"/>
    </row>
    <row r="16" spans="1:13" s="1" customFormat="1">
      <c r="A16" s="171" t="s">
        <v>623</v>
      </c>
      <c r="B16" s="147"/>
      <c r="C16" s="147"/>
      <c r="D16" s="197"/>
      <c r="E16" s="197">
        <f>SUM(E14:E15)</f>
        <v>100000</v>
      </c>
      <c r="H16" s="3" t="s">
        <v>624</v>
      </c>
      <c r="I16" s="420"/>
      <c r="J16" s="420"/>
      <c r="K16" s="420"/>
      <c r="L16" s="420"/>
    </row>
    <row r="17" spans="1:12" s="1" customFormat="1">
      <c r="A17" s="171" t="s">
        <v>625</v>
      </c>
      <c r="B17" s="195"/>
      <c r="C17" s="195"/>
      <c r="D17" s="196"/>
      <c r="E17" s="196"/>
      <c r="H17" s="3" t="s">
        <v>626</v>
      </c>
      <c r="I17" s="420"/>
      <c r="J17" s="420"/>
      <c r="K17" s="420"/>
      <c r="L17" s="420"/>
    </row>
    <row r="18" spans="1:12" s="1" customFormat="1" ht="38.25">
      <c r="A18" s="3" t="s">
        <v>627</v>
      </c>
      <c r="B18" s="195"/>
      <c r="C18" s="195"/>
      <c r="D18" s="196"/>
      <c r="E18" s="196">
        <v>20000</v>
      </c>
      <c r="H18" s="3" t="s">
        <v>628</v>
      </c>
      <c r="I18" s="420" t="s">
        <v>629</v>
      </c>
      <c r="J18" s="420"/>
      <c r="K18" s="420"/>
      <c r="L18" s="420"/>
    </row>
    <row r="19" spans="1:12" s="1" customFormat="1">
      <c r="A19" s="3" t="s">
        <v>630</v>
      </c>
      <c r="B19" s="195"/>
      <c r="C19" s="195"/>
      <c r="D19" s="196"/>
      <c r="E19" s="196"/>
      <c r="H19" s="3" t="s">
        <v>631</v>
      </c>
      <c r="I19" s="366" t="s">
        <v>632</v>
      </c>
      <c r="J19" s="366"/>
      <c r="K19" s="366" t="s">
        <v>633</v>
      </c>
      <c r="L19" s="366"/>
    </row>
    <row r="20" spans="1:12" s="1" customFormat="1">
      <c r="A20" s="3" t="s">
        <v>634</v>
      </c>
      <c r="B20" s="195"/>
      <c r="C20" s="195"/>
      <c r="D20" s="196"/>
      <c r="E20" s="196"/>
      <c r="H20" s="3" t="s">
        <v>635</v>
      </c>
      <c r="I20" s="195"/>
      <c r="J20" s="195"/>
      <c r="K20" s="195"/>
      <c r="L20" s="195"/>
    </row>
    <row r="21" spans="1:12" s="1" customFormat="1">
      <c r="A21" s="3" t="s">
        <v>636</v>
      </c>
      <c r="B21" s="195"/>
      <c r="C21" s="195"/>
      <c r="D21" s="196"/>
      <c r="E21" s="196"/>
      <c r="H21" s="3" t="s">
        <v>637</v>
      </c>
      <c r="I21" s="195"/>
      <c r="J21" s="195"/>
      <c r="K21" s="195"/>
      <c r="L21" s="195"/>
    </row>
    <row r="22" spans="1:12" s="1" customFormat="1">
      <c r="A22" s="3" t="s">
        <v>638</v>
      </c>
      <c r="B22" s="195"/>
      <c r="C22" s="195"/>
      <c r="D22" s="196"/>
      <c r="E22" s="196"/>
    </row>
    <row r="23" spans="1:12" s="1" customFormat="1">
      <c r="A23" s="3" t="s">
        <v>639</v>
      </c>
      <c r="B23" s="195"/>
      <c r="C23" s="195"/>
      <c r="D23" s="196"/>
      <c r="E23" s="196"/>
    </row>
    <row r="24" spans="1:12" s="1" customFormat="1">
      <c r="A24" s="3" t="s">
        <v>640</v>
      </c>
      <c r="B24" s="195"/>
      <c r="C24" s="195"/>
      <c r="D24" s="196"/>
      <c r="E24" s="196"/>
    </row>
    <row r="25" spans="1:12" s="1" customFormat="1">
      <c r="A25" s="3" t="s">
        <v>641</v>
      </c>
      <c r="B25" s="195"/>
      <c r="C25" s="195"/>
      <c r="D25" s="196"/>
      <c r="E25" s="196"/>
    </row>
    <row r="26" spans="1:12" s="1" customFormat="1">
      <c r="A26" s="3" t="s">
        <v>642</v>
      </c>
      <c r="B26" s="195"/>
      <c r="C26" s="195"/>
      <c r="D26" s="196"/>
      <c r="E26" s="196"/>
    </row>
    <row r="27" spans="1:12" s="1" customFormat="1">
      <c r="A27" s="3" t="s">
        <v>643</v>
      </c>
      <c r="B27" s="195"/>
      <c r="C27" s="195"/>
      <c r="D27" s="196"/>
      <c r="E27" s="196"/>
    </row>
    <row r="28" spans="1:12" s="1" customFormat="1">
      <c r="A28" s="3" t="s">
        <v>644</v>
      </c>
      <c r="B28" s="195"/>
      <c r="C28" s="195"/>
      <c r="D28" s="196"/>
      <c r="E28" s="196"/>
    </row>
    <row r="29" spans="1:12" s="1" customFormat="1">
      <c r="A29" s="3" t="s">
        <v>645</v>
      </c>
      <c r="B29" s="195"/>
      <c r="C29" s="195"/>
      <c r="D29" s="196"/>
      <c r="E29" s="196">
        <v>20000</v>
      </c>
    </row>
    <row r="30" spans="1:12" s="1" customFormat="1">
      <c r="A30" s="171" t="s">
        <v>646</v>
      </c>
      <c r="B30" s="147"/>
      <c r="C30" s="147"/>
      <c r="D30" s="197"/>
      <c r="E30" s="197">
        <f>SUM(E18:E29)</f>
        <v>40000</v>
      </c>
    </row>
    <row r="31" spans="1:12" s="1" customFormat="1">
      <c r="A31" s="171" t="s">
        <v>647</v>
      </c>
      <c r="B31" s="198"/>
      <c r="C31" s="198"/>
      <c r="D31" s="199"/>
      <c r="E31" s="199">
        <f>E16-E30</f>
        <v>60000</v>
      </c>
    </row>
    <row r="32" spans="1:12" s="1" customFormat="1">
      <c r="A32" s="354" t="s">
        <v>648</v>
      </c>
      <c r="B32" s="354"/>
      <c r="C32" s="354"/>
      <c r="D32" s="354"/>
      <c r="E32" s="354"/>
    </row>
    <row r="33" spans="1:5" s="1" customFormat="1">
      <c r="A33" s="502" t="s">
        <v>649</v>
      </c>
      <c r="B33" s="502"/>
      <c r="C33" s="502" t="s">
        <v>650</v>
      </c>
      <c r="D33" s="502"/>
      <c r="E33" s="171" t="s">
        <v>594</v>
      </c>
    </row>
    <row r="34" spans="1:5" s="1" customFormat="1">
      <c r="A34" s="366" t="s">
        <v>651</v>
      </c>
      <c r="B34" s="366"/>
      <c r="C34" s="420"/>
      <c r="D34" s="420"/>
      <c r="E34" s="196"/>
    </row>
    <row r="35" spans="1:5" s="1" customFormat="1">
      <c r="A35" s="366" t="s">
        <v>652</v>
      </c>
      <c r="B35" s="366"/>
      <c r="C35" s="420"/>
      <c r="D35" s="420"/>
      <c r="E35" s="196"/>
    </row>
    <row r="36" spans="1:5" s="1" customFormat="1">
      <c r="A36" s="366" t="s">
        <v>653</v>
      </c>
      <c r="B36" s="366"/>
      <c r="C36" s="420"/>
      <c r="D36" s="420"/>
      <c r="E36" s="196"/>
    </row>
    <row r="37" spans="1:5" s="1" customFormat="1">
      <c r="A37" s="366" t="s">
        <v>654</v>
      </c>
      <c r="B37" s="366"/>
      <c r="C37" s="420"/>
      <c r="D37" s="420"/>
      <c r="E37" s="196"/>
    </row>
    <row r="38" spans="1:5" s="1" customFormat="1">
      <c r="A38" s="366" t="s">
        <v>184</v>
      </c>
      <c r="B38" s="366"/>
      <c r="C38" s="420"/>
      <c r="D38" s="420"/>
      <c r="E38" s="196"/>
    </row>
    <row r="39" spans="1:5" s="1" customFormat="1">
      <c r="A39" s="354" t="s">
        <v>655</v>
      </c>
      <c r="B39" s="354"/>
      <c r="C39" s="354"/>
      <c r="D39" s="354"/>
      <c r="E39" s="354"/>
    </row>
    <row r="40" spans="1:5" s="1" customFormat="1">
      <c r="A40" s="502" t="s">
        <v>656</v>
      </c>
      <c r="B40" s="502"/>
      <c r="C40" s="502" t="s">
        <v>650</v>
      </c>
      <c r="D40" s="502"/>
      <c r="E40" s="171" t="s">
        <v>594</v>
      </c>
    </row>
    <row r="41" spans="1:5" s="1" customFormat="1">
      <c r="A41" s="366"/>
      <c r="B41" s="366"/>
      <c r="C41" s="420"/>
      <c r="D41" s="420"/>
      <c r="E41" s="196"/>
    </row>
    <row r="42" spans="1:5" s="1" customFormat="1">
      <c r="A42" s="366"/>
      <c r="B42" s="366"/>
      <c r="C42" s="420"/>
      <c r="D42" s="420"/>
      <c r="E42" s="196"/>
    </row>
    <row r="43" spans="1:5" s="1" customFormat="1">
      <c r="A43" s="366"/>
      <c r="B43" s="366"/>
      <c r="C43" s="420"/>
      <c r="D43" s="420"/>
      <c r="E43" s="196"/>
    </row>
    <row r="44" spans="1:5" s="1" customFormat="1">
      <c r="A44" s="502" t="s">
        <v>657</v>
      </c>
      <c r="B44" s="502"/>
      <c r="C44" s="508">
        <f>SUM(E34:E38)+SUM(E41:E43)</f>
        <v>0</v>
      </c>
      <c r="D44" s="508"/>
      <c r="E44" s="508"/>
    </row>
    <row r="45" spans="1:5" s="1" customFormat="1">
      <c r="A45" s="502" t="s">
        <v>658</v>
      </c>
      <c r="B45" s="502"/>
      <c r="C45" s="509">
        <f>E31+C44</f>
        <v>60000</v>
      </c>
      <c r="D45" s="509"/>
      <c r="E45" s="509"/>
    </row>
    <row r="46" spans="1:5" s="1" customFormat="1">
      <c r="A46" s="354" t="s">
        <v>659</v>
      </c>
      <c r="B46" s="354"/>
      <c r="C46" s="354" t="s">
        <v>91</v>
      </c>
      <c r="D46" s="354"/>
      <c r="E46" s="354"/>
    </row>
    <row r="47" spans="1:5" s="1" customFormat="1">
      <c r="A47" s="510" t="s">
        <v>660</v>
      </c>
      <c r="B47" s="510"/>
      <c r="C47" s="511"/>
      <c r="D47" s="511"/>
      <c r="E47" s="511"/>
    </row>
    <row r="48" spans="1:5" s="1" customFormat="1">
      <c r="A48" s="510" t="s">
        <v>661</v>
      </c>
      <c r="B48" s="510"/>
      <c r="C48" s="511"/>
      <c r="D48" s="511"/>
      <c r="E48" s="511"/>
    </row>
    <row r="49" spans="1:8" s="1" customFormat="1">
      <c r="A49" s="510" t="s">
        <v>662</v>
      </c>
      <c r="B49" s="510"/>
      <c r="C49" s="511"/>
      <c r="D49" s="511"/>
      <c r="E49" s="511"/>
    </row>
    <row r="50" spans="1:8" s="1" customFormat="1">
      <c r="A50" s="510" t="s">
        <v>663</v>
      </c>
      <c r="B50" s="510"/>
      <c r="C50" s="511"/>
      <c r="D50" s="511"/>
      <c r="E50" s="511"/>
    </row>
    <row r="51" spans="1:8" s="1" customFormat="1">
      <c r="A51" s="510" t="s">
        <v>664</v>
      </c>
      <c r="B51" s="510"/>
      <c r="C51" s="511"/>
      <c r="D51" s="511"/>
      <c r="E51" s="511"/>
    </row>
    <row r="52" spans="1:8" s="1" customFormat="1">
      <c r="A52" s="510" t="s">
        <v>665</v>
      </c>
      <c r="B52" s="510"/>
      <c r="C52" s="511"/>
      <c r="D52" s="511"/>
      <c r="E52" s="511"/>
    </row>
    <row r="53" spans="1:8" s="1" customFormat="1">
      <c r="A53" s="510" t="s">
        <v>666</v>
      </c>
      <c r="B53" s="510"/>
      <c r="C53" s="511"/>
      <c r="D53" s="511"/>
      <c r="E53" s="511"/>
    </row>
    <row r="54" spans="1:8" s="1" customFormat="1">
      <c r="A54" s="510" t="s">
        <v>667</v>
      </c>
      <c r="B54" s="510"/>
      <c r="C54" s="511"/>
      <c r="D54" s="511"/>
      <c r="E54" s="511"/>
    </row>
    <row r="55" spans="1:8" s="1" customFormat="1">
      <c r="A55" s="510" t="s">
        <v>668</v>
      </c>
      <c r="B55" s="510"/>
      <c r="C55" s="511"/>
      <c r="D55" s="511"/>
      <c r="E55" s="511"/>
    </row>
    <row r="56" spans="1:8" s="1" customFormat="1">
      <c r="A56" s="510" t="s">
        <v>669</v>
      </c>
      <c r="B56" s="510"/>
      <c r="C56" s="511"/>
      <c r="D56" s="511"/>
      <c r="E56" s="511"/>
    </row>
    <row r="57" spans="1:8" s="1" customFormat="1">
      <c r="A57" s="354" t="s">
        <v>670</v>
      </c>
      <c r="B57" s="354"/>
      <c r="C57" s="512">
        <f>SUM(C47:E56)</f>
        <v>0</v>
      </c>
      <c r="D57" s="512"/>
      <c r="E57" s="512"/>
    </row>
    <row r="58" spans="1:8" s="1" customFormat="1">
      <c r="A58" s="513" t="s">
        <v>671</v>
      </c>
      <c r="B58" s="513"/>
      <c r="C58" s="514">
        <f>C45-C57</f>
        <v>60000</v>
      </c>
      <c r="D58" s="514"/>
      <c r="E58" s="514"/>
    </row>
    <row r="59" spans="1:8" s="1" customFormat="1"/>
    <row r="60" spans="1:8" s="1" customFormat="1"/>
    <row r="61" spans="1:8" s="1" customFormat="1">
      <c r="A61" s="515" t="s">
        <v>672</v>
      </c>
      <c r="B61" s="515"/>
      <c r="C61" s="516">
        <f>IFERROR(((C58+C55)*60%-C55)/PMT(BasicInput!$F$27/12,BasicInput!$E$27,-100000),0)*100000</f>
        <v>3269498.9885388566</v>
      </c>
      <c r="D61" s="516"/>
      <c r="E61" s="516"/>
    </row>
    <row r="62" spans="1:8" s="1" customFormat="1">
      <c r="A62" s="515" t="s">
        <v>673</v>
      </c>
      <c r="B62" s="515"/>
      <c r="C62" s="516">
        <f>BasicInput!D27</f>
        <v>3000000</v>
      </c>
      <c r="D62" s="516"/>
      <c r="E62" s="516"/>
    </row>
    <row r="63" spans="1:8" s="1" customFormat="1">
      <c r="A63" s="515" t="s">
        <v>674</v>
      </c>
      <c r="B63" s="515"/>
      <c r="C63" s="516">
        <f>BasicInput!G27</f>
        <v>33033</v>
      </c>
      <c r="D63" s="516"/>
      <c r="E63" s="516"/>
    </row>
    <row r="64" spans="1:8" s="1" customFormat="1">
      <c r="A64" s="515" t="s">
        <v>675</v>
      </c>
      <c r="B64" s="515"/>
      <c r="C64" s="517">
        <f>IFERROR((C63+C55)/(C58+C55),0)</f>
        <v>0.55054999999999998</v>
      </c>
      <c r="D64" s="517"/>
      <c r="E64" s="517"/>
      <c r="F64" s="518" t="str">
        <f>IF(C63&gt;C61,"Deviation approval required","")</f>
        <v/>
      </c>
      <c r="G64" s="519"/>
      <c r="H64" s="519"/>
    </row>
  </sheetData>
  <sheetProtection algorithmName="SHA-512" hashValue="RFo8X0giRyUtqrthiQASE7+qAmxewxmAFbkBBwih00d7f1Hpzeqe6nfhQye8sRTGG2FE5ZYjQU/o2IS9OAsiyA==" saltValue="+mkLMVaIVgEPYcSeX2TTCw==" spinCount="100000" sheet="1" formatCells="0" formatColumns="0" formatRows="0" insertColumns="0" insertRows="0" autoFilter="0"/>
  <mergeCells count="105">
    <mergeCell ref="A61:B61"/>
    <mergeCell ref="C61:E61"/>
    <mergeCell ref="A62:B62"/>
    <mergeCell ref="C62:E62"/>
    <mergeCell ref="A63:B63"/>
    <mergeCell ref="C63:E63"/>
    <mergeCell ref="A64:B64"/>
    <mergeCell ref="C64:E64"/>
    <mergeCell ref="F64:H64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39:E39"/>
    <mergeCell ref="A40:B40"/>
    <mergeCell ref="C40:D40"/>
    <mergeCell ref="A41:B41"/>
    <mergeCell ref="C41:D41"/>
    <mergeCell ref="A42:B42"/>
    <mergeCell ref="C42:D42"/>
    <mergeCell ref="A43:B43"/>
    <mergeCell ref="C43:D4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I15:L15"/>
    <mergeCell ref="I16:L16"/>
    <mergeCell ref="I17:L17"/>
    <mergeCell ref="I18:L18"/>
    <mergeCell ref="I19:J19"/>
    <mergeCell ref="K19:L19"/>
    <mergeCell ref="A32:E32"/>
    <mergeCell ref="A33:B33"/>
    <mergeCell ref="C33:D33"/>
    <mergeCell ref="B11:E11"/>
    <mergeCell ref="I11:J11"/>
    <mergeCell ref="K11:L11"/>
    <mergeCell ref="I12:J12"/>
    <mergeCell ref="K12:L12"/>
    <mergeCell ref="I13:J13"/>
    <mergeCell ref="K13:L13"/>
    <mergeCell ref="I14:J14"/>
    <mergeCell ref="K14:L14"/>
    <mergeCell ref="B8:E8"/>
    <mergeCell ref="I8:J8"/>
    <mergeCell ref="K8:L8"/>
    <mergeCell ref="B9:E9"/>
    <mergeCell ref="I9:J9"/>
    <mergeCell ref="K9:L9"/>
    <mergeCell ref="B10:E10"/>
    <mergeCell ref="I10:J10"/>
    <mergeCell ref="K10:L10"/>
    <mergeCell ref="B5:E5"/>
    <mergeCell ref="I5:J5"/>
    <mergeCell ref="K5:L5"/>
    <mergeCell ref="B6:E6"/>
    <mergeCell ref="I6:J6"/>
    <mergeCell ref="K6:L6"/>
    <mergeCell ref="B7:E7"/>
    <mergeCell ref="I7:J7"/>
    <mergeCell ref="K7:L7"/>
    <mergeCell ref="B1:E1"/>
    <mergeCell ref="H1:L1"/>
    <mergeCell ref="B2:E2"/>
    <mergeCell ref="I2:J2"/>
    <mergeCell ref="K2:L2"/>
    <mergeCell ref="B3:E3"/>
    <mergeCell ref="I3:J3"/>
    <mergeCell ref="K3:L3"/>
    <mergeCell ref="B4:E4"/>
    <mergeCell ref="I4:J4"/>
    <mergeCell ref="K4:L4"/>
  </mergeCells>
  <dataValidations count="6">
    <dataValidation type="list" allowBlank="1" showInputMessage="1" showErrorMessage="1" sqref="B11:E11">
      <formula1>"Seasonal, Non - Seasonal"</formula1>
    </dataValidation>
    <dataValidation type="list" allowBlank="1" showInputMessage="1" showErrorMessage="1" sqref="B8:E8">
      <formula1>"Permanent Structure, Temporary structure, Asbestos sheet shaded structure, Open Area, Resi-cum-Office Setup  "</formula1>
    </dataValidation>
    <dataValidation type="list" allowBlank="1" showInputMessage="1" showErrorMessage="1" sqref="B10:E10">
      <formula1>"Intensive, Moderate, Low, Not Observed"</formula1>
    </dataValidation>
    <dataValidation type="list" allowBlank="1" showInputMessage="1" showErrorMessage="1" sqref="B9:E9">
      <formula1>"Self-Owned, Shared, Rented, Family Owned            "</formula1>
    </dataValidation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P42"/>
  <sheetViews>
    <sheetView topLeftCell="B1" workbookViewId="0">
      <selection activeCell="B7" sqref="B7:E7"/>
    </sheetView>
  </sheetViews>
  <sheetFormatPr defaultColWidth="0" defaultRowHeight="12.75" zeroHeight="1"/>
  <cols>
    <col min="1" max="1" width="21.42578125" style="176" customWidth="1"/>
    <col min="2" max="2" width="22.5703125" style="177" customWidth="1"/>
    <col min="3" max="3" width="18" style="177" customWidth="1"/>
    <col min="4" max="4" width="15.28515625" style="177" customWidth="1"/>
    <col min="5" max="5" width="14.5703125" style="177" customWidth="1"/>
    <col min="6" max="6" width="21.85546875" style="177" customWidth="1"/>
    <col min="7" max="7" width="11.7109375" style="176" customWidth="1"/>
    <col min="8" max="8" width="12.85546875" style="177" customWidth="1"/>
    <col min="9" max="9" width="11.85546875" style="177" customWidth="1"/>
    <col min="10" max="10" width="18" style="177" customWidth="1"/>
    <col min="11" max="11" width="12.140625" style="177" customWidth="1"/>
    <col min="12" max="12" width="10.42578125" style="177" customWidth="1"/>
    <col min="13" max="13" width="14.5703125" style="177" customWidth="1"/>
    <col min="14" max="14" width="12.7109375" style="177" customWidth="1"/>
    <col min="15" max="15" width="14" style="177" customWidth="1"/>
    <col min="16" max="16" width="9.140625" style="177" customWidth="1"/>
    <col min="17" max="16384" width="9.140625" style="177" hidden="1"/>
  </cols>
  <sheetData>
    <row r="1" spans="1:15" ht="15">
      <c r="A1" s="520" t="s">
        <v>676</v>
      </c>
      <c r="B1" s="520"/>
      <c r="C1" s="520"/>
      <c r="D1" s="520"/>
      <c r="E1" s="520"/>
      <c r="F1" s="520"/>
      <c r="G1" s="520"/>
      <c r="H1" s="178" t="str">
        <f>CONCATENATE(Validation!$A$50,"_",BasicInput!$H$28,"_",BasicInput!$F$40)</f>
        <v>CA Assessment_HL_</v>
      </c>
    </row>
    <row r="2" spans="1:15">
      <c r="A2" s="179"/>
      <c r="B2" s="179"/>
      <c r="C2" s="179"/>
    </row>
    <row r="3" spans="1:15" ht="63.7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680</v>
      </c>
      <c r="F3" s="10" t="s">
        <v>681</v>
      </c>
      <c r="G3" s="10" t="s">
        <v>682</v>
      </c>
      <c r="H3" s="10" t="s">
        <v>683</v>
      </c>
      <c r="I3" s="10" t="s">
        <v>684</v>
      </c>
      <c r="J3" s="10" t="s">
        <v>685</v>
      </c>
      <c r="K3" s="10" t="s">
        <v>686</v>
      </c>
      <c r="L3" s="10" t="s">
        <v>687</v>
      </c>
      <c r="M3" s="10" t="s">
        <v>688</v>
      </c>
      <c r="N3" s="10" t="s">
        <v>689</v>
      </c>
      <c r="O3" s="10" t="s">
        <v>690</v>
      </c>
    </row>
    <row r="4" spans="1:15" ht="63.75">
      <c r="A4" s="7">
        <v>1</v>
      </c>
      <c r="B4" s="3" t="str">
        <f>IF(BasicInput!$C$1="Prime",IF(Prime1!$B$1="","",Prime1!$B$1),IF(Afford1!$B$1="","",Afford1!$B$1))</f>
        <v>KANHAIYA BHARTI</v>
      </c>
      <c r="C4" s="3" t="str">
        <f>IF(BasicInput!$C$1="Prime",IF(Prime1!$B$5="","",Prime1!$B$5),IF(Afford1!$B$5="","",Afford1!$B$5))</f>
        <v>Services</v>
      </c>
      <c r="D4" s="3" t="str">
        <f>IF(BasicInput!$C$1="Prime",IF(Prime1!$B$6="","",Prime1!$B$6),IF(Afford1!$B$6="","",Afford1!$B$6))</f>
        <v>Others - Industries not classified elsewhere (Services)</v>
      </c>
      <c r="E4" s="191">
        <f>IF(BasicInput!$C$1="Prime",(Prime1!$C$27-Prime1!$C$25-Prime1!$C$24-Prime1!$C$18),(Afford1!$C$17))</f>
        <v>0</v>
      </c>
      <c r="F4" s="180">
        <f>IF(BasicInput!$C$1="Prime",(Prime1!$C$49-Prime1!$C$25-Prime1!$C$24-Prime1!$C$18-Prime1!$C$34),(Afford1!$C$35-Afford1!$C$18))</f>
        <v>0</v>
      </c>
      <c r="G4" s="180">
        <f>IF(BasicInput!$C$1="Prime",Prime1!$C$48,0)</f>
        <v>0</v>
      </c>
      <c r="H4" s="180">
        <f>IF(BasicInput!$C$1="Prime",Prime1!$C$46,0)</f>
        <v>0</v>
      </c>
      <c r="I4" s="180">
        <f>IF(BasicInput!$C$1="Prime",Prime1!$C$39,Afford1!$C$29)</f>
        <v>0</v>
      </c>
      <c r="J4" s="183">
        <f>SUM(F4:I4)</f>
        <v>0</v>
      </c>
      <c r="K4" s="184"/>
      <c r="L4" s="192">
        <f>IF(BasicInput!$C$1="Prime",IF(Prime1!$B$9="","",Prime1!$B$9),IF(Afford1!$B$9="","",Afford1!$B$9))</f>
        <v>1</v>
      </c>
      <c r="M4" s="193"/>
      <c r="N4" s="193"/>
      <c r="O4" s="183">
        <f>IF(K4="Yes",MIN(J4*L4*3.5,N4),0)</f>
        <v>0</v>
      </c>
    </row>
    <row r="5" spans="1:15" ht="63.75">
      <c r="A5" s="7">
        <v>2</v>
      </c>
      <c r="B5" s="3" t="str">
        <f>IF(BasicInput!$C$1="Prime",IF(Prime2!$B$1="","",Prime2!$B$1),IF(Afford2!$B$1="","",Afford2!$B$1))</f>
        <v>SANDHYA BHARTI</v>
      </c>
      <c r="C5" s="3" t="str">
        <f>IF(BasicInput!$C$1="Prime",IF(Prime2!$B$5="","",Prime2!$B$5),IF(Afford2!$B$5="","",Afford2!$B$5))</f>
        <v>Services</v>
      </c>
      <c r="D5" s="3" t="str">
        <f>IF(BasicInput!$C$1="Prime",IF(Prime2!$B$6="","",Prime2!$B$6),IF(Afford2!$B$6="","",Afford2!$B$6))</f>
        <v>Others - Industries not classified elsewhere (Services)</v>
      </c>
      <c r="E5" s="191">
        <f>IF(BasicInput!$C$1="Prime",(Prime2!$C$27-Prime2!$C$25-Prime2!$C$24-Prime2!$C$18),(Afford2!$C$17))</f>
        <v>0</v>
      </c>
      <c r="F5" s="180">
        <f>IF(BasicInput!$C$1="Prime",(Prime2!$C$49-Prime2!$C$25-Prime2!$C$24-Prime2!$C$18-Prime2!$C$34),(Afford2!$C$35-Afford2!$C$18))</f>
        <v>0</v>
      </c>
      <c r="G5" s="180">
        <f>IF(BasicInput!$C$1="Prime",Prime2!$C$48,0)</f>
        <v>0</v>
      </c>
      <c r="H5" s="180">
        <f>IF(BasicInput!$C$1="Prime",Prime2!$C$46,0)</f>
        <v>0</v>
      </c>
      <c r="I5" s="180">
        <f>IF(BasicInput!$C$1="Prime",Prime2!$C$39,Afford2!$C$29)</f>
        <v>0</v>
      </c>
      <c r="J5" s="183">
        <f t="shared" ref="J5:J13" si="0">SUM(F5:I5)</f>
        <v>0</v>
      </c>
      <c r="K5" s="184"/>
      <c r="L5" s="192">
        <f>IF(BasicInput!$C$1="Prime",IF(Prime2!$B$9="","",Prime2!$B$9),IF(Afford2!$B$9="","",Afford2!$B$9))</f>
        <v>1</v>
      </c>
      <c r="M5" s="193"/>
      <c r="N5" s="193"/>
      <c r="O5" s="183">
        <f t="shared" ref="O5:O13" si="1">IF(K5="Yes",MIN(J5*L5*3.5,N5),0)</f>
        <v>0</v>
      </c>
    </row>
    <row r="6" spans="1:15" ht="63.75">
      <c r="A6" s="7">
        <v>3</v>
      </c>
      <c r="B6" s="3" t="str">
        <f>IF(BasicInput!$C$1="Prime",IF(Prime3!$B$1="","",Prime3!$B$1),IF(Afford3!$B$1="","",Afford3!$B$1))</f>
        <v/>
      </c>
      <c r="C6" s="3" t="str">
        <f>IF(BasicInput!$C$1="Prime",IF(Prime3!$B$5="","",Prime3!$B$5),IF(Afford3!$B$5="","",Afford3!$B$5))</f>
        <v>Services</v>
      </c>
      <c r="D6" s="3" t="str">
        <f>IF(BasicInput!$C$1="Prime",IF(Prime3!$B$6="","",Prime3!$B$6),IF(Afford3!$B$6="","",Afford3!$B$6))</f>
        <v>Others - Industries not classified elsewhere (Services)</v>
      </c>
      <c r="E6" s="191">
        <f>IF(BasicInput!$C$1="Prime",(Prime3!$C$27-Prime3!$C$25-Prime3!$C$24-Prime3!$C$18),(Afford3!$C$17))</f>
        <v>0</v>
      </c>
      <c r="F6" s="180">
        <f>IF(BasicInput!$C$1="Prime",(Prime3!$C$49-Prime3!$C$25-Prime3!$C$24-Prime3!$C$18-Prime3!$C$34),(Afford3!$C$35-Afford3!$C$18))</f>
        <v>0</v>
      </c>
      <c r="G6" s="180">
        <f>IF(BasicInput!$C$1="Prime",Prime3!$C$48,0)</f>
        <v>0</v>
      </c>
      <c r="H6" s="180">
        <f>IF(BasicInput!$C$1="Prime",Prime3!$C$46,0)</f>
        <v>0</v>
      </c>
      <c r="I6" s="180">
        <f>IF(BasicInput!$C$1="Prime",Prime3!$C$39,Afford3!$C$29)</f>
        <v>0</v>
      </c>
      <c r="J6" s="183">
        <f t="shared" si="0"/>
        <v>0</v>
      </c>
      <c r="K6" s="184"/>
      <c r="L6" s="192">
        <f>IF(BasicInput!$C$1="Prime",IF(Prime3!$B$9="","",Prime3!$B$9),IF(Afford3!$B$9="","",Afford3!$B$9))</f>
        <v>1</v>
      </c>
      <c r="M6" s="193"/>
      <c r="N6" s="193"/>
      <c r="O6" s="183">
        <f t="shared" si="1"/>
        <v>0</v>
      </c>
    </row>
    <row r="7" spans="1:15" ht="63.75">
      <c r="A7" s="7">
        <v>4</v>
      </c>
      <c r="B7" s="3" t="str">
        <f>IF(BasicInput!$C$1="Prime",IF(Prime4!$B$1="","",Prime4!$B$1),IF(Afford4!$B$1="","",Afford4!$B$1))</f>
        <v/>
      </c>
      <c r="C7" s="3" t="str">
        <f>IF(BasicInput!$C$1="Prime",IF(Prime4!$B$5="","",Prime4!$B$5),IF(Afford4!$B$5="","",Afford4!$B$5))</f>
        <v>Services</v>
      </c>
      <c r="D7" s="3" t="str">
        <f>IF(BasicInput!$C$1="Prime",IF(Prime4!$B$6="","",Prime4!$B$6),IF(Afford4!$B$6="","",Afford4!$B$6))</f>
        <v>Others - Industries not classified elsewhere (Services)</v>
      </c>
      <c r="E7" s="191">
        <f>IF(BasicInput!$C$1="Prime",(Prime4!$C$27-Prime4!$C$25-Prime4!$C$24-Prime4!$C$18),(Afford4!$C$17))</f>
        <v>0</v>
      </c>
      <c r="F7" s="180">
        <f>IF(BasicInput!$C$1="Prime",(Prime4!$C$49-Prime4!$C$25-Prime4!$C$24-Prime4!$C$18-Prime4!$C$34),(Afford4!$C$35-Afford4!$C$18))</f>
        <v>0</v>
      </c>
      <c r="G7" s="180">
        <f>IF(BasicInput!$C$1="Prime",Prime4!$C$48,0)</f>
        <v>0</v>
      </c>
      <c r="H7" s="180">
        <f>IF(BasicInput!$C$1="Prime",Prime4!$C$46,0)</f>
        <v>0</v>
      </c>
      <c r="I7" s="180">
        <f>IF(BasicInput!$C$1="Prime",Prime4!$C$39,Afford4!$C$29)</f>
        <v>0</v>
      </c>
      <c r="J7" s="183">
        <f t="shared" si="0"/>
        <v>0</v>
      </c>
      <c r="K7" s="184"/>
      <c r="L7" s="192">
        <f>IF(BasicInput!$C$1="Prime",IF(Prime4!$B$9="","",Prime4!$B$9),IF(Afford4!$B$9="","",Afford4!$B$9))</f>
        <v>1</v>
      </c>
      <c r="M7" s="193"/>
      <c r="N7" s="193"/>
      <c r="O7" s="183">
        <f t="shared" si="1"/>
        <v>0</v>
      </c>
    </row>
    <row r="8" spans="1:15">
      <c r="A8" s="7">
        <v>5</v>
      </c>
      <c r="B8" s="3" t="str">
        <f>IF(BasicInput!$C$1="Prime",IF(Prime5!$B$1="","",Prime5!$B$1),IF(Afford5!$B$1="","",Afford5!$B$1))</f>
        <v/>
      </c>
      <c r="C8" s="3" t="str">
        <f>IF(BasicInput!$C$1="Prime",IF(Prime5!$B$5="","",Prime5!$B$5),IF(Afford5!$B$5="","",Afford5!$B$5))</f>
        <v/>
      </c>
      <c r="D8" s="3" t="str">
        <f>IF(BasicInput!$C$1="Prime",IF(Prime5!$B$6="","",Prime5!$B$6),IF(Afford5!$B$6="","",Afford5!$B$6))</f>
        <v/>
      </c>
      <c r="E8" s="191">
        <f>IF(BasicInput!$C$1="Prime",(Prime5!$C$27-Prime5!$C$25-Prime5!$C$24-Prime5!$C$18),(Afford5!$C$17))</f>
        <v>0</v>
      </c>
      <c r="F8" s="180">
        <f>IF(BasicInput!$C$1="Prime",(Prime5!$C$49-Prime5!$C$25-Prime5!$C$24-Prime5!$C$18-Prime5!$C$34),(Afford5!$C$35-Afford5!$C$18))</f>
        <v>0</v>
      </c>
      <c r="G8" s="180">
        <f>IF(BasicInput!$C$1="Prime",Prime5!$C$48,0)</f>
        <v>0</v>
      </c>
      <c r="H8" s="180">
        <f>IF(BasicInput!$C$1="Prime",Prime5!$C$46,0)</f>
        <v>0</v>
      </c>
      <c r="I8" s="180">
        <f>IF(BasicInput!$C$1="Prime",Prime5!$C$39,Afford5!$C$29)</f>
        <v>0</v>
      </c>
      <c r="J8" s="183">
        <f t="shared" si="0"/>
        <v>0</v>
      </c>
      <c r="K8" s="184"/>
      <c r="L8" s="192" t="str">
        <f>IF(BasicInput!$C$1="Prime",IF(Prime5!$B$9="","",Prime5!$B$9),IF(Afford5!$B$9="","",Afford5!$B$9))</f>
        <v/>
      </c>
      <c r="M8" s="193"/>
      <c r="N8" s="193"/>
      <c r="O8" s="183">
        <f t="shared" si="1"/>
        <v>0</v>
      </c>
    </row>
    <row r="9" spans="1:15">
      <c r="A9" s="7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191">
        <f>Prime6!$C$27-Prime6!$C$25-Prime6!$C$24-Prime6!$C$18</f>
        <v>0</v>
      </c>
      <c r="F9" s="180">
        <f>Prime6!$C$49-Prime6!$C$25-Prime6!$C$24-Prime6!$C$18-Prime6!$C$34</f>
        <v>0</v>
      </c>
      <c r="G9" s="180">
        <f>Prime6!$C$48</f>
        <v>0</v>
      </c>
      <c r="H9" s="180">
        <f>Prime6!$C$46</f>
        <v>0</v>
      </c>
      <c r="I9" s="180">
        <f>Prime6!$C$39</f>
        <v>0</v>
      </c>
      <c r="J9" s="183">
        <f t="shared" si="0"/>
        <v>0</v>
      </c>
      <c r="K9" s="184"/>
      <c r="L9" s="192" t="str">
        <f>IF(Prime6!$B$9="","",Prime6!$B$9)</f>
        <v/>
      </c>
      <c r="M9" s="193"/>
      <c r="N9" s="193"/>
      <c r="O9" s="183">
        <f t="shared" si="1"/>
        <v>0</v>
      </c>
    </row>
    <row r="10" spans="1:15">
      <c r="A10" s="7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191">
        <f>Prime7!$C$27-Prime7!$C$25-Prime7!$C$24-Prime7!$C$18</f>
        <v>0</v>
      </c>
      <c r="F10" s="180">
        <f>Prime7!$C$49-Prime7!$C$25-Prime7!$C$24-Prime7!$C$18-Prime7!$C$34</f>
        <v>0</v>
      </c>
      <c r="G10" s="180">
        <f>Prime7!$C$48</f>
        <v>0</v>
      </c>
      <c r="H10" s="180">
        <f>Prime7!$C$46</f>
        <v>0</v>
      </c>
      <c r="I10" s="180">
        <f>Prime7!$C$39</f>
        <v>0</v>
      </c>
      <c r="J10" s="183">
        <f t="shared" si="0"/>
        <v>0</v>
      </c>
      <c r="K10" s="184"/>
      <c r="L10" s="192" t="str">
        <f>IF(Prime7!$B$9="","",Prime7!$B$9)</f>
        <v/>
      </c>
      <c r="M10" s="193"/>
      <c r="N10" s="193"/>
      <c r="O10" s="183">
        <f t="shared" si="1"/>
        <v>0</v>
      </c>
    </row>
    <row r="11" spans="1:15">
      <c r="A11" s="7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191">
        <f>Prime8!$C$27-Prime8!$C$25-Prime8!$C$24-Prime8!$C$18</f>
        <v>0</v>
      </c>
      <c r="F11" s="180">
        <f>Prime8!$C$49-Prime8!$C$25-Prime8!$C$24-Prime8!$C$18-Prime8!$C$34</f>
        <v>0</v>
      </c>
      <c r="G11" s="180">
        <f>Prime8!$C$48</f>
        <v>0</v>
      </c>
      <c r="H11" s="180">
        <f>Prime8!$C$46</f>
        <v>0</v>
      </c>
      <c r="I11" s="180">
        <f>Prime8!$C$39</f>
        <v>0</v>
      </c>
      <c r="J11" s="183">
        <f t="shared" si="0"/>
        <v>0</v>
      </c>
      <c r="K11" s="184"/>
      <c r="L11" s="192" t="str">
        <f>IF(Prime8!$B$9="","",Prime8!$B$9)</f>
        <v/>
      </c>
      <c r="M11" s="193"/>
      <c r="N11" s="193"/>
      <c r="O11" s="183">
        <f t="shared" si="1"/>
        <v>0</v>
      </c>
    </row>
    <row r="12" spans="1:15">
      <c r="A12" s="7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191">
        <f>Prime9!$C$27-Prime9!$C$25-Prime9!$C$24-Prime9!$C$18</f>
        <v>0</v>
      </c>
      <c r="F12" s="180">
        <f>Prime9!$C$49-Prime9!$C$25-Prime9!$C$24-Prime9!$C$18-Prime9!$C$34</f>
        <v>0</v>
      </c>
      <c r="G12" s="180">
        <f>Prime9!$C$48</f>
        <v>0</v>
      </c>
      <c r="H12" s="180">
        <f>Prime9!$C$46</f>
        <v>0</v>
      </c>
      <c r="I12" s="180">
        <f>Prime9!$C$39</f>
        <v>0</v>
      </c>
      <c r="J12" s="183">
        <f t="shared" si="0"/>
        <v>0</v>
      </c>
      <c r="K12" s="184"/>
      <c r="L12" s="192" t="str">
        <f>IF(Prime9!$B$9="","",Prime9!$B$9)</f>
        <v/>
      </c>
      <c r="M12" s="193"/>
      <c r="N12" s="193"/>
      <c r="O12" s="183">
        <f t="shared" si="1"/>
        <v>0</v>
      </c>
    </row>
    <row r="13" spans="1:15">
      <c r="A13" s="7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191">
        <f>Prime10!$C$27-Prime10!$C$25-Prime10!$C$24-Prime10!$C$18</f>
        <v>0</v>
      </c>
      <c r="F13" s="180">
        <f>Prime10!$C$49-Prime10!$C$25-Prime10!$C$24-Prime10!$C$18-Prime10!$C$34</f>
        <v>0</v>
      </c>
      <c r="G13" s="180">
        <f>Prime10!$C$48</f>
        <v>0</v>
      </c>
      <c r="H13" s="180">
        <f>Prime10!$C$46</f>
        <v>0</v>
      </c>
      <c r="I13" s="180">
        <f>Prime10!$C$39</f>
        <v>0</v>
      </c>
      <c r="J13" s="183">
        <f t="shared" si="0"/>
        <v>0</v>
      </c>
      <c r="K13" s="184"/>
      <c r="L13" s="192" t="str">
        <f>IF(Prime10!$B$9="","",Prime10!$B$9)</f>
        <v/>
      </c>
      <c r="M13" s="193"/>
      <c r="N13" s="193"/>
      <c r="O13" s="183">
        <f t="shared" si="1"/>
        <v>0</v>
      </c>
    </row>
    <row r="14" spans="1:15">
      <c r="A14" s="521" t="s">
        <v>39</v>
      </c>
      <c r="B14" s="521"/>
      <c r="C14" s="521"/>
      <c r="D14" s="521"/>
      <c r="E14" s="182">
        <f>SUM(E4:E13)</f>
        <v>0</v>
      </c>
      <c r="F14" s="182">
        <f t="shared" ref="F14:J14" si="2">SUM(F4:F13)</f>
        <v>0</v>
      </c>
      <c r="G14" s="182">
        <f t="shared" si="2"/>
        <v>0</v>
      </c>
      <c r="H14" s="182">
        <f t="shared" si="2"/>
        <v>0</v>
      </c>
      <c r="I14" s="182">
        <f t="shared" si="2"/>
        <v>0</v>
      </c>
      <c r="J14" s="182">
        <f t="shared" si="2"/>
        <v>0</v>
      </c>
      <c r="K14" s="188"/>
      <c r="L14" s="194"/>
      <c r="M14" s="182">
        <f t="shared" ref="M14" si="3">SUM(M4:M13)</f>
        <v>0</v>
      </c>
      <c r="N14" s="182">
        <f t="shared" ref="N14:O14" si="4">SUM(N4:N13)</f>
        <v>0</v>
      </c>
      <c r="O14" s="182">
        <f t="shared" si="4"/>
        <v>0</v>
      </c>
    </row>
    <row r="15" spans="1:15">
      <c r="A15" s="121"/>
      <c r="B15" s="121"/>
      <c r="C15" s="121"/>
    </row>
    <row r="16" spans="1:15">
      <c r="A16" s="1"/>
      <c r="C16" s="5" t="s">
        <v>57</v>
      </c>
    </row>
    <row r="17" spans="1:3">
      <c r="A17" s="400" t="s">
        <v>58</v>
      </c>
      <c r="B17" s="402"/>
      <c r="C17" s="10"/>
    </row>
    <row r="18" spans="1:3">
      <c r="A18" s="522" t="s">
        <v>691</v>
      </c>
      <c r="B18" s="523"/>
      <c r="C18" s="144">
        <f>O14</f>
        <v>0</v>
      </c>
    </row>
    <row r="19" spans="1:3">
      <c r="A19" s="524" t="s">
        <v>119</v>
      </c>
      <c r="B19" s="525"/>
      <c r="C19" s="144">
        <f>C18/12</f>
        <v>0</v>
      </c>
    </row>
    <row r="20" spans="1:3">
      <c r="A20" s="524" t="s">
        <v>692</v>
      </c>
      <c r="B20" s="525"/>
      <c r="C20" s="145">
        <f>BasicInput!$D$27</f>
        <v>3000000</v>
      </c>
    </row>
    <row r="21" spans="1:3">
      <c r="A21" s="526" t="s">
        <v>693</v>
      </c>
      <c r="B21" s="527"/>
      <c r="C21" s="12">
        <f>'ExistingLoans&amp;Facilities&amp;RTR'!$N$103</f>
        <v>0</v>
      </c>
    </row>
    <row r="22" spans="1:3">
      <c r="A22" s="526" t="s">
        <v>694</v>
      </c>
      <c r="B22" s="527"/>
      <c r="C22" s="12">
        <f>BasicInput!$G$28</f>
        <v>33033</v>
      </c>
    </row>
    <row r="23" spans="1:3">
      <c r="A23" s="526" t="s">
        <v>695</v>
      </c>
      <c r="B23" s="527"/>
      <c r="C23" s="12">
        <f>SUMIF(BasicInput!$B$22:$B$26,Validation!$A$38,BasicInput!$G$22:$G$26)</f>
        <v>0</v>
      </c>
    </row>
    <row r="24" spans="1:3">
      <c r="A24" s="524" t="s">
        <v>696</v>
      </c>
      <c r="B24" s="525"/>
      <c r="C24" s="16">
        <f>IF(SUM(C21:C22)=0,0,IFERROR(SUM(C21:C22)/C19,100000%))</f>
        <v>1000</v>
      </c>
    </row>
    <row r="25" spans="1:3" ht="25.5" customHeight="1">
      <c r="A25" s="524" t="s">
        <v>697</v>
      </c>
      <c r="B25" s="525"/>
      <c r="C25" s="16">
        <f>IF(SUM(C21:C23)=0,0,IFERROR(SUM(C21:C23)/C19,100000%))</f>
        <v>1000</v>
      </c>
    </row>
    <row r="26" spans="1:3">
      <c r="A26" s="524" t="s">
        <v>698</v>
      </c>
      <c r="B26" s="525"/>
      <c r="C26" s="16">
        <f>IFERROR(SUMIF(BasicInput!$B$22:$B$26,Validation!$A$38,BasicInput!$G$22:$G$26)/C19,0)</f>
        <v>0</v>
      </c>
    </row>
    <row r="27" spans="1:3">
      <c r="A27" s="524" t="s">
        <v>699</v>
      </c>
      <c r="B27" s="525"/>
      <c r="C27" s="13">
        <f>MAX(IFERROR(((VLOOKUP($H$1,Validation!$O$2:$W$631,6,0)+IF(AND(BasicInput!$H$28&lt;&gt;"Ins",COUNTIF(BasicInput!$B$22:$B$26,Validation!$A$38)&gt;=1),MIN(SUMIF(BasicInput!$B$22:$B$26,Validation!$A$38,BasicInput!$G$22:$G$26)/C19,5%),0%))*C19-C21)/BasicInput!$F$28,0),0)</f>
        <v>0</v>
      </c>
    </row>
    <row r="28" spans="1:3">
      <c r="A28" s="524" t="s">
        <v>700</v>
      </c>
      <c r="B28" s="525"/>
      <c r="C28" s="16">
        <f>IFERROR((BasicInput!$D$28+$G$40)/$M$40,0)</f>
        <v>0</v>
      </c>
    </row>
    <row r="29" spans="1:3">
      <c r="A29" s="524" t="s">
        <v>701</v>
      </c>
      <c r="B29" s="525"/>
      <c r="C29" s="16">
        <f>IFERROR((BasicInput!$D$27+$G$40)/$M$40,0)</f>
        <v>0</v>
      </c>
    </row>
    <row r="30" spans="1:3">
      <c r="A30" s="524" t="s">
        <v>702</v>
      </c>
      <c r="B30" s="525"/>
      <c r="C30" s="16">
        <f>IFERROR(SUMIF(BasicInput!$B$22:$B$26,Validation!$A$38,BasicInput!$D$22:$D$26)/$M$40,0)</f>
        <v>0</v>
      </c>
    </row>
    <row r="31" spans="1:3">
      <c r="A31" s="524" t="s">
        <v>703</v>
      </c>
      <c r="B31" s="525"/>
      <c r="C31" s="13">
        <f>MAX($O$40,0)</f>
        <v>0</v>
      </c>
    </row>
    <row r="32" spans="1:3">
      <c r="A32" s="528" t="s">
        <v>704</v>
      </c>
      <c r="B32" s="529"/>
      <c r="C32" s="18">
        <f>MIN(C20,C27,C31)</f>
        <v>0</v>
      </c>
    </row>
    <row r="33" spans="1:16"/>
    <row r="34" spans="1:16" ht="51">
      <c r="A34" s="10" t="s">
        <v>42</v>
      </c>
      <c r="B34" s="10" t="s">
        <v>43</v>
      </c>
      <c r="C34" s="10" t="s">
        <v>44</v>
      </c>
      <c r="D34" s="10" t="s">
        <v>45</v>
      </c>
      <c r="E34" s="10" t="s">
        <v>46</v>
      </c>
      <c r="F34" s="10" t="s">
        <v>47</v>
      </c>
      <c r="G34" s="10" t="s">
        <v>48</v>
      </c>
      <c r="H34" s="10" t="s">
        <v>49</v>
      </c>
      <c r="I34" s="10" t="s">
        <v>50</v>
      </c>
      <c r="J34" s="10" t="s">
        <v>51</v>
      </c>
      <c r="K34" s="10" t="s">
        <v>52</v>
      </c>
      <c r="L34" s="10" t="s">
        <v>53</v>
      </c>
      <c r="M34" s="10" t="s">
        <v>54</v>
      </c>
      <c r="N34" s="10" t="s">
        <v>705</v>
      </c>
      <c r="O34" s="10" t="s">
        <v>706</v>
      </c>
    </row>
    <row r="35" spans="1:16" ht="38.25">
      <c r="A35" s="3" t="str">
        <f>IF(BasicInput!$B$34="","",BasicInput!$B$34)</f>
        <v/>
      </c>
      <c r="B35" s="3" t="str">
        <f>IF(BasicInput!$C$34="","",BasicInput!$C$34)</f>
        <v/>
      </c>
      <c r="C35" s="3" t="str">
        <f>IF(BasicInput!$D$34="","",BasicInput!$D$34)</f>
        <v/>
      </c>
      <c r="D35" s="3" t="str">
        <f>IF(BasicInput!$E$34="","",BasicInput!$E$34)</f>
        <v/>
      </c>
      <c r="E35" s="3" t="str">
        <f>IF(BasicInput!$F$34="","",BasicInput!$F$34)</f>
        <v/>
      </c>
      <c r="F35" s="7" t="str">
        <f>IF(BasicInput!$G$34="","",BasicInput!$G$34)</f>
        <v/>
      </c>
      <c r="G35" s="12">
        <f>IF(BasicInput!$H$34="",0,BasicInput!$H$34)</f>
        <v>0</v>
      </c>
      <c r="H35" s="12">
        <f>IF(BasicInput!$I$34="",0,BasicInput!$I$34)</f>
        <v>0</v>
      </c>
      <c r="I35" s="12">
        <f>IF(BasicInput!$J$34="",0,BasicInput!$J$34)</f>
        <v>0</v>
      </c>
      <c r="J35" s="12">
        <f>IF(BasicInput!$K$34="",0,BasicInput!$K$34)</f>
        <v>0</v>
      </c>
      <c r="K35" s="11" t="str">
        <f>IF(BasicInput!$L$34="","",BasicInput!$L$34)</f>
        <v/>
      </c>
      <c r="L35" s="11" t="str">
        <f>IF(BasicInput!$M$34="","",BasicInput!$M$34)</f>
        <v/>
      </c>
      <c r="M35" s="12" t="str">
        <f>IF(BasicInput!$N$34="",0,BasicInput!$N$34)</f>
        <v>Agreement Value / Property Cost required</v>
      </c>
      <c r="N35" s="11">
        <f>IFERROR(IF(AND(OR(BasicInput!$H$28="HL",BasicInput!$H$28="HLIns"),BasicInput!$B$28&gt;=1),MIN(P35-IF(E35=Validation!$A$83,5%,0%),VLOOKUP($H$1,Validation!$O$2:$X$631,10,0))+IF(AND(BasicInput!$H$28&lt;&gt;"Ins",COUNTIF(BasicInput!$B$22:$B$26,Validation!$A$38)&gt;=1),MIN(SUMIF(BasicInput!$B$22:$B$26,Validation!$A$38,BasicInput!$D$22:$D$26)/BasicInput!$J$40,5%),0%)-IF(B35=Validation!$A$76,10%,0%)-IF(AND(BasicInput!$H$28&lt;&gt;"HL",BasicInput!$H$28&lt;&gt;"HLIns",COUNTIF(BasicInput!$B$22:$B$26,Validation!$A$30)&gt;=1,B35=Validation!$A$75),20%,0%),0)+IF(AND($D$2&lt;&gt;0,B35=Validation!$A$76,K35=100%,COUNTIF(BasicInput!$B$22:$B$26,Validation!$A$33)&gt;=1),5%,0),0)</f>
        <v>0</v>
      </c>
      <c r="O35" s="20">
        <f>IFERROR(IF(AND(OR(BasicInput!$H$28="HL",BasicInput!$H$28="HLIns"),COUNTIF(BasicInput!$B$22:$B$26,Validation!$A$23)&gt;=1,B35=Validation!$A$75),MIN(M35*N35,J35*(80%-IF(E35=Validation!$A$83,5%,0%)+IF(AND(BasicInput!$H$28&lt;&gt;"Ins",COUNTIF(BasicInput!$B$22:$B$26,Validation!$A$38)&gt;=1),MIN(SUMIF(BasicInput!$B$22:$B$26,Validation!$A$38,BasicInput!$D$22:$D$26)/BasicInput!$J$40,5%),0%))),M35*N35)-G35,0)</f>
        <v>0</v>
      </c>
      <c r="P35" s="190" t="b">
        <f>IF(AND(OR(BasicInput!$H$28="HL",BasicInput!$H$28="HLIns"),COUNTIF(BasicInput!$B$22:$B$26,Validation!$A$23)&gt;=1,B35=Validation!$A$75),75%,IF(AND(OR(BasicInput!$H$28="HL",BasicInput!$H$28="HLIns"),BasicInput!$B$28&gt;=1,OR(B35=Validation!$A$73,B35=Validation!$A$74)),IF((BasicInput!$D$28+BasicInput!$H$39)&gt;7500000,75%,IF((BasicInput!$D$28+BasicInput!$H$39)&gt;3000000,80%,90%))))</f>
        <v>0</v>
      </c>
    </row>
    <row r="36" spans="1:16" ht="38.25">
      <c r="A36" s="3" t="str">
        <f>IF(BasicInput!$B$35="","",BasicInput!$B$35)</f>
        <v/>
      </c>
      <c r="B36" s="3" t="str">
        <f>IF(BasicInput!$C$35="","",BasicInput!$C$35)</f>
        <v/>
      </c>
      <c r="C36" s="3" t="str">
        <f>IF(BasicInput!$D$35="","",BasicInput!$D$35)</f>
        <v/>
      </c>
      <c r="D36" s="3" t="str">
        <f>IF(BasicInput!$E$35="","",BasicInput!$E$35)</f>
        <v/>
      </c>
      <c r="E36" s="3" t="str">
        <f>IF(BasicInput!$F$35="","",BasicInput!$F$35)</f>
        <v/>
      </c>
      <c r="F36" s="7" t="str">
        <f>IF(BasicInput!$G$35="","",BasicInput!$G$35)</f>
        <v/>
      </c>
      <c r="G36" s="12">
        <f>IF(BasicInput!$H$35="",0,BasicInput!$H$35)</f>
        <v>0</v>
      </c>
      <c r="H36" s="12">
        <f>IF(BasicInput!$I$35="",0,BasicInput!$I$35)</f>
        <v>0</v>
      </c>
      <c r="I36" s="12">
        <f>IF(BasicInput!$J$35="",0,BasicInput!$J$35)</f>
        <v>0</v>
      </c>
      <c r="J36" s="12">
        <f>IF(BasicInput!$K$35="",0,BasicInput!$K$35)</f>
        <v>0</v>
      </c>
      <c r="K36" s="11" t="str">
        <f>IF(BasicInput!$L$35="","",BasicInput!$L$35)</f>
        <v/>
      </c>
      <c r="L36" s="11" t="str">
        <f>IF(BasicInput!$M$35="","",BasicInput!$M$35)</f>
        <v/>
      </c>
      <c r="M36" s="12" t="str">
        <f>IF(BasicInput!$N$35="",0,BasicInput!$N$35)</f>
        <v>Agreement Value / Property Cost required</v>
      </c>
      <c r="N36" s="11">
        <f>IFERROR(IF(AND(OR(BasicInput!$H$28="HL",BasicInput!$H$28="HLIns"),BasicInput!$B$28&gt;=1),MIN(P36-IF(E36=Validation!$A$83,5%,0%),VLOOKUP($H$1,Validation!$O$2:$X$631,10,0))+IF(AND(BasicInput!$H$28&lt;&gt;"Ins",COUNTIF(BasicInput!$B$22:$B$26,Validation!$A$38)&gt;=1),MIN(SUMIF(BasicInput!$B$22:$B$26,Validation!$A$38,BasicInput!$D$22:$D$26)/BasicInput!$J$40,5%),0%)-IF(B36=Validation!$A$76,10%,0%)-IF(AND(BasicInput!$H$28&lt;&gt;"HL",BasicInput!$H$28&lt;&gt;"HLIns",COUNTIF(BasicInput!$B$22:$B$26,Validation!$A$30)&gt;=1,B36=Validation!$A$75),20%,0%),0)+IF(AND($D$2&lt;&gt;0,B36=Validation!$A$76,K36=100%,COUNTIF(BasicInput!$B$22:$B$26,Validation!$A$33)&gt;=1),5%,0),0)</f>
        <v>0</v>
      </c>
      <c r="O36" s="20">
        <f>IFERROR(IF(AND(OR(BasicInput!$H$28="HL",BasicInput!$H$28="HLIns"),COUNTIF(BasicInput!$B$22:$B$26,Validation!$A$23)&gt;=1,B36=Validation!$A$75),MIN(M36*N36,J36*(80%-IF(E36=Validation!$A$83,5%,0%)+IF(AND(BasicInput!$H$28&lt;&gt;"Ins",COUNTIF(BasicInput!$B$22:$B$26,Validation!$A$38)&gt;=1),MIN(SUMIF(BasicInput!$B$22:$B$26,Validation!$A$38,BasicInput!$D$22:$D$26)/BasicInput!$J$40,5%),0%))),M36*N36)-G36,0)</f>
        <v>0</v>
      </c>
      <c r="P36" s="190" t="b">
        <f>IF(AND(OR(BasicInput!$H$28="HL",BasicInput!$H$28="HLIns"),COUNTIF(BasicInput!$B$22:$B$26,Validation!$A$23)&gt;=1,B36=Validation!$A$75),75%,IF(AND(OR(BasicInput!$H$28="HL",BasicInput!$H$28="HLIns"),BasicInput!$B$28&gt;=1,OR(B36=Validation!$A$73,B36=Validation!$A$74)),IF((BasicInput!$D$28+BasicInput!$H$39)&gt;7500000,75%,IF((BasicInput!$D$28+BasicInput!$H$39)&gt;3000000,80%,90%))))</f>
        <v>0</v>
      </c>
    </row>
    <row r="37" spans="1:16" ht="38.25">
      <c r="A37" s="3" t="str">
        <f>IF(BasicInput!$B$36="","",BasicInput!$B$36)</f>
        <v/>
      </c>
      <c r="B37" s="3" t="str">
        <f>IF(BasicInput!$C$36="","",BasicInput!$C$36)</f>
        <v/>
      </c>
      <c r="C37" s="3" t="str">
        <f>IF(BasicInput!$D$36="","",BasicInput!$D$36)</f>
        <v/>
      </c>
      <c r="D37" s="3" t="str">
        <f>IF(BasicInput!$E$36="","",BasicInput!$E$36)</f>
        <v/>
      </c>
      <c r="E37" s="3" t="str">
        <f>IF(BasicInput!$F$36="","",BasicInput!$F$36)</f>
        <v/>
      </c>
      <c r="F37" s="7" t="str">
        <f>IF(BasicInput!$G$36="","",BasicInput!$G$36)</f>
        <v/>
      </c>
      <c r="G37" s="12">
        <f>IF(BasicInput!$H$36="",0,BasicInput!$H$36)</f>
        <v>0</v>
      </c>
      <c r="H37" s="12">
        <f>IF(BasicInput!$I$36="",0,BasicInput!$I$36)</f>
        <v>0</v>
      </c>
      <c r="I37" s="12">
        <f>IF(BasicInput!$J$36="",0,BasicInput!$J$36)</f>
        <v>0</v>
      </c>
      <c r="J37" s="12">
        <f>IF(BasicInput!$K$36="",0,BasicInput!$K$36)</f>
        <v>0</v>
      </c>
      <c r="K37" s="11" t="str">
        <f>IF(BasicInput!$L$36="","",BasicInput!$L$36)</f>
        <v/>
      </c>
      <c r="L37" s="11" t="str">
        <f>IF(BasicInput!$M$36="","",BasicInput!$M$36)</f>
        <v/>
      </c>
      <c r="M37" s="12" t="str">
        <f>IF(BasicInput!$N$36="",0,BasicInput!$N$36)</f>
        <v>Agreement Value / Property Cost required</v>
      </c>
      <c r="N37" s="11">
        <f>IFERROR(IF(AND(OR(BasicInput!$H$28="HL",BasicInput!$H$28="HLIns"),BasicInput!$B$28&gt;=1),MIN(P37-IF(E37=Validation!$A$83,5%,0%),VLOOKUP($H$1,Validation!$O$2:$X$631,10,0))+IF(AND(BasicInput!$H$28&lt;&gt;"Ins",COUNTIF(BasicInput!$B$22:$B$26,Validation!$A$38)&gt;=1),MIN(SUMIF(BasicInput!$B$22:$B$26,Validation!$A$38,BasicInput!$D$22:$D$26)/BasicInput!$J$40,5%),0%)-IF(B37=Validation!$A$76,10%,0%)-IF(AND(BasicInput!$H$28&lt;&gt;"HL",BasicInput!$H$28&lt;&gt;"HLIns",COUNTIF(BasicInput!$B$22:$B$26,Validation!$A$30)&gt;=1,B37=Validation!$A$75),20%,0%),0)+IF(AND($D$2&lt;&gt;0,B37=Validation!$A$76,K37=100%,COUNTIF(BasicInput!$B$22:$B$26,Validation!$A$33)&gt;=1),5%,0),0)</f>
        <v>0</v>
      </c>
      <c r="O37" s="20">
        <f>IFERROR(IF(AND(OR(BasicInput!$H$28="HL",BasicInput!$H$28="HLIns"),COUNTIF(BasicInput!$B$22:$B$26,Validation!$A$23)&gt;=1,B37=Validation!$A$75),MIN(M37*N37,J37*(80%-IF(E37=Validation!$A$83,5%,0%)+IF(AND(BasicInput!$H$28&lt;&gt;"Ins",COUNTIF(BasicInput!$B$22:$B$26,Validation!$A$38)&gt;=1),MIN(SUMIF(BasicInput!$B$22:$B$26,Validation!$A$38,BasicInput!$D$22:$D$26)/BasicInput!$J$40,5%),0%))),M37*N37)-G37,0)</f>
        <v>0</v>
      </c>
      <c r="P37" s="190" t="b">
        <f>IF(AND(OR(BasicInput!$H$28="HL",BasicInput!$H$28="HLIns"),COUNTIF(BasicInput!$B$22:$B$26,Validation!$A$23)&gt;=1,B37=Validation!$A$75),75%,IF(AND(OR(BasicInput!$H$28="HL",BasicInput!$H$28="HLIns"),BasicInput!$B$28&gt;=1,OR(B37=Validation!$A$73,B37=Validation!$A$74)),IF((BasicInput!$D$28+BasicInput!$H$39)&gt;7500000,75%,IF((BasicInput!$D$28+BasicInput!$H$39)&gt;3000000,80%,90%))))</f>
        <v>0</v>
      </c>
    </row>
    <row r="38" spans="1:16" ht="38.25">
      <c r="A38" s="3" t="str">
        <f>IF(BasicInput!$B$37="","",BasicInput!$B$37)</f>
        <v/>
      </c>
      <c r="B38" s="3" t="str">
        <f>IF(BasicInput!$C$37="","",BasicInput!$C$37)</f>
        <v/>
      </c>
      <c r="C38" s="3" t="str">
        <f>IF(BasicInput!$D$37="","",BasicInput!$D$37)</f>
        <v/>
      </c>
      <c r="D38" s="3" t="str">
        <f>IF(BasicInput!$E$37="","",BasicInput!$E$37)</f>
        <v/>
      </c>
      <c r="E38" s="3" t="str">
        <f>IF(BasicInput!$F$37="","",BasicInput!$F$37)</f>
        <v/>
      </c>
      <c r="F38" s="7" t="str">
        <f>IF(BasicInput!$G$37="","",BasicInput!$G$37)</f>
        <v/>
      </c>
      <c r="G38" s="12">
        <f>IF(BasicInput!$H$37="",0,BasicInput!$H$37)</f>
        <v>0</v>
      </c>
      <c r="H38" s="12">
        <f>IF(BasicInput!$I$37="",0,BasicInput!$I$37)</f>
        <v>0</v>
      </c>
      <c r="I38" s="12">
        <f>IF(BasicInput!$J$37="",0,BasicInput!$J$37)</f>
        <v>0</v>
      </c>
      <c r="J38" s="12">
        <f>IF(BasicInput!$K$37="",0,BasicInput!$K$37)</f>
        <v>0</v>
      </c>
      <c r="K38" s="11" t="str">
        <f>IF(BasicInput!$L$37="","",BasicInput!$L$37)</f>
        <v/>
      </c>
      <c r="L38" s="11" t="str">
        <f>IF(BasicInput!$M$37="","",BasicInput!$M$37)</f>
        <v/>
      </c>
      <c r="M38" s="12" t="str">
        <f>IF(BasicInput!$N$37="",0,BasicInput!$N$37)</f>
        <v>Agreement Value / Property Cost required</v>
      </c>
      <c r="N38" s="11">
        <f>IFERROR(IF(AND(OR(BasicInput!$H$28="HL",BasicInput!$H$28="HLIns"),BasicInput!$B$28&gt;=1),MIN(P38-IF(E38=Validation!$A$83,5%,0%),VLOOKUP($H$1,Validation!$O$2:$X$631,10,0)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COUNTIF(BasicInput!$B$22:$B$26,Validation!$A$30)&gt;=1,B38=Validation!$A$75),20%,0%),0)+IF(AND($D$2&lt;&gt;0,B38=Validation!$A$76,K38=100%,COUNTIF(BasicInput!$B$22:$B$26,Validation!$A$33)&gt;=1),5%,0),0)</f>
        <v>0</v>
      </c>
      <c r="O38" s="20">
        <f>IFERROR(IF(AND(OR(BasicInput!$H$28="HL",BasicInput!$H$28="HLIns"),COUNTIF(BasicInput!$B$22:$B$26,Validation!$A$23)&gt;=1,B38=Validation!$A$75),MIN(M38*N38,J38*(80%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90" t="b">
        <f>IF(AND(OR(BasicInput!$H$28="HL",BasicInput!$H$28="HLIns"),COUNTIF(BasicInput!$B$22:$B$26,Validation!$A$23)&gt;=1,B38=Validation!$A$75),75%,IF(AND(OR(BasicInput!$H$28="HL",BasicInput!$H$28="HLIns"),BasicInput!$B$28&gt;=1,OR(B38=Validation!$A$73,B38=Validation!$A$74)),IF((BasicInput!$D$28+BasicInput!$H$39)&gt;7500000,75%,IF((BasicInput!$D$28+BasicInput!$H$39)&gt;3000000,80%,90%))))</f>
        <v>0</v>
      </c>
    </row>
    <row r="39" spans="1:16" ht="38.25">
      <c r="A39" s="3" t="str">
        <f>IF(BasicInput!$B$38="","",BasicInput!$B$38)</f>
        <v/>
      </c>
      <c r="B39" s="3" t="str">
        <f>IF(BasicInput!$C$38="","",BasicInput!$C$38)</f>
        <v/>
      </c>
      <c r="C39" s="3" t="str">
        <f>IF(BasicInput!$D$38="","",BasicInput!$D$38)</f>
        <v/>
      </c>
      <c r="D39" s="3" t="str">
        <f>IF(BasicInput!$E$38="","",BasicInput!$E$38)</f>
        <v/>
      </c>
      <c r="E39" s="3" t="str">
        <f>IF(BasicInput!$F$38="","",BasicInput!$F$38)</f>
        <v/>
      </c>
      <c r="F39" s="7" t="str">
        <f>IF(BasicInput!$G$38="","",BasicInput!$G$38)</f>
        <v/>
      </c>
      <c r="G39" s="12">
        <f>IF(BasicInput!$H$38="",0,BasicInput!$H$38)</f>
        <v>0</v>
      </c>
      <c r="H39" s="12">
        <f>IF(BasicInput!$I$38="",0,BasicInput!$I$38)</f>
        <v>0</v>
      </c>
      <c r="I39" s="12">
        <f>IF(BasicInput!$J$38="",0,BasicInput!$J$38)</f>
        <v>0</v>
      </c>
      <c r="J39" s="12">
        <f>IF(BasicInput!$K$38="",0,BasicInput!$K$38)</f>
        <v>0</v>
      </c>
      <c r="K39" s="11" t="str">
        <f>IF(BasicInput!$L$38="","",BasicInput!$L$38)</f>
        <v/>
      </c>
      <c r="L39" s="11" t="str">
        <f>IF(BasicInput!$M$38="","",BasicInput!$M$38)</f>
        <v/>
      </c>
      <c r="M39" s="12" t="str">
        <f>IF(BasicInput!$N$38="",0,BasicInput!$N$38)</f>
        <v>Agreement Value / Property Cost required</v>
      </c>
      <c r="N39" s="11">
        <f>IFERROR(IF(AND(OR(BasicInput!$H$28="HL",BasicInput!$H$28="HLIns"),BasicInput!$B$28&gt;=1),MIN(P39-IF(E39=Validation!$A$83,5%,0%),VLOOKUP($H$1,Validation!$O$2:$X$631,10,0)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COUNTIF(BasicInput!$B$22:$B$26,Validation!$A$30)&gt;=1,B39=Validation!$A$75),20%,0%),0)+IF(AND($D$2&lt;&gt;0,B39=Validation!$A$76,K39=100%,COUNTIF(BasicInput!$B$22:$B$26,Validation!$A$33)&gt;=1),5%,0),0)</f>
        <v>0</v>
      </c>
      <c r="O39" s="20">
        <f>IFERROR(IF(AND(OR(BasicInput!$H$28="HL",BasicInput!$H$28="HLIns"),COUNTIF(BasicInput!$B$22:$B$26,Validation!$A$23)&gt;=1,B39=Validation!$A$75),MIN(M39*N39,J39*(80%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90" t="b">
        <f>IF(AND(OR(BasicInput!$H$28="HL",BasicInput!$H$28="HLIns"),COUNTIF(BasicInput!$B$22:$B$26,Validation!$A$23)&gt;=1,B39=Validation!$A$75),75%,IF(AND(OR(BasicInput!$H$28="HL",BasicInput!$H$28="HLIns"),BasicInput!$B$28&gt;=1,OR(B39=Validation!$A$73,B39=Validation!$A$74)),IF((BasicInput!$D$28+BasicInput!$H$39)&gt;7500000,75%,IF((BasicInput!$D$28+BasicInput!$H$39)&gt;3000000,80%,90%))))</f>
        <v>0</v>
      </c>
    </row>
    <row r="40" spans="1:16">
      <c r="A40" s="524" t="s">
        <v>39</v>
      </c>
      <c r="B40" s="530"/>
      <c r="C40" s="530"/>
      <c r="D40" s="530"/>
      <c r="E40" s="530"/>
      <c r="F40" s="530"/>
      <c r="G40" s="13">
        <f>SUM(G35:G39)</f>
        <v>0</v>
      </c>
      <c r="H40" s="524"/>
      <c r="I40" s="530"/>
      <c r="J40" s="530"/>
      <c r="K40" s="530"/>
      <c r="L40" s="525"/>
      <c r="M40" s="13">
        <f>SUM(M35:M39)</f>
        <v>0</v>
      </c>
      <c r="N40" s="16"/>
      <c r="O40" s="13">
        <f>SUM(O35:O39)</f>
        <v>0</v>
      </c>
    </row>
    <row r="41" spans="1:16"/>
    <row r="42" spans="1:16"/>
  </sheetData>
  <sheetProtection algorithmName="SHA-512" hashValue="c5hjQEPHNPydbeGYh39W7a/lJ9i/2EEZV4Tc0NpCBGBMZjbDpm4d2xKZCRbqn94QG64PcpBItd92cB3e3Dxldg==" saltValue="HkRA5ya7IMo4hTRUN2rCUA==" spinCount="100000" sheet="1" formatCells="0" formatColumns="0" formatRows="0" insertColumns="0" insertRows="0" autoFilter="0"/>
  <mergeCells count="20">
    <mergeCell ref="A30:B30"/>
    <mergeCell ref="A31:B31"/>
    <mergeCell ref="A32:B32"/>
    <mergeCell ref="A40:F40"/>
    <mergeCell ref="H40:L40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:G1"/>
    <mergeCell ref="A14:D14"/>
    <mergeCell ref="A17:B17"/>
    <mergeCell ref="A18:B18"/>
    <mergeCell ref="A19:B19"/>
  </mergeCells>
  <dataValidations count="1">
    <dataValidation type="list" allowBlank="1" showInputMessage="1" showErrorMessage="1" sqref="K4:K13">
      <formula1>"Yes,No"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P69"/>
  <sheetViews>
    <sheetView workbookViewId="0">
      <selection activeCell="B7" sqref="B7:E7"/>
    </sheetView>
  </sheetViews>
  <sheetFormatPr defaultColWidth="0" defaultRowHeight="12.75" zeroHeight="1"/>
  <cols>
    <col min="1" max="1" width="21.42578125" style="176" customWidth="1"/>
    <col min="2" max="2" width="32.28515625" style="177" customWidth="1"/>
    <col min="3" max="3" width="18" style="177" customWidth="1"/>
    <col min="4" max="4" width="15.28515625" style="177" customWidth="1"/>
    <col min="5" max="5" width="14.5703125" style="177" customWidth="1"/>
    <col min="6" max="6" width="21.85546875" style="177" customWidth="1"/>
    <col min="7" max="7" width="11.7109375" style="176" customWidth="1"/>
    <col min="8" max="8" width="12.85546875" style="177" customWidth="1"/>
    <col min="9" max="9" width="11.85546875" style="177" customWidth="1"/>
    <col min="10" max="10" width="18" style="177" customWidth="1"/>
    <col min="11" max="11" width="12.140625" style="177" customWidth="1"/>
    <col min="12" max="12" width="9.140625" style="177" customWidth="1"/>
    <col min="13" max="13" width="13.42578125" style="177" customWidth="1"/>
    <col min="14" max="14" width="12.28515625" style="177" customWidth="1"/>
    <col min="15" max="15" width="11.7109375" style="177" customWidth="1"/>
    <col min="16" max="16" width="9.140625" style="177" customWidth="1"/>
    <col min="17" max="16384" width="9.140625" style="177" hidden="1"/>
  </cols>
  <sheetData>
    <row r="1" spans="1:15" ht="15">
      <c r="A1" s="520" t="s">
        <v>707</v>
      </c>
      <c r="B1" s="520"/>
      <c r="C1" s="520"/>
      <c r="D1" s="520"/>
      <c r="E1" s="520"/>
      <c r="F1" s="520"/>
      <c r="G1" s="520"/>
      <c r="H1" s="178" t="str">
        <f>CONCATENATE(Validation!$A$46,"_",BasicInput!$H$28,"_",BasicInput!$F$40)</f>
        <v>Average Banking Program_HL_</v>
      </c>
    </row>
    <row r="2" spans="1:15">
      <c r="A2" s="179"/>
      <c r="B2" s="179"/>
      <c r="C2" s="179"/>
    </row>
    <row r="3" spans="1:15" ht="38.25">
      <c r="A3" s="10" t="s">
        <v>5</v>
      </c>
      <c r="B3" s="10" t="s">
        <v>504</v>
      </c>
      <c r="C3" s="10" t="s">
        <v>530</v>
      </c>
      <c r="D3" s="10" t="s">
        <v>708</v>
      </c>
      <c r="E3" s="10" t="s">
        <v>535</v>
      </c>
      <c r="F3" s="10" t="s">
        <v>537</v>
      </c>
      <c r="G3" s="10" t="s">
        <v>550</v>
      </c>
      <c r="H3" s="10" t="s">
        <v>551</v>
      </c>
      <c r="I3" s="10" t="s">
        <v>709</v>
      </c>
      <c r="J3" s="10" t="s">
        <v>516</v>
      </c>
      <c r="K3" s="10" t="s">
        <v>710</v>
      </c>
      <c r="L3" s="10" t="s">
        <v>518</v>
      </c>
      <c r="M3" s="10" t="s">
        <v>519</v>
      </c>
      <c r="N3" s="10" t="s">
        <v>711</v>
      </c>
      <c r="O3" s="10" t="s">
        <v>528</v>
      </c>
    </row>
    <row r="4" spans="1:15" ht="25.5">
      <c r="A4" s="7">
        <v>1</v>
      </c>
      <c r="B4" s="3" t="str">
        <f>IF('Banking - Non PDF'!$C$22="","",'Banking - Non PDF'!$C$22)</f>
        <v>MR. KANHAIYA BHARTI</v>
      </c>
      <c r="C4" s="3" t="str">
        <f>IF('Banking - Non PDF'!$C$23="","",'Banking - Non PDF'!$C$23)</f>
        <v xml:space="preserve">STATE BANK OF INDIA </v>
      </c>
      <c r="D4" s="3" t="str">
        <f>IF('Banking - Non PDF'!$C$24="","",'Banking - Non PDF'!$C$24)</f>
        <v>Savings</v>
      </c>
      <c r="E4" s="7" t="str">
        <f>IF('Banking - Non PDF'!$F$24="","",'Banking - Non PDF'!$F$24)</f>
        <v>00000031272798836</v>
      </c>
      <c r="F4" s="7" t="str">
        <f>IF('Banking - Non PDF'!$K$24="","",'Banking - Non PDF'!$K$24)</f>
        <v/>
      </c>
      <c r="G4" s="180">
        <f>'Banking - Non PDF'!$U$39</f>
        <v>1677362</v>
      </c>
      <c r="H4" s="180">
        <f>'Banking - Non PDF'!$V$39</f>
        <v>688306</v>
      </c>
      <c r="I4" s="180">
        <f>'Banking - Non PDF'!$G$40</f>
        <v>150819.66666666666</v>
      </c>
      <c r="J4" s="183">
        <f>'Banking - Non PDF'!$Q$39</f>
        <v>0</v>
      </c>
      <c r="K4" s="184"/>
      <c r="L4" s="185">
        <f>'Banking - Non PDF'!$S$39</f>
        <v>38</v>
      </c>
      <c r="M4" s="185">
        <f>'Banking - Non PDF'!$T$39</f>
        <v>387</v>
      </c>
      <c r="N4" s="186">
        <f>SUM(L4:M4)</f>
        <v>425</v>
      </c>
      <c r="O4" s="187">
        <f>IFERROR(J4/M4,0)</f>
        <v>0</v>
      </c>
    </row>
    <row r="5" spans="1:15">
      <c r="A5" s="7">
        <v>2</v>
      </c>
      <c r="B5" s="3" t="str">
        <f>IF('Banking - Non PDF'!$C$45="","",'Banking - Non PDF'!$C$45)</f>
        <v/>
      </c>
      <c r="C5" s="3" t="str">
        <f>IF('Banking - Non PDF'!$C$46="","",'Banking - Non PDF'!$C$46)</f>
        <v/>
      </c>
      <c r="D5" s="3" t="str">
        <f>IF('Banking - Non PDF'!$C$47="","",'Banking - Non PDF'!$C$47)</f>
        <v/>
      </c>
      <c r="E5" s="7" t="str">
        <f>IF('Banking - Non PDF'!$F$47="","",'Banking - Non PDF'!$F$47)</f>
        <v/>
      </c>
      <c r="F5" s="7" t="str">
        <f>IF('Banking - Non PDF'!$K$47="","",'Banking - Non PDF'!$K$47)</f>
        <v/>
      </c>
      <c r="G5" s="180">
        <f>'Banking - Non PDF'!$U$62</f>
        <v>0</v>
      </c>
      <c r="H5" s="180">
        <f>'Banking - Non PDF'!$V$62</f>
        <v>0</v>
      </c>
      <c r="I5" s="180">
        <f>'Banking - Non PDF'!$G$63</f>
        <v>0</v>
      </c>
      <c r="J5" s="183">
        <f>'Banking - Non PDF'!$Q$62</f>
        <v>0</v>
      </c>
      <c r="K5" s="184"/>
      <c r="L5" s="185">
        <f>'Banking - Non PDF'!$S$62</f>
        <v>0</v>
      </c>
      <c r="M5" s="185">
        <f>'Banking - Non PDF'!$T$62</f>
        <v>0</v>
      </c>
      <c r="N5" s="186">
        <f t="shared" ref="N5:N23" si="0">SUM(L5:M5)</f>
        <v>0</v>
      </c>
      <c r="O5" s="187">
        <f t="shared" ref="O5:O24" si="1">IFERROR(J5/M5,0)</f>
        <v>0</v>
      </c>
    </row>
    <row r="6" spans="1:15">
      <c r="A6" s="7">
        <v>3</v>
      </c>
      <c r="B6" s="3" t="str">
        <f>IF('Banking - Non PDF'!$C$68="","",'Banking - Non PDF'!$C$68)</f>
        <v/>
      </c>
      <c r="C6" s="3" t="str">
        <f>IF('Banking - Non PDF'!$C$69="","",'Banking - Non PDF'!$C$69)</f>
        <v/>
      </c>
      <c r="D6" s="3" t="str">
        <f>IF('Banking - Non PDF'!$C$70="","",'Banking - Non PDF'!$C$70)</f>
        <v/>
      </c>
      <c r="E6" s="7" t="str">
        <f>IF('Banking - Non PDF'!$F$70="","",'Banking - Non PDF'!$F$70)</f>
        <v/>
      </c>
      <c r="F6" s="7" t="str">
        <f>IF('Banking - Non PDF'!$K$70="","",'Banking - Non PDF'!$K$70)</f>
        <v/>
      </c>
      <c r="G6" s="180">
        <f>'Banking - Non PDF'!$U$85</f>
        <v>0</v>
      </c>
      <c r="H6" s="180">
        <f>'Banking - Non PDF'!$V$85</f>
        <v>0</v>
      </c>
      <c r="I6" s="180">
        <f>'Banking - Non PDF'!$G$86</f>
        <v>0</v>
      </c>
      <c r="J6" s="183">
        <f>'Banking - Non PDF'!$Q$85</f>
        <v>0</v>
      </c>
      <c r="K6" s="184"/>
      <c r="L6" s="185">
        <f>'Banking - Non PDF'!$S$85</f>
        <v>0</v>
      </c>
      <c r="M6" s="185">
        <f>'Banking - Non PDF'!$T$85</f>
        <v>0</v>
      </c>
      <c r="N6" s="186">
        <f t="shared" si="0"/>
        <v>0</v>
      </c>
      <c r="O6" s="187">
        <f t="shared" si="1"/>
        <v>0</v>
      </c>
    </row>
    <row r="7" spans="1:15">
      <c r="A7" s="7">
        <v>4</v>
      </c>
      <c r="B7" s="3" t="str">
        <f>IF('Banking - Non PDF'!$C$91="","",'Banking - Non PDF'!$C$91)</f>
        <v/>
      </c>
      <c r="C7" s="3" t="str">
        <f>IF('Banking - Non PDF'!$C$92="","",'Banking - Non PDF'!$C$92)</f>
        <v/>
      </c>
      <c r="D7" s="3" t="str">
        <f>IF('Banking - Non PDF'!$C$93="","",'Banking - Non PDF'!$C$93)</f>
        <v/>
      </c>
      <c r="E7" s="7" t="str">
        <f>IF('Banking - Non PDF'!$F$93="","",'Banking - Non PDF'!$F$93)</f>
        <v/>
      </c>
      <c r="F7" s="7" t="str">
        <f>IF('Banking - Non PDF'!$K$93="","",'Banking - Non PDF'!$K$93)</f>
        <v/>
      </c>
      <c r="G7" s="180">
        <f>'Banking - Non PDF'!$U$108</f>
        <v>0</v>
      </c>
      <c r="H7" s="180">
        <f>'Banking - Non PDF'!$V$108</f>
        <v>0</v>
      </c>
      <c r="I7" s="180">
        <f>'Banking - Non PDF'!$G$109</f>
        <v>0</v>
      </c>
      <c r="J7" s="183">
        <f>'Banking - Non PDF'!$Q$108</f>
        <v>0</v>
      </c>
      <c r="K7" s="184"/>
      <c r="L7" s="185">
        <f>'Banking - Non PDF'!$S$108</f>
        <v>0</v>
      </c>
      <c r="M7" s="185">
        <f>'Banking - Non PDF'!$T$108</f>
        <v>0</v>
      </c>
      <c r="N7" s="186">
        <f t="shared" si="0"/>
        <v>0</v>
      </c>
      <c r="O7" s="187">
        <f t="shared" si="1"/>
        <v>0</v>
      </c>
    </row>
    <row r="8" spans="1:15">
      <c r="A8" s="7">
        <v>5</v>
      </c>
      <c r="B8" s="3" t="str">
        <f>IF('Banking - Non PDF'!$C$114="","",'Banking - Non PDF'!$C$114)</f>
        <v/>
      </c>
      <c r="C8" s="3" t="str">
        <f>IF('Banking - Non PDF'!$C$115="","",'Banking - Non PDF'!$C$115)</f>
        <v/>
      </c>
      <c r="D8" s="3" t="str">
        <f>IF('Banking - Non PDF'!$C$116="","",'Banking - Non PDF'!$C$116)</f>
        <v/>
      </c>
      <c r="E8" s="7" t="str">
        <f>IF('Banking - Non PDF'!$F$116="","",'Banking - Non PDF'!$F$116)</f>
        <v/>
      </c>
      <c r="F8" s="7" t="str">
        <f>IF('Banking - Non PDF'!$K$116="","",'Banking - Non PDF'!$K$116)</f>
        <v/>
      </c>
      <c r="G8" s="180">
        <f>'Banking - Non PDF'!$U$131</f>
        <v>0</v>
      </c>
      <c r="H8" s="180">
        <f>'Banking - Non PDF'!$V$131</f>
        <v>0</v>
      </c>
      <c r="I8" s="180">
        <f>'Banking - Non PDF'!$G$132</f>
        <v>0</v>
      </c>
      <c r="J8" s="183">
        <f>'Banking - Non PDF'!$Q$131</f>
        <v>0</v>
      </c>
      <c r="K8" s="184"/>
      <c r="L8" s="185">
        <f>'Banking - Non PDF'!$S$131</f>
        <v>0</v>
      </c>
      <c r="M8" s="185">
        <f>'Banking - Non PDF'!$T$131</f>
        <v>0</v>
      </c>
      <c r="N8" s="186">
        <f t="shared" si="0"/>
        <v>0</v>
      </c>
      <c r="O8" s="187">
        <f t="shared" si="1"/>
        <v>0</v>
      </c>
    </row>
    <row r="9" spans="1:15">
      <c r="A9" s="7">
        <v>6</v>
      </c>
      <c r="B9" s="3" t="str">
        <f>IF('Banking - Non PDF'!$C$137="","",'Banking - Non PDF'!$C$137)</f>
        <v/>
      </c>
      <c r="C9" s="3" t="str">
        <f>IF('Banking - Non PDF'!$C$138="","",'Banking - Non PDF'!$C$138)</f>
        <v/>
      </c>
      <c r="D9" s="3" t="str">
        <f>IF('Banking - Non PDF'!$C$139="","",'Banking - Non PDF'!$C$139)</f>
        <v/>
      </c>
      <c r="E9" s="7" t="str">
        <f>IF('Banking - Non PDF'!$F$139="","",'Banking - Non PDF'!$F$139)</f>
        <v/>
      </c>
      <c r="F9" s="7" t="str">
        <f>IF('Banking - Non PDF'!$K$139="","",'Banking - Non PDF'!$K$139)</f>
        <v/>
      </c>
      <c r="G9" s="180">
        <f>'Banking - Non PDF'!$U$154</f>
        <v>0</v>
      </c>
      <c r="H9" s="180">
        <f>'Banking - Non PDF'!$V$154</f>
        <v>0</v>
      </c>
      <c r="I9" s="180">
        <f>'Banking - Non PDF'!$G$155</f>
        <v>0</v>
      </c>
      <c r="J9" s="183">
        <f>'Banking - Non PDF'!$Q$154</f>
        <v>0</v>
      </c>
      <c r="K9" s="184"/>
      <c r="L9" s="185">
        <f>'Banking - Non PDF'!$S$154</f>
        <v>0</v>
      </c>
      <c r="M9" s="185">
        <f>'Banking - Non PDF'!$T$154</f>
        <v>0</v>
      </c>
      <c r="N9" s="186">
        <f t="shared" si="0"/>
        <v>0</v>
      </c>
      <c r="O9" s="187">
        <f t="shared" si="1"/>
        <v>0</v>
      </c>
    </row>
    <row r="10" spans="1:15">
      <c r="A10" s="7">
        <v>7</v>
      </c>
      <c r="B10" s="3" t="str">
        <f>IF('Banking - Non PDF'!$C$160="","",'Banking - Non PDF'!$C$160)</f>
        <v/>
      </c>
      <c r="C10" s="3" t="str">
        <f>IF('Banking - Non PDF'!$C$161="","",'Banking - Non PDF'!$C$161)</f>
        <v/>
      </c>
      <c r="D10" s="3" t="str">
        <f>IF('Banking - Non PDF'!$C$162="","",'Banking - Non PDF'!$C$162)</f>
        <v/>
      </c>
      <c r="E10" s="7" t="str">
        <f>IF('Banking - Non PDF'!$F$162="","",'Banking - Non PDF'!$F$162)</f>
        <v/>
      </c>
      <c r="F10" s="7" t="str">
        <f>IF('Banking - Non PDF'!$K$162="","",'Banking - Non PDF'!$K$162)</f>
        <v/>
      </c>
      <c r="G10" s="180">
        <f>'Banking - Non PDF'!$U$177</f>
        <v>0</v>
      </c>
      <c r="H10" s="180">
        <f>'Banking - Non PDF'!$V$177</f>
        <v>0</v>
      </c>
      <c r="I10" s="180">
        <f>'Banking - Non PDF'!$G$178</f>
        <v>0</v>
      </c>
      <c r="J10" s="183">
        <f>'Banking - Non PDF'!$Q$177</f>
        <v>0</v>
      </c>
      <c r="K10" s="184"/>
      <c r="L10" s="185">
        <f>'Banking - Non PDF'!$S$177</f>
        <v>0</v>
      </c>
      <c r="M10" s="185">
        <f>'Banking - Non PDF'!$T$177</f>
        <v>0</v>
      </c>
      <c r="N10" s="186">
        <f t="shared" si="0"/>
        <v>0</v>
      </c>
      <c r="O10" s="187">
        <f t="shared" si="1"/>
        <v>0</v>
      </c>
    </row>
    <row r="11" spans="1:15">
      <c r="A11" s="7">
        <v>8</v>
      </c>
      <c r="B11" s="3" t="str">
        <f>IF('Banking - Non PDF'!$C$183="","",'Banking - Non PDF'!$C$183)</f>
        <v/>
      </c>
      <c r="C11" s="3" t="str">
        <f>IF('Banking - Non PDF'!$C$184="","",'Banking - Non PDF'!$C$184)</f>
        <v/>
      </c>
      <c r="D11" s="3" t="str">
        <f>IF('Banking - Non PDF'!$C$185="","",'Banking - Non PDF'!$C$185)</f>
        <v/>
      </c>
      <c r="E11" s="7" t="str">
        <f>IF('Banking - Non PDF'!$F$185="","",'Banking - Non PDF'!$F$185)</f>
        <v/>
      </c>
      <c r="F11" s="7" t="str">
        <f>IF('Banking - Non PDF'!$K$185="","",'Banking - Non PDF'!$K$185)</f>
        <v/>
      </c>
      <c r="G11" s="180">
        <f>'Banking - Non PDF'!$U$200</f>
        <v>0</v>
      </c>
      <c r="H11" s="180">
        <f>'Banking - Non PDF'!$V$200</f>
        <v>0</v>
      </c>
      <c r="I11" s="180">
        <f>'Banking - Non PDF'!$G$201</f>
        <v>0</v>
      </c>
      <c r="J11" s="183">
        <f>'Banking - Non PDF'!$Q$200</f>
        <v>0</v>
      </c>
      <c r="K11" s="184"/>
      <c r="L11" s="185">
        <f>'Banking - Non PDF'!$S$200</f>
        <v>0</v>
      </c>
      <c r="M11" s="185">
        <f>'Banking - Non PDF'!$T$200</f>
        <v>0</v>
      </c>
      <c r="N11" s="186">
        <f t="shared" si="0"/>
        <v>0</v>
      </c>
      <c r="O11" s="187">
        <f t="shared" si="1"/>
        <v>0</v>
      </c>
    </row>
    <row r="12" spans="1:15">
      <c r="A12" s="7">
        <v>9</v>
      </c>
      <c r="B12" s="3" t="str">
        <f>IF('Banking - Non PDF'!$C$206="","",'Banking - Non PDF'!$C$206)</f>
        <v/>
      </c>
      <c r="C12" s="3" t="str">
        <f>IF('Banking - Non PDF'!$C$207="","",'Banking - Non PDF'!$C$207)</f>
        <v/>
      </c>
      <c r="D12" s="3" t="str">
        <f>IF('Banking - Non PDF'!$C$208="","",'Banking - Non PDF'!$C$208)</f>
        <v/>
      </c>
      <c r="E12" s="7" t="str">
        <f>IF('Banking - Non PDF'!$F$208="","",'Banking - Non PDF'!$F$208)</f>
        <v/>
      </c>
      <c r="F12" s="7" t="str">
        <f>IF('Banking - Non PDF'!$K$208="","",'Banking - Non PDF'!$K$208)</f>
        <v/>
      </c>
      <c r="G12" s="180">
        <f>'Banking - Non PDF'!$U$223</f>
        <v>0</v>
      </c>
      <c r="H12" s="180">
        <f>'Banking - Non PDF'!$V$223</f>
        <v>0</v>
      </c>
      <c r="I12" s="180">
        <f>'Banking - Non PDF'!$G$224</f>
        <v>0</v>
      </c>
      <c r="J12" s="183">
        <f>'Banking - Non PDF'!$Q$223</f>
        <v>0</v>
      </c>
      <c r="K12" s="184"/>
      <c r="L12" s="185">
        <f>'Banking - Non PDF'!$S$223</f>
        <v>0</v>
      </c>
      <c r="M12" s="185">
        <f>'Banking - Non PDF'!$T$223</f>
        <v>0</v>
      </c>
      <c r="N12" s="186">
        <f t="shared" si="0"/>
        <v>0</v>
      </c>
      <c r="O12" s="187">
        <f t="shared" si="1"/>
        <v>0</v>
      </c>
    </row>
    <row r="13" spans="1:15">
      <c r="A13" s="7">
        <v>10</v>
      </c>
      <c r="B13" s="3" t="str">
        <f>IF('Banking - Non PDF'!$C$229="","",'Banking - Non PDF'!$C$229)</f>
        <v/>
      </c>
      <c r="C13" s="3" t="str">
        <f>IF('Banking - Non PDF'!$C$230="","",'Banking - Non PDF'!$C$230)</f>
        <v/>
      </c>
      <c r="D13" s="3" t="str">
        <f>IF('Banking - Non PDF'!$C$231="","",'Banking - Non PDF'!$C$231)</f>
        <v/>
      </c>
      <c r="E13" s="7" t="str">
        <f>IF('Banking - Non PDF'!$F$231="","",'Banking - Non PDF'!$F$231)</f>
        <v/>
      </c>
      <c r="F13" s="7" t="str">
        <f>IF('Banking - Non PDF'!$K$231="","",'Banking - Non PDF'!$K$231)</f>
        <v/>
      </c>
      <c r="G13" s="180">
        <f>'Banking - Non PDF'!$U$246</f>
        <v>0</v>
      </c>
      <c r="H13" s="180">
        <f>'Banking - Non PDF'!$V$246</f>
        <v>0</v>
      </c>
      <c r="I13" s="180">
        <f>'Banking - Non PDF'!$G$247</f>
        <v>0</v>
      </c>
      <c r="J13" s="183">
        <f>'Banking - Non PDF'!$Q$246</f>
        <v>0</v>
      </c>
      <c r="K13" s="184"/>
      <c r="L13" s="185">
        <f>'Banking - Non PDF'!$S$246</f>
        <v>0</v>
      </c>
      <c r="M13" s="185">
        <f>'Banking - Non PDF'!$T$246</f>
        <v>0</v>
      </c>
      <c r="N13" s="186">
        <f t="shared" si="0"/>
        <v>0</v>
      </c>
      <c r="O13" s="187">
        <f t="shared" si="1"/>
        <v>0</v>
      </c>
    </row>
    <row r="14" spans="1:15">
      <c r="A14" s="7">
        <v>11</v>
      </c>
      <c r="B14" s="3" t="str">
        <f>IF('Banking - Non PDF'!$C$252="","",'Banking - Non PDF'!$C$252)</f>
        <v/>
      </c>
      <c r="C14" s="3" t="str">
        <f>IF('Banking - Non PDF'!$C$253="","",'Banking - Non PDF'!$C$253)</f>
        <v/>
      </c>
      <c r="D14" s="3" t="str">
        <f>IF('Banking - Non PDF'!$C$254="","",'Banking - Non PDF'!$C$254)</f>
        <v/>
      </c>
      <c r="E14" s="7" t="str">
        <f>IF('Banking - Non PDF'!$F$254="","",'Banking - Non PDF'!$F$254)</f>
        <v/>
      </c>
      <c r="F14" s="7" t="str">
        <f>IF('Banking - Non PDF'!$K$254="","",'Banking - Non PDF'!$K$254)</f>
        <v/>
      </c>
      <c r="G14" s="180">
        <f>'Banking - Non PDF'!$U$269</f>
        <v>0</v>
      </c>
      <c r="H14" s="180">
        <f>'Banking - Non PDF'!$V$269</f>
        <v>0</v>
      </c>
      <c r="I14" s="180">
        <f>'Banking - Non PDF'!$G$270</f>
        <v>0</v>
      </c>
      <c r="J14" s="183">
        <f>'Banking - Non PDF'!$Q$269</f>
        <v>0</v>
      </c>
      <c r="K14" s="184"/>
      <c r="L14" s="185">
        <f>'Banking - Non PDF'!$S$269</f>
        <v>0</v>
      </c>
      <c r="M14" s="185">
        <f>'Banking - Non PDF'!$T$269</f>
        <v>0</v>
      </c>
      <c r="N14" s="186">
        <f t="shared" si="0"/>
        <v>0</v>
      </c>
      <c r="O14" s="187">
        <f t="shared" si="1"/>
        <v>0</v>
      </c>
    </row>
    <row r="15" spans="1:15">
      <c r="A15" s="7">
        <v>12</v>
      </c>
      <c r="B15" s="3" t="str">
        <f>IF('Banking - Non PDF'!$C$275="","",'Banking - Non PDF'!$C$275)</f>
        <v/>
      </c>
      <c r="C15" s="3" t="str">
        <f>IF('Banking - Non PDF'!$C$276="","",'Banking - Non PDF'!$C$276)</f>
        <v/>
      </c>
      <c r="D15" s="3" t="str">
        <f>IF('Banking - Non PDF'!$C$277="","",'Banking - Non PDF'!$C$277)</f>
        <v/>
      </c>
      <c r="E15" s="7" t="str">
        <f>IF('Banking - Non PDF'!$F$277="","",'Banking - Non PDF'!$F$277)</f>
        <v/>
      </c>
      <c r="F15" s="7" t="str">
        <f>IF('Banking - Non PDF'!$K$277="","",'Banking - Non PDF'!$K$277)</f>
        <v/>
      </c>
      <c r="G15" s="180">
        <f>'Banking - Non PDF'!$U$292</f>
        <v>0</v>
      </c>
      <c r="H15" s="180">
        <f>'Banking - Non PDF'!$V$292</f>
        <v>0</v>
      </c>
      <c r="I15" s="180">
        <f>'Banking - Non PDF'!$G$293</f>
        <v>0</v>
      </c>
      <c r="J15" s="183">
        <f>'Banking - Non PDF'!$Q$292</f>
        <v>0</v>
      </c>
      <c r="K15" s="184"/>
      <c r="L15" s="185">
        <f>'Banking - Non PDF'!$S$292</f>
        <v>0</v>
      </c>
      <c r="M15" s="185">
        <f>'Banking - Non PDF'!$T$292</f>
        <v>0</v>
      </c>
      <c r="N15" s="186">
        <f t="shared" si="0"/>
        <v>0</v>
      </c>
      <c r="O15" s="187">
        <f t="shared" si="1"/>
        <v>0</v>
      </c>
    </row>
    <row r="16" spans="1:15">
      <c r="A16" s="7">
        <v>13</v>
      </c>
      <c r="B16" s="3" t="str">
        <f>IF('Banking - Non PDF'!$C$298="","",'Banking - Non PDF'!$C$298)</f>
        <v/>
      </c>
      <c r="C16" s="3" t="str">
        <f>IF('Banking - Non PDF'!$C$299="","",'Banking - Non PDF'!$C$299)</f>
        <v/>
      </c>
      <c r="D16" s="3" t="str">
        <f>IF('Banking - Non PDF'!$C$300="","",'Banking - Non PDF'!$C$300)</f>
        <v/>
      </c>
      <c r="E16" s="7" t="str">
        <f>IF('Banking - Non PDF'!$F$300="","",'Banking - Non PDF'!$F$300)</f>
        <v/>
      </c>
      <c r="F16" s="7" t="str">
        <f>IF('Banking - Non PDF'!$K$300="","",'Banking - Non PDF'!$K$300)</f>
        <v/>
      </c>
      <c r="G16" s="180">
        <f>'Banking - Non PDF'!$U$315</f>
        <v>0</v>
      </c>
      <c r="H16" s="180">
        <f>'Banking - Non PDF'!$V$315</f>
        <v>0</v>
      </c>
      <c r="I16" s="180">
        <f>'Banking - Non PDF'!$G$316</f>
        <v>0</v>
      </c>
      <c r="J16" s="183">
        <f>'Banking - Non PDF'!$Q$315</f>
        <v>0</v>
      </c>
      <c r="K16" s="184"/>
      <c r="L16" s="185">
        <f>'Banking - Non PDF'!$S$315</f>
        <v>0</v>
      </c>
      <c r="M16" s="185">
        <f>'Banking - Non PDF'!$T$315</f>
        <v>0</v>
      </c>
      <c r="N16" s="186">
        <f t="shared" si="0"/>
        <v>0</v>
      </c>
      <c r="O16" s="187">
        <f t="shared" si="1"/>
        <v>0</v>
      </c>
    </row>
    <row r="17" spans="1:15">
      <c r="A17" s="7">
        <v>14</v>
      </c>
      <c r="B17" s="3" t="str">
        <f>IF('Banking - Non PDF'!$C$321="","",'Banking - Non PDF'!$C$321)</f>
        <v/>
      </c>
      <c r="C17" s="3" t="str">
        <f>IF('Banking - Non PDF'!$C$322="","",'Banking - Non PDF'!$C$322)</f>
        <v/>
      </c>
      <c r="D17" s="3" t="str">
        <f>IF('Banking - Non PDF'!$C$323="","",'Banking - Non PDF'!$C$323)</f>
        <v/>
      </c>
      <c r="E17" s="7" t="str">
        <f>IF('Banking - Non PDF'!$F$323="","",'Banking - Non PDF'!$F$323)</f>
        <v/>
      </c>
      <c r="F17" s="7" t="str">
        <f>IF('Banking - Non PDF'!$K$323="","",'Banking - Non PDF'!$K$323)</f>
        <v/>
      </c>
      <c r="G17" s="180">
        <f>'Banking - Non PDF'!$U$338</f>
        <v>0</v>
      </c>
      <c r="H17" s="180">
        <f>'Banking - Non PDF'!$V$338</f>
        <v>0</v>
      </c>
      <c r="I17" s="180">
        <f>'Banking - Non PDF'!$G$339</f>
        <v>0</v>
      </c>
      <c r="J17" s="183">
        <f>'Banking - Non PDF'!$Q$338</f>
        <v>0</v>
      </c>
      <c r="K17" s="184"/>
      <c r="L17" s="185">
        <f>'Banking - Non PDF'!$S$338</f>
        <v>0</v>
      </c>
      <c r="M17" s="185">
        <f>'Banking - Non PDF'!$T$338</f>
        <v>0</v>
      </c>
      <c r="N17" s="186">
        <f t="shared" si="0"/>
        <v>0</v>
      </c>
      <c r="O17" s="187">
        <f t="shared" si="1"/>
        <v>0</v>
      </c>
    </row>
    <row r="18" spans="1:15">
      <c r="A18" s="7">
        <v>15</v>
      </c>
      <c r="B18" s="3" t="str">
        <f>IF('Banking - Non PDF'!$C$344="","",'Banking - Non PDF'!$C$344)</f>
        <v/>
      </c>
      <c r="C18" s="3" t="str">
        <f>IF('Banking - Non PDF'!$C$345="","",'Banking - Non PDF'!$C$345)</f>
        <v/>
      </c>
      <c r="D18" s="3" t="str">
        <f>IF('Banking - Non PDF'!$C$346="","",'Banking - Non PDF'!$C$346)</f>
        <v/>
      </c>
      <c r="E18" s="7" t="str">
        <f>IF('Banking - Non PDF'!$F$346="","",'Banking - Non PDF'!$F$346)</f>
        <v/>
      </c>
      <c r="F18" s="7" t="str">
        <f>IF('Banking - Non PDF'!$K$346="","",'Banking - Non PDF'!$K$346)</f>
        <v/>
      </c>
      <c r="G18" s="180">
        <f>'Banking - Non PDF'!$U$361</f>
        <v>0</v>
      </c>
      <c r="H18" s="180">
        <f>'Banking - Non PDF'!$V$361</f>
        <v>0</v>
      </c>
      <c r="I18" s="180">
        <f>'Banking - Non PDF'!$G$362</f>
        <v>0</v>
      </c>
      <c r="J18" s="183">
        <f>'Banking - Non PDF'!$Q$361</f>
        <v>0</v>
      </c>
      <c r="K18" s="184"/>
      <c r="L18" s="185">
        <f>'Banking - Non PDF'!$S$361</f>
        <v>0</v>
      </c>
      <c r="M18" s="185">
        <f>'Banking - Non PDF'!$T$361</f>
        <v>0</v>
      </c>
      <c r="N18" s="186">
        <f t="shared" si="0"/>
        <v>0</v>
      </c>
      <c r="O18" s="187">
        <f t="shared" si="1"/>
        <v>0</v>
      </c>
    </row>
    <row r="19" spans="1:15">
      <c r="A19" s="7">
        <v>16</v>
      </c>
      <c r="B19" s="3" t="str">
        <f>IF('Banking - Non PDF'!$C$367="","",'Banking - Non PDF'!$C$367)</f>
        <v/>
      </c>
      <c r="C19" s="3" t="str">
        <f>IF('Banking - Non PDF'!$C$368="","",'Banking - Non PDF'!$C$368)</f>
        <v/>
      </c>
      <c r="D19" s="3" t="str">
        <f>IF('Banking - Non PDF'!$C$369="","",'Banking - Non PDF'!$C$369)</f>
        <v/>
      </c>
      <c r="E19" s="7" t="str">
        <f>IF('Banking - Non PDF'!$F$369="","",'Banking - Non PDF'!$F$369)</f>
        <v/>
      </c>
      <c r="F19" s="7" t="str">
        <f>IF('Banking - Non PDF'!$K$369="","",'Banking - Non PDF'!$K$369)</f>
        <v/>
      </c>
      <c r="G19" s="180">
        <f>'Banking - Non PDF'!$U$384</f>
        <v>0</v>
      </c>
      <c r="H19" s="180">
        <f>'Banking - Non PDF'!$V$384</f>
        <v>0</v>
      </c>
      <c r="I19" s="180">
        <f>'Banking - Non PDF'!$G$385</f>
        <v>0</v>
      </c>
      <c r="J19" s="183">
        <f>'Banking - Non PDF'!$Q$384</f>
        <v>0</v>
      </c>
      <c r="K19" s="184"/>
      <c r="L19" s="185">
        <f>'Banking - Non PDF'!$S$384</f>
        <v>0</v>
      </c>
      <c r="M19" s="185">
        <f>'Banking - Non PDF'!$T$384</f>
        <v>0</v>
      </c>
      <c r="N19" s="186">
        <f t="shared" si="0"/>
        <v>0</v>
      </c>
      <c r="O19" s="187">
        <f t="shared" si="1"/>
        <v>0</v>
      </c>
    </row>
    <row r="20" spans="1:15">
      <c r="A20" s="7">
        <v>17</v>
      </c>
      <c r="B20" s="3" t="str">
        <f>IF('Banking - Non PDF'!$C$390="","",'Banking - Non PDF'!$C$390)</f>
        <v/>
      </c>
      <c r="C20" s="3" t="str">
        <f>IF('Banking - Non PDF'!$C$391="","",'Banking - Non PDF'!$C$391)</f>
        <v/>
      </c>
      <c r="D20" s="3" t="str">
        <f>IF('Banking - Non PDF'!$C$392="","",'Banking - Non PDF'!$C$392)</f>
        <v/>
      </c>
      <c r="E20" s="7" t="str">
        <f>IF('Banking - Non PDF'!$F$392="","",'Banking - Non PDF'!$F$392)</f>
        <v/>
      </c>
      <c r="F20" s="7" t="str">
        <f>IF('Banking - Non PDF'!$K$392="","",'Banking - Non PDF'!$K$392)</f>
        <v/>
      </c>
      <c r="G20" s="180">
        <f>'Banking - Non PDF'!$U$407</f>
        <v>0</v>
      </c>
      <c r="H20" s="180">
        <f>'Banking - Non PDF'!$V$407</f>
        <v>0</v>
      </c>
      <c r="I20" s="180">
        <f>'Banking - Non PDF'!$G$408</f>
        <v>0</v>
      </c>
      <c r="J20" s="183">
        <f>'Banking - Non PDF'!$Q$407</f>
        <v>0</v>
      </c>
      <c r="K20" s="184"/>
      <c r="L20" s="185">
        <f>'Banking - Non PDF'!$S$407</f>
        <v>0</v>
      </c>
      <c r="M20" s="185">
        <f>'Banking - Non PDF'!$T$407</f>
        <v>0</v>
      </c>
      <c r="N20" s="186">
        <f t="shared" si="0"/>
        <v>0</v>
      </c>
      <c r="O20" s="187">
        <f t="shared" si="1"/>
        <v>0</v>
      </c>
    </row>
    <row r="21" spans="1:15">
      <c r="A21" s="7">
        <v>18</v>
      </c>
      <c r="B21" s="3" t="str">
        <f>IF('Banking - Non PDF'!$C$413="","",'Banking - Non PDF'!$C$413)</f>
        <v/>
      </c>
      <c r="C21" s="3" t="str">
        <f>IF('Banking - Non PDF'!$C$414="","",'Banking - Non PDF'!$C$414)</f>
        <v/>
      </c>
      <c r="D21" s="3" t="str">
        <f>IF('Banking - Non PDF'!$C$415="","",'Banking - Non PDF'!$C$415)</f>
        <v/>
      </c>
      <c r="E21" s="7" t="str">
        <f>IF('Banking - Non PDF'!$F$415="","",'Banking - Non PDF'!$F$415)</f>
        <v/>
      </c>
      <c r="F21" s="7" t="str">
        <f>IF('Banking - Non PDF'!$K$415="","",'Banking - Non PDF'!$K$415)</f>
        <v/>
      </c>
      <c r="G21" s="180">
        <f>'Banking - Non PDF'!$U$430</f>
        <v>0</v>
      </c>
      <c r="H21" s="180">
        <f>'Banking - Non PDF'!$V$430</f>
        <v>0</v>
      </c>
      <c r="I21" s="180">
        <f>'Banking - Non PDF'!$G$431</f>
        <v>0</v>
      </c>
      <c r="J21" s="183">
        <f>'Banking - Non PDF'!$Q$430</f>
        <v>0</v>
      </c>
      <c r="K21" s="184"/>
      <c r="L21" s="185">
        <f>'Banking - Non PDF'!$S$430</f>
        <v>0</v>
      </c>
      <c r="M21" s="185">
        <f>'Banking - Non PDF'!$T$430</f>
        <v>0</v>
      </c>
      <c r="N21" s="186">
        <f t="shared" si="0"/>
        <v>0</v>
      </c>
      <c r="O21" s="187">
        <f t="shared" si="1"/>
        <v>0</v>
      </c>
    </row>
    <row r="22" spans="1:15">
      <c r="A22" s="7">
        <v>19</v>
      </c>
      <c r="B22" s="3" t="str">
        <f>IF('Banking - Non PDF'!$C$436="","",'Banking - Non PDF'!$C$436)</f>
        <v/>
      </c>
      <c r="C22" s="3" t="str">
        <f>IF('Banking - Non PDF'!$C$437="","",'Banking - Non PDF'!$C$437)</f>
        <v/>
      </c>
      <c r="D22" s="3" t="str">
        <f>IF('Banking - Non PDF'!$C$438="","",'Banking - Non PDF'!$C$438)</f>
        <v/>
      </c>
      <c r="E22" s="7" t="str">
        <f>IF('Banking - Non PDF'!$F$438="","",'Banking - Non PDF'!$F$438)</f>
        <v/>
      </c>
      <c r="F22" s="7" t="str">
        <f>IF('Banking - Non PDF'!$K$438="","",'Banking - Non PDF'!$K$438)</f>
        <v/>
      </c>
      <c r="G22" s="180">
        <f>'Banking - Non PDF'!$U$453</f>
        <v>0</v>
      </c>
      <c r="H22" s="180">
        <f>'Banking - Non PDF'!$V$453</f>
        <v>0</v>
      </c>
      <c r="I22" s="180">
        <f>'Banking - Non PDF'!$G$454</f>
        <v>0</v>
      </c>
      <c r="J22" s="183">
        <f>'Banking - Non PDF'!$Q$453</f>
        <v>0</v>
      </c>
      <c r="K22" s="184"/>
      <c r="L22" s="185">
        <f>'Banking - Non PDF'!$S$453</f>
        <v>0</v>
      </c>
      <c r="M22" s="185">
        <f>'Banking - Non PDF'!$T$453</f>
        <v>0</v>
      </c>
      <c r="N22" s="186">
        <f t="shared" si="0"/>
        <v>0</v>
      </c>
      <c r="O22" s="187">
        <f t="shared" si="1"/>
        <v>0</v>
      </c>
    </row>
    <row r="23" spans="1:15">
      <c r="A23" s="7">
        <v>20</v>
      </c>
      <c r="B23" s="3" t="str">
        <f>IF('Banking - Non PDF'!$C$459="","",'Banking - Non PDF'!$C$459)</f>
        <v/>
      </c>
      <c r="C23" s="3" t="str">
        <f>IF('Banking - Non PDF'!$C$460="","",'Banking - Non PDF'!$C$460)</f>
        <v/>
      </c>
      <c r="D23" s="3" t="str">
        <f>IF('Banking - Non PDF'!$C$461="","",'Banking - Non PDF'!$C$461)</f>
        <v/>
      </c>
      <c r="E23" s="7" t="str">
        <f>IF('Banking - Non PDF'!$F$461="","",'Banking - Non PDF'!$F$461)</f>
        <v/>
      </c>
      <c r="F23" s="7" t="str">
        <f>IF('Banking - Non PDF'!$K$461="","",'Banking - Non PDF'!$K$461)</f>
        <v/>
      </c>
      <c r="G23" s="180">
        <f>'Banking - Non PDF'!$U$476</f>
        <v>0</v>
      </c>
      <c r="H23" s="180">
        <f>'Banking - Non PDF'!$V$476</f>
        <v>0</v>
      </c>
      <c r="I23" s="180">
        <f>'Banking - Non PDF'!$G$477</f>
        <v>0</v>
      </c>
      <c r="J23" s="183">
        <f>'Banking - Non PDF'!$Q$476</f>
        <v>0</v>
      </c>
      <c r="K23" s="184"/>
      <c r="L23" s="185">
        <f>'Banking - Non PDF'!$S$476</f>
        <v>0</v>
      </c>
      <c r="M23" s="185">
        <f>'Banking - Non PDF'!$T$476</f>
        <v>0</v>
      </c>
      <c r="N23" s="186">
        <f t="shared" si="0"/>
        <v>0</v>
      </c>
      <c r="O23" s="187">
        <f t="shared" si="1"/>
        <v>0</v>
      </c>
    </row>
    <row r="24" spans="1:15">
      <c r="A24" s="521" t="s">
        <v>39</v>
      </c>
      <c r="B24" s="521"/>
      <c r="C24" s="521"/>
      <c r="D24" s="521"/>
      <c r="E24" s="181"/>
      <c r="F24" s="181"/>
      <c r="G24" s="182">
        <f t="shared" ref="G24:J24" si="2">SUM(G4:G23)</f>
        <v>1677362</v>
      </c>
      <c r="H24" s="182">
        <f t="shared" si="2"/>
        <v>688306</v>
      </c>
      <c r="I24" s="182">
        <f t="shared" si="2"/>
        <v>150819.66666666666</v>
      </c>
      <c r="J24" s="182">
        <f t="shared" si="2"/>
        <v>0</v>
      </c>
      <c r="K24" s="188"/>
      <c r="L24" s="182">
        <f t="shared" ref="L24:N24" si="3">SUM(L4:L23)</f>
        <v>38</v>
      </c>
      <c r="M24" s="182">
        <f t="shared" si="3"/>
        <v>387</v>
      </c>
      <c r="N24" s="182">
        <f t="shared" si="3"/>
        <v>425</v>
      </c>
      <c r="O24" s="189">
        <f t="shared" si="1"/>
        <v>0</v>
      </c>
    </row>
    <row r="25" spans="1:15">
      <c r="A25" s="121"/>
      <c r="B25" s="121"/>
      <c r="C25" s="121"/>
    </row>
    <row r="26" spans="1:15">
      <c r="A26" s="1"/>
      <c r="C26" s="5" t="s">
        <v>57</v>
      </c>
    </row>
    <row r="27" spans="1:15">
      <c r="A27" s="400" t="s">
        <v>58</v>
      </c>
      <c r="B27" s="402"/>
      <c r="C27" s="10"/>
    </row>
    <row r="28" spans="1:15">
      <c r="A28" s="524" t="s">
        <v>712</v>
      </c>
      <c r="B28" s="525"/>
      <c r="C28" s="144">
        <f>SUMIF($K$4:$K$23,"Yes",$I$4:$I$23)*50%</f>
        <v>0</v>
      </c>
    </row>
    <row r="29" spans="1:15">
      <c r="A29" s="524" t="s">
        <v>692</v>
      </c>
      <c r="B29" s="525"/>
      <c r="C29" s="145">
        <f>BasicInput!$D$27</f>
        <v>3000000</v>
      </c>
    </row>
    <row r="30" spans="1:15">
      <c r="A30" s="526" t="s">
        <v>693</v>
      </c>
      <c r="B30" s="527"/>
      <c r="C30" s="12">
        <f>'ExistingLoans&amp;Facilities&amp;RTR'!$N$103</f>
        <v>0</v>
      </c>
    </row>
    <row r="31" spans="1:15">
      <c r="A31" s="526" t="s">
        <v>694</v>
      </c>
      <c r="B31" s="527"/>
      <c r="C31" s="12">
        <f>BasicInput!$G$28</f>
        <v>33033</v>
      </c>
    </row>
    <row r="32" spans="1:15">
      <c r="A32" s="526" t="s">
        <v>695</v>
      </c>
      <c r="B32" s="527"/>
      <c r="C32" s="12">
        <f>SUMIF(BasicInput!$B$22:$B$26,Validation!$A$38,BasicInput!$G$22:$G$26)</f>
        <v>0</v>
      </c>
    </row>
    <row r="33" spans="1:16">
      <c r="A33" s="524" t="s">
        <v>696</v>
      </c>
      <c r="B33" s="525"/>
      <c r="C33" s="16">
        <f>IF(SUM(C30:C31)=0,0,IFERROR(SUM(C30:C31)/C28,100000%))</f>
        <v>1000</v>
      </c>
    </row>
    <row r="34" spans="1:16">
      <c r="A34" s="524" t="s">
        <v>697</v>
      </c>
      <c r="B34" s="525"/>
      <c r="C34" s="16">
        <f>IF(SUM(C30:C32)=0,0,IFERROR(SUM(C30:C32)/C28,100000%))</f>
        <v>1000</v>
      </c>
    </row>
    <row r="35" spans="1:16">
      <c r="A35" s="524" t="s">
        <v>698</v>
      </c>
      <c r="B35" s="525"/>
      <c r="C35" s="16">
        <f>IFERROR(SUMIF(BasicInput!$B$22:$B$26,Validation!$A$38,BasicInput!$G$22:$G$26)/C28,0)</f>
        <v>0</v>
      </c>
    </row>
    <row r="36" spans="1:16">
      <c r="A36" s="524" t="s">
        <v>699</v>
      </c>
      <c r="B36" s="525"/>
      <c r="C36" s="13">
        <f>MAX(IFERROR(((VLOOKUP($H$1,Validation!$O$2:$W$631,6,0)+IF(AND(BasicInput!$H$28&lt;&gt;"Ins",COUNTIF(BasicInput!$B$22:$B$26,Validation!$A$38)&gt;=1),MIN(SUMIF(BasicInput!$B$22:$B$26,Validation!$A$38,BasicInput!$G$22:$G$26)/C28,5%),0%))*C28-C30)/BasicInput!$F$28,0),0)</f>
        <v>0</v>
      </c>
    </row>
    <row r="37" spans="1:16">
      <c r="A37" s="524" t="s">
        <v>700</v>
      </c>
      <c r="B37" s="525"/>
      <c r="C37" s="16">
        <f>IFERROR((BasicInput!$D$28+$G$49)/$M$49,0)</f>
        <v>0</v>
      </c>
    </row>
    <row r="38" spans="1:16">
      <c r="A38" s="524" t="s">
        <v>701</v>
      </c>
      <c r="B38" s="525"/>
      <c r="C38" s="16">
        <f>IFERROR((BasicInput!$D$27+$G$49)/$M$49,0)</f>
        <v>0</v>
      </c>
    </row>
    <row r="39" spans="1:16">
      <c r="A39" s="524" t="s">
        <v>702</v>
      </c>
      <c r="B39" s="525"/>
      <c r="C39" s="16">
        <f>IFERROR(SUMIF(BasicInput!$B$22:$B$26,Validation!$A$38,BasicInput!$D$22:$D$26)/$M$49,0)</f>
        <v>0</v>
      </c>
    </row>
    <row r="40" spans="1:16">
      <c r="A40" s="524" t="s">
        <v>703</v>
      </c>
      <c r="B40" s="525"/>
      <c r="C40" s="13">
        <f>MAX($O$49,0)</f>
        <v>0</v>
      </c>
    </row>
    <row r="41" spans="1:16">
      <c r="A41" s="528" t="s">
        <v>704</v>
      </c>
      <c r="B41" s="529"/>
      <c r="C41" s="18">
        <f>MIN(C29,C36,C40)</f>
        <v>0</v>
      </c>
    </row>
    <row r="42" spans="1:16"/>
    <row r="43" spans="1:16" ht="51">
      <c r="A43" s="10" t="s">
        <v>42</v>
      </c>
      <c r="B43" s="10" t="s">
        <v>43</v>
      </c>
      <c r="C43" s="10" t="s">
        <v>44</v>
      </c>
      <c r="D43" s="10" t="s">
        <v>45</v>
      </c>
      <c r="E43" s="10" t="s">
        <v>46</v>
      </c>
      <c r="F43" s="10" t="s">
        <v>47</v>
      </c>
      <c r="G43" s="10" t="s">
        <v>48</v>
      </c>
      <c r="H43" s="10" t="s">
        <v>49</v>
      </c>
      <c r="I43" s="10" t="s">
        <v>50</v>
      </c>
      <c r="J43" s="10" t="s">
        <v>51</v>
      </c>
      <c r="K43" s="10" t="s">
        <v>52</v>
      </c>
      <c r="L43" s="10" t="s">
        <v>53</v>
      </c>
      <c r="M43" s="10" t="s">
        <v>54</v>
      </c>
      <c r="N43" s="10" t="s">
        <v>705</v>
      </c>
      <c r="O43" s="10" t="s">
        <v>706</v>
      </c>
    </row>
    <row r="44" spans="1:16" ht="51">
      <c r="A44" s="3" t="str">
        <f>IF(BasicInput!$B$34="","",BasicInput!$B$34)</f>
        <v/>
      </c>
      <c r="B44" s="3" t="str">
        <f>IF(BasicInput!$C$34="","",BasicInput!$C$34)</f>
        <v/>
      </c>
      <c r="C44" s="3" t="str">
        <f>IF(BasicInput!$D$34="","",BasicInput!$D$34)</f>
        <v/>
      </c>
      <c r="D44" s="3" t="str">
        <f>IF(BasicInput!$E$34="","",BasicInput!$E$34)</f>
        <v/>
      </c>
      <c r="E44" s="3" t="str">
        <f>IF(BasicInput!$F$34="","",BasicInput!$F$34)</f>
        <v/>
      </c>
      <c r="F44" s="7" t="str">
        <f>IF(BasicInput!$G$34="","",BasicInput!$G$34)</f>
        <v/>
      </c>
      <c r="G44" s="12">
        <f>IF(BasicInput!$H$34="",0,BasicInput!$H$34)</f>
        <v>0</v>
      </c>
      <c r="H44" s="12">
        <f>IF(BasicInput!$I$34="",0,BasicInput!$I$34)</f>
        <v>0</v>
      </c>
      <c r="I44" s="12">
        <f>IF(BasicInput!$J$34="",0,BasicInput!$J$34)</f>
        <v>0</v>
      </c>
      <c r="J44" s="12">
        <f>IF(BasicInput!$K$34="",0,BasicInput!$K$34)</f>
        <v>0</v>
      </c>
      <c r="K44" s="11" t="str">
        <f>IF(BasicInput!$L$34="","",BasicInput!$L$34)</f>
        <v/>
      </c>
      <c r="L44" s="11" t="str">
        <f>IF(BasicInput!$M$34="","",BasicInput!$M$34)</f>
        <v/>
      </c>
      <c r="M44" s="12" t="str">
        <f>IF(BasicInput!$N$34="",0,BasicInput!$N$34)</f>
        <v>Agreement Value / Property Cost required</v>
      </c>
      <c r="N44" s="11">
        <f>IFERROR(IF(AND(OR(BasicInput!$H$28="HL",BasicInput!$H$28="HLIns"),BasicInput!$B$28&gt;=1),MIN(P44-IF(E44=Validation!$A$83,5%,0%),VLOOKUP($H$1,Validation!$O$2:$X$631,10,0))+IF(AND(BasicInput!$H$28&lt;&gt;"Ins",COUNTIF(BasicInput!$B$22:$B$26,Validation!$A$38)&gt;=1),MIN(SUMIF(BasicInput!$B$22:$B$26,Validation!$A$38,BasicInput!$D$22:$D$26)/BasicInput!$J$40,5%),0%)-IF(B44=Validation!$A$76,10%,0%)-IF(AND(BasicInput!$H$28&lt;&gt;"HL",BasicInput!$H$28&lt;&gt;"HLIns",COUNTIF(BasicInput!$B$22:$B$26,Validation!$A$30)&gt;=1,B44=Validation!$A$75),20%,0%),0)+IF(AND($D$2&lt;&gt;0,B44=Validation!$A$76,K44=100%,COUNTIF(BasicInput!$B$22:$B$26,Validation!$A$33)&gt;=1),5%,0),0)</f>
        <v>0</v>
      </c>
      <c r="O44" s="20">
        <f>IFERROR(IF(AND(OR(BasicInput!$H$28="HL",BasicInput!$H$28="HLIns"),COUNTIF(BasicInput!$B$22:$B$26,Validation!$A$23)&gt;=1,B44=Validation!$A$75),MIN(M44*N44,J44*(80%-IF(E44=Validation!$A$83,5%,0%)+IF(AND(BasicInput!$H$28&lt;&gt;"Ins",COUNTIF(BasicInput!$B$22:$B$26,Validation!$A$38)&gt;=1),MIN(SUMIF(BasicInput!$B$22:$B$26,Validation!$A$38,BasicInput!$D$22:$D$26)/BasicInput!$J$40,5%),0%))),M44*N44)-G44,0)</f>
        <v>0</v>
      </c>
      <c r="P44" s="190" t="b">
        <f>IF(AND(OR(BasicInput!$H$28="HL",BasicInput!$H$28="HLIns"),COUNTIF(BasicInput!$B$22:$B$26,Validation!$A$23)&gt;=1,B44=Validation!$A$75),75%,IF(AND(OR(BasicInput!$H$28="HL",BasicInput!$H$28="HLIns"),BasicInput!$B$28&gt;=1,OR(B44=Validation!$A$73,B44=Validation!$A$74)),IF((BasicInput!$D$28+BasicInput!$H$39)&gt;7500000,75%,IF((BasicInput!$D$28+BasicInput!$H$39)&gt;3000000,80%,90%))))</f>
        <v>0</v>
      </c>
    </row>
    <row r="45" spans="1:16" ht="51">
      <c r="A45" s="3" t="str">
        <f>IF(BasicInput!$B$35="","",BasicInput!$B$35)</f>
        <v/>
      </c>
      <c r="B45" s="3" t="str">
        <f>IF(BasicInput!$C$35="","",BasicInput!$C$35)</f>
        <v/>
      </c>
      <c r="C45" s="3" t="str">
        <f>IF(BasicInput!$D$35="","",BasicInput!$D$35)</f>
        <v/>
      </c>
      <c r="D45" s="3" t="str">
        <f>IF(BasicInput!$E$35="","",BasicInput!$E$35)</f>
        <v/>
      </c>
      <c r="E45" s="3" t="str">
        <f>IF(BasicInput!$F$35="","",BasicInput!$F$35)</f>
        <v/>
      </c>
      <c r="F45" s="7" t="str">
        <f>IF(BasicInput!$G$35="","",BasicInput!$G$35)</f>
        <v/>
      </c>
      <c r="G45" s="12">
        <f>IF(BasicInput!$H$35="",0,BasicInput!$H$35)</f>
        <v>0</v>
      </c>
      <c r="H45" s="12">
        <f>IF(BasicInput!$I$35="",0,BasicInput!$I$35)</f>
        <v>0</v>
      </c>
      <c r="I45" s="12">
        <f>IF(BasicInput!$J$35="",0,BasicInput!$J$35)</f>
        <v>0</v>
      </c>
      <c r="J45" s="12">
        <f>IF(BasicInput!$K$35="",0,BasicInput!$K$35)</f>
        <v>0</v>
      </c>
      <c r="K45" s="11" t="str">
        <f>IF(BasicInput!$L$35="","",BasicInput!$L$35)</f>
        <v/>
      </c>
      <c r="L45" s="11" t="str">
        <f>IF(BasicInput!$M$35="","",BasicInput!$M$35)</f>
        <v/>
      </c>
      <c r="M45" s="12" t="str">
        <f>IF(BasicInput!$N$35="",0,BasicInput!$N$35)</f>
        <v>Agreement Value / Property Cost required</v>
      </c>
      <c r="N45" s="11">
        <f>IFERROR(IF(AND(OR(BasicInput!$H$28="HL",BasicInput!$H$28="HLIns"),BasicInput!$B$28&gt;=1),MIN(P45-IF(E45=Validation!$A$83,5%,0%),VLOOKUP($H$1,Validation!$O$2:$X$631,10,0))+IF(AND(BasicInput!$H$28&lt;&gt;"Ins",COUNTIF(BasicInput!$B$22:$B$26,Validation!$A$38)&gt;=1),MIN(SUMIF(BasicInput!$B$22:$B$26,Validation!$A$38,BasicInput!$D$22:$D$26)/BasicInput!$J$40,5%),0%)-IF(B45=Validation!$A$76,10%,0%)-IF(AND(BasicInput!$H$28&lt;&gt;"HL",BasicInput!$H$28&lt;&gt;"HLIns",COUNTIF(BasicInput!$B$22:$B$26,Validation!$A$30)&gt;=1,B45=Validation!$A$75),20%,0%),0)+IF(AND($D$2&lt;&gt;0,B45=Validation!$A$76,K45=100%,COUNTIF(BasicInput!$B$22:$B$26,Validation!$A$33)&gt;=1),5%,0),0)</f>
        <v>0</v>
      </c>
      <c r="O45" s="20">
        <f>IFERROR(IF(AND(OR(BasicInput!$H$28="HL",BasicInput!$H$28="HLIns"),COUNTIF(BasicInput!$B$22:$B$26,Validation!$A$23)&gt;=1,B45=Validation!$A$75),MIN(M45*N45,J45*(80%-IF(E45=Validation!$A$83,5%,0%)+IF(AND(BasicInput!$H$28&lt;&gt;"Ins",COUNTIF(BasicInput!$B$22:$B$26,Validation!$A$38)&gt;=1),MIN(SUMIF(BasicInput!$B$22:$B$26,Validation!$A$38,BasicInput!$D$22:$D$26)/BasicInput!$J$40,5%),0%))),M45*N45)-G45,0)</f>
        <v>0</v>
      </c>
      <c r="P45" s="190" t="b">
        <f>IF(AND(OR(BasicInput!$H$28="HL",BasicInput!$H$28="HLIns"),COUNTIF(BasicInput!$B$22:$B$26,Validation!$A$23)&gt;=1,B45=Validation!$A$75),75%,IF(AND(OR(BasicInput!$H$28="HL",BasicInput!$H$28="HLIns"),BasicInput!$B$28&gt;=1,OR(B45=Validation!$A$73,B45=Validation!$A$74)),IF((BasicInput!$D$28+BasicInput!$H$39)&gt;7500000,75%,IF((BasicInput!$D$28+BasicInput!$H$39)&gt;3000000,80%,90%))))</f>
        <v>0</v>
      </c>
    </row>
    <row r="46" spans="1:16" ht="51">
      <c r="A46" s="3" t="str">
        <f>IF(BasicInput!$B$36="","",BasicInput!$B$36)</f>
        <v/>
      </c>
      <c r="B46" s="3" t="str">
        <f>IF(BasicInput!$C$36="","",BasicInput!$C$36)</f>
        <v/>
      </c>
      <c r="C46" s="3" t="str">
        <f>IF(BasicInput!$D$36="","",BasicInput!$D$36)</f>
        <v/>
      </c>
      <c r="D46" s="3" t="str">
        <f>IF(BasicInput!$E$36="","",BasicInput!$E$36)</f>
        <v/>
      </c>
      <c r="E46" s="3" t="str">
        <f>IF(BasicInput!$F$36="","",BasicInput!$F$36)</f>
        <v/>
      </c>
      <c r="F46" s="7" t="str">
        <f>IF(BasicInput!$G$36="","",BasicInput!$G$36)</f>
        <v/>
      </c>
      <c r="G46" s="12">
        <f>IF(BasicInput!$H$36="",0,BasicInput!$H$36)</f>
        <v>0</v>
      </c>
      <c r="H46" s="12">
        <f>IF(BasicInput!$I$36="",0,BasicInput!$I$36)</f>
        <v>0</v>
      </c>
      <c r="I46" s="12">
        <f>IF(BasicInput!$J$36="",0,BasicInput!$J$36)</f>
        <v>0</v>
      </c>
      <c r="J46" s="12">
        <f>IF(BasicInput!$K$36="",0,BasicInput!$K$36)</f>
        <v>0</v>
      </c>
      <c r="K46" s="11" t="str">
        <f>IF(BasicInput!$L$36="","",BasicInput!$L$36)</f>
        <v/>
      </c>
      <c r="L46" s="11" t="str">
        <f>IF(BasicInput!$M$36="","",BasicInput!$M$36)</f>
        <v/>
      </c>
      <c r="M46" s="12" t="str">
        <f>IF(BasicInput!$N$36="",0,BasicInput!$N$36)</f>
        <v>Agreement Value / Property Cost required</v>
      </c>
      <c r="N46" s="11">
        <f>IFERROR(IF(AND(OR(BasicInput!$H$28="HL",BasicInput!$H$28="HLIns"),BasicInput!$B$28&gt;=1),MIN(P46-IF(E46=Validation!$A$83,5%,0%),VLOOKUP($H$1,Validation!$O$2:$X$631,10,0))+IF(AND(BasicInput!$H$28&lt;&gt;"Ins",COUNTIF(BasicInput!$B$22:$B$26,Validation!$A$38)&gt;=1),MIN(SUMIF(BasicInput!$B$22:$B$26,Validation!$A$38,BasicInput!$D$22:$D$26)/BasicInput!$J$40,5%),0%)-IF(B46=Validation!$A$76,10%,0%)-IF(AND(BasicInput!$H$28&lt;&gt;"HL",BasicInput!$H$28&lt;&gt;"HLIns",COUNTIF(BasicInput!$B$22:$B$26,Validation!$A$30)&gt;=1,B46=Validation!$A$75),20%,0%),0)+IF(AND($D$2&lt;&gt;0,B46=Validation!$A$76,K46=100%,COUNTIF(BasicInput!$B$22:$B$26,Validation!$A$33)&gt;=1),5%,0),0)</f>
        <v>0</v>
      </c>
      <c r="O46" s="20">
        <f>IFERROR(IF(AND(OR(BasicInput!$H$28="HL",BasicInput!$H$28="HLIns"),COUNTIF(BasicInput!$B$22:$B$26,Validation!$A$23)&gt;=1,B46=Validation!$A$75),MIN(M46*N46,J46*(80%-IF(E46=Validation!$A$83,5%,0%)+IF(AND(BasicInput!$H$28&lt;&gt;"Ins",COUNTIF(BasicInput!$B$22:$B$26,Validation!$A$38)&gt;=1),MIN(SUMIF(BasicInput!$B$22:$B$26,Validation!$A$38,BasicInput!$D$22:$D$26)/BasicInput!$J$40,5%),0%))),M46*N46)-G46,0)</f>
        <v>0</v>
      </c>
      <c r="P46" s="190" t="b">
        <f>IF(AND(OR(BasicInput!$H$28="HL",BasicInput!$H$28="HLIns"),COUNTIF(BasicInput!$B$22:$B$26,Validation!$A$23)&gt;=1,B46=Validation!$A$75),75%,IF(AND(OR(BasicInput!$H$28="HL",BasicInput!$H$28="HLIns"),BasicInput!$B$28&gt;=1,OR(B46=Validation!$A$73,B46=Validation!$A$74)),IF((BasicInput!$D$28+BasicInput!$H$39)&gt;7500000,75%,IF((BasicInput!$D$28+BasicInput!$H$39)&gt;3000000,80%,90%))))</f>
        <v>0</v>
      </c>
    </row>
    <row r="47" spans="1:16" ht="51">
      <c r="A47" s="3" t="str">
        <f>IF(BasicInput!$B$37="","",BasicInput!$B$37)</f>
        <v/>
      </c>
      <c r="B47" s="3" t="str">
        <f>IF(BasicInput!$C$37="","",BasicInput!$C$37)</f>
        <v/>
      </c>
      <c r="C47" s="3" t="str">
        <f>IF(BasicInput!$D$37="","",BasicInput!$D$37)</f>
        <v/>
      </c>
      <c r="D47" s="3" t="str">
        <f>IF(BasicInput!$E$37="","",BasicInput!$E$37)</f>
        <v/>
      </c>
      <c r="E47" s="3" t="str">
        <f>IF(BasicInput!$F$37="","",BasicInput!$F$37)</f>
        <v/>
      </c>
      <c r="F47" s="7" t="str">
        <f>IF(BasicInput!$G$37="","",BasicInput!$G$37)</f>
        <v/>
      </c>
      <c r="G47" s="12">
        <f>IF(BasicInput!$H$37="",0,BasicInput!$H$37)</f>
        <v>0</v>
      </c>
      <c r="H47" s="12">
        <f>IF(BasicInput!$I$37="",0,BasicInput!$I$37)</f>
        <v>0</v>
      </c>
      <c r="I47" s="12">
        <f>IF(BasicInput!$J$37="",0,BasicInput!$J$37)</f>
        <v>0</v>
      </c>
      <c r="J47" s="12">
        <f>IF(BasicInput!$K$37="",0,BasicInput!$K$37)</f>
        <v>0</v>
      </c>
      <c r="K47" s="11" t="str">
        <f>IF(BasicInput!$L$37="","",BasicInput!$L$37)</f>
        <v/>
      </c>
      <c r="L47" s="11" t="str">
        <f>IF(BasicInput!$M$37="","",BasicInput!$M$37)</f>
        <v/>
      </c>
      <c r="M47" s="12" t="str">
        <f>IF(BasicInput!$N$37="",0,BasicInput!$N$37)</f>
        <v>Agreement Value / Property Cost required</v>
      </c>
      <c r="N47" s="11">
        <f>IFERROR(IF(AND(OR(BasicInput!$H$28="HL",BasicInput!$H$28="HLIns"),BasicInput!$B$28&gt;=1),MIN(P47-IF(E47=Validation!$A$83,5%,0%),VLOOKUP($H$1,Validation!$O$2:$X$631,10,0))+IF(AND(BasicInput!$H$28&lt;&gt;"Ins",COUNTIF(BasicInput!$B$22:$B$26,Validation!$A$38)&gt;=1),MIN(SUMIF(BasicInput!$B$22:$B$26,Validation!$A$38,BasicInput!$D$22:$D$26)/BasicInput!$J$40,5%),0%)-IF(B47=Validation!$A$76,10%,0%)-IF(AND(BasicInput!$H$28&lt;&gt;"HL",BasicInput!$H$28&lt;&gt;"HLIns",COUNTIF(BasicInput!$B$22:$B$26,Validation!$A$30)&gt;=1,B47=Validation!$A$75),20%,0%),0)+IF(AND($D$2&lt;&gt;0,B47=Validation!$A$76,K47=100%,COUNTIF(BasicInput!$B$22:$B$26,Validation!$A$33)&gt;=1),5%,0),0)</f>
        <v>0</v>
      </c>
      <c r="O47" s="20">
        <f>IFERROR(IF(AND(OR(BasicInput!$H$28="HL",BasicInput!$H$28="HLIns"),COUNTIF(BasicInput!$B$22:$B$26,Validation!$A$23)&gt;=1,B47=Validation!$A$75),MIN(M47*N47,J47*(80%-IF(E47=Validation!$A$83,5%,0%)+IF(AND(BasicInput!$H$28&lt;&gt;"Ins",COUNTIF(BasicInput!$B$22:$B$26,Validation!$A$38)&gt;=1),MIN(SUMIF(BasicInput!$B$22:$B$26,Validation!$A$38,BasicInput!$D$22:$D$26)/BasicInput!$J$40,5%),0%))),M47*N47)-G47,0)</f>
        <v>0</v>
      </c>
      <c r="P47" s="190" t="b">
        <f>IF(AND(OR(BasicInput!$H$28="HL",BasicInput!$H$28="HLIns"),COUNTIF(BasicInput!$B$22:$B$26,Validation!$A$23)&gt;=1,B47=Validation!$A$75),75%,IF(AND(OR(BasicInput!$H$28="HL",BasicInput!$H$28="HLIns"),BasicInput!$B$28&gt;=1,OR(B47=Validation!$A$73,B47=Validation!$A$74)),IF((BasicInput!$D$28+BasicInput!$H$39)&gt;7500000,75%,IF((BasicInput!$D$28+BasicInput!$H$39)&gt;3000000,80%,90%))))</f>
        <v>0</v>
      </c>
    </row>
    <row r="48" spans="1:16" ht="51">
      <c r="A48" s="3" t="str">
        <f>IF(BasicInput!$B$38="","",BasicInput!$B$38)</f>
        <v/>
      </c>
      <c r="B48" s="3" t="str">
        <f>IF(BasicInput!$C$38="","",BasicInput!$C$38)</f>
        <v/>
      </c>
      <c r="C48" s="3" t="str">
        <f>IF(BasicInput!$D$38="","",BasicInput!$D$38)</f>
        <v/>
      </c>
      <c r="D48" s="3" t="str">
        <f>IF(BasicInput!$E$38="","",BasicInput!$E$38)</f>
        <v/>
      </c>
      <c r="E48" s="3" t="str">
        <f>IF(BasicInput!$F$38="","",BasicInput!$F$38)</f>
        <v/>
      </c>
      <c r="F48" s="7" t="str">
        <f>IF(BasicInput!$G$38="","",BasicInput!$G$38)</f>
        <v/>
      </c>
      <c r="G48" s="12">
        <f>IF(BasicInput!$H$38="",0,BasicInput!$H$38)</f>
        <v>0</v>
      </c>
      <c r="H48" s="12">
        <f>IF(BasicInput!$I$38="",0,BasicInput!$I$38)</f>
        <v>0</v>
      </c>
      <c r="I48" s="12">
        <f>IF(BasicInput!$J$38="",0,BasicInput!$J$38)</f>
        <v>0</v>
      </c>
      <c r="J48" s="12">
        <f>IF(BasicInput!$K$38="",0,BasicInput!$K$38)</f>
        <v>0</v>
      </c>
      <c r="K48" s="11" t="str">
        <f>IF(BasicInput!$L$38="","",BasicInput!$L$38)</f>
        <v/>
      </c>
      <c r="L48" s="11" t="str">
        <f>IF(BasicInput!$M$38="","",BasicInput!$M$38)</f>
        <v/>
      </c>
      <c r="M48" s="12" t="str">
        <f>IF(BasicInput!$N$38="",0,BasicInput!$N$38)</f>
        <v>Agreement Value / Property Cost required</v>
      </c>
      <c r="N48" s="11">
        <f>IFERROR(IF(AND(OR(BasicInput!$H$28="HL",BasicInput!$H$28="HLIns"),BasicInput!$B$28&gt;=1),MIN(P48-IF(E48=Validation!$A$83,5%,0%),VLOOKUP($H$1,Validation!$O$2:$X$631,10,0))+IF(AND(BasicInput!$H$28&lt;&gt;"Ins",COUNTIF(BasicInput!$B$22:$B$26,Validation!$A$38)&gt;=1),MIN(SUMIF(BasicInput!$B$22:$B$26,Validation!$A$38,BasicInput!$D$22:$D$26)/BasicInput!$J$40,5%),0%)-IF(B48=Validation!$A$76,10%,0%)-IF(AND(BasicInput!$H$28&lt;&gt;"HL",BasicInput!$H$28&lt;&gt;"HLIns",COUNTIF(BasicInput!$B$22:$B$26,Validation!$A$30)&gt;=1,B48=Validation!$A$75),20%,0%),0)+IF(AND($D$2&lt;&gt;0,B48=Validation!$A$76,K48=100%,COUNTIF(BasicInput!$B$22:$B$26,Validation!$A$33)&gt;=1),5%,0),0)</f>
        <v>0</v>
      </c>
      <c r="O48" s="20">
        <f>IFERROR(IF(AND(OR(BasicInput!$H$28="HL",BasicInput!$H$28="HLIns"),COUNTIF(BasicInput!$B$22:$B$26,Validation!$A$23)&gt;=1,B48=Validation!$A$75),MIN(M48*N48,J48*(80%-IF(E48=Validation!$A$83,5%,0%)+IF(AND(BasicInput!$H$28&lt;&gt;"Ins",COUNTIF(BasicInput!$B$22:$B$26,Validation!$A$38)&gt;=1),MIN(SUMIF(BasicInput!$B$22:$B$26,Validation!$A$38,BasicInput!$D$22:$D$26)/BasicInput!$J$40,5%),0%))),M48*N48)-G48,0)</f>
        <v>0</v>
      </c>
      <c r="P48" s="190" t="b">
        <f>IF(AND(OR(BasicInput!$H$28="HL",BasicInput!$H$28="HLIns"),COUNTIF(BasicInput!$B$22:$B$26,Validation!$A$23)&gt;=1,B48=Validation!$A$75),75%,IF(AND(OR(BasicInput!$H$28="HL",BasicInput!$H$28="HLIns"),BasicInput!$B$28&gt;=1,OR(B48=Validation!$A$73,B48=Validation!$A$74)),IF((BasicInput!$D$28+BasicInput!$H$39)&gt;7500000,75%,IF((BasicInput!$D$28+BasicInput!$H$39)&gt;3000000,80%,90%))))</f>
        <v>0</v>
      </c>
    </row>
    <row r="49" spans="1:16">
      <c r="A49" s="524" t="s">
        <v>39</v>
      </c>
      <c r="B49" s="530"/>
      <c r="C49" s="530"/>
      <c r="D49" s="530"/>
      <c r="E49" s="530"/>
      <c r="F49" s="530"/>
      <c r="G49" s="13">
        <f>SUM(G44:G48)</f>
        <v>0</v>
      </c>
      <c r="H49" s="524"/>
      <c r="I49" s="530"/>
      <c r="J49" s="530"/>
      <c r="K49" s="530"/>
      <c r="L49" s="525"/>
      <c r="M49" s="13">
        <f>SUM(M44:M48)</f>
        <v>0</v>
      </c>
      <c r="N49" s="16"/>
      <c r="O49" s="13">
        <f>SUM(O44:O48)</f>
        <v>0</v>
      </c>
    </row>
    <row r="50" spans="1:16"/>
    <row r="51" spans="1:16"/>
    <row r="58" spans="1:16" s="176" customFormat="1" hidden="1">
      <c r="B58" s="177"/>
      <c r="C58" s="177"/>
      <c r="D58" s="177"/>
      <c r="E58" s="177"/>
      <c r="F58" s="177"/>
      <c r="H58" s="177"/>
      <c r="I58" s="177"/>
      <c r="J58" s="177"/>
      <c r="K58" s="177"/>
      <c r="L58" s="177"/>
      <c r="M58" s="177"/>
      <c r="N58" s="177"/>
      <c r="O58" s="177"/>
      <c r="P58" s="177"/>
    </row>
    <row r="59" spans="1:16" s="176" customFormat="1" hidden="1">
      <c r="B59" s="177"/>
      <c r="C59" s="177"/>
      <c r="D59" s="177"/>
      <c r="E59" s="177"/>
      <c r="F59" s="177"/>
      <c r="H59" s="177"/>
      <c r="I59" s="177"/>
      <c r="J59" s="177"/>
      <c r="K59" s="177"/>
      <c r="L59" s="177"/>
      <c r="M59" s="177"/>
      <c r="N59" s="177"/>
      <c r="O59" s="177"/>
      <c r="P59" s="177"/>
    </row>
    <row r="60" spans="1:16" s="176" customFormat="1" hidden="1">
      <c r="B60" s="177"/>
      <c r="C60" s="177"/>
      <c r="D60" s="177"/>
      <c r="E60" s="177"/>
      <c r="F60" s="177"/>
      <c r="H60" s="177"/>
      <c r="I60" s="177"/>
      <c r="J60" s="177"/>
      <c r="K60" s="177"/>
      <c r="L60" s="177"/>
      <c r="M60" s="177"/>
      <c r="N60" s="177"/>
      <c r="O60" s="177"/>
      <c r="P60" s="177"/>
    </row>
    <row r="61" spans="1:16" s="176" customFormat="1" hidden="1">
      <c r="B61" s="177"/>
      <c r="C61" s="177"/>
      <c r="D61" s="177"/>
      <c r="E61" s="177"/>
      <c r="F61" s="177"/>
      <c r="H61" s="177"/>
      <c r="I61" s="177"/>
      <c r="J61" s="177"/>
      <c r="K61" s="177"/>
      <c r="L61" s="177"/>
      <c r="M61" s="177"/>
      <c r="N61" s="177"/>
      <c r="O61" s="177"/>
      <c r="P61" s="177"/>
    </row>
    <row r="62" spans="1:16" s="176" customFormat="1" hidden="1">
      <c r="B62" s="177"/>
      <c r="C62" s="177"/>
      <c r="D62" s="177"/>
      <c r="E62" s="177"/>
      <c r="F62" s="177"/>
      <c r="H62" s="177"/>
      <c r="I62" s="177"/>
      <c r="J62" s="177"/>
      <c r="K62" s="177"/>
      <c r="L62" s="177"/>
      <c r="M62" s="177"/>
      <c r="N62" s="177"/>
      <c r="O62" s="177"/>
      <c r="P62" s="177"/>
    </row>
    <row r="63" spans="1:16" s="176" customFormat="1" hidden="1">
      <c r="B63" s="177"/>
      <c r="C63" s="177"/>
      <c r="D63" s="177"/>
      <c r="E63" s="177"/>
      <c r="F63" s="177"/>
      <c r="H63" s="177"/>
      <c r="I63" s="177"/>
      <c r="J63" s="177"/>
      <c r="K63" s="177"/>
      <c r="L63" s="177"/>
      <c r="M63" s="177"/>
      <c r="N63" s="177"/>
      <c r="O63" s="177"/>
      <c r="P63" s="177"/>
    </row>
    <row r="64" spans="1:16" s="176" customFormat="1" hidden="1">
      <c r="B64" s="177"/>
      <c r="C64" s="177"/>
      <c r="D64" s="177"/>
      <c r="E64" s="177"/>
      <c r="F64" s="177"/>
      <c r="H64" s="177"/>
      <c r="I64" s="177"/>
      <c r="J64" s="177"/>
      <c r="K64" s="177"/>
      <c r="L64" s="177"/>
      <c r="M64" s="177"/>
      <c r="N64" s="177"/>
      <c r="O64" s="177"/>
      <c r="P64" s="177"/>
    </row>
    <row r="65" spans="2:16" s="176" customFormat="1" hidden="1">
      <c r="B65" s="177"/>
      <c r="C65" s="177"/>
      <c r="D65" s="177"/>
      <c r="E65" s="177"/>
      <c r="F65" s="177"/>
      <c r="H65" s="177"/>
      <c r="I65" s="177"/>
      <c r="J65" s="177"/>
      <c r="K65" s="177"/>
      <c r="L65" s="177"/>
      <c r="M65" s="177"/>
      <c r="N65" s="177"/>
      <c r="O65" s="177"/>
      <c r="P65" s="177"/>
    </row>
    <row r="66" spans="2:16" s="176" customFormat="1" hidden="1">
      <c r="B66" s="177"/>
      <c r="C66" s="177"/>
      <c r="D66" s="177"/>
      <c r="E66" s="177"/>
      <c r="F66" s="177"/>
      <c r="H66" s="177"/>
      <c r="I66" s="177"/>
      <c r="J66" s="177"/>
      <c r="K66" s="177"/>
      <c r="L66" s="177"/>
      <c r="M66" s="177"/>
      <c r="N66" s="177"/>
      <c r="O66" s="177"/>
      <c r="P66" s="177"/>
    </row>
    <row r="67" spans="2:16" s="176" customFormat="1" hidden="1">
      <c r="B67" s="177"/>
      <c r="C67" s="177"/>
      <c r="D67" s="177"/>
      <c r="E67" s="177"/>
      <c r="F67" s="177"/>
      <c r="H67" s="177"/>
      <c r="I67" s="177"/>
      <c r="J67" s="177"/>
      <c r="K67" s="177"/>
      <c r="L67" s="177"/>
      <c r="M67" s="177"/>
      <c r="N67" s="177"/>
      <c r="O67" s="177"/>
      <c r="P67" s="177"/>
    </row>
    <row r="68" spans="2:16" s="176" customFormat="1" hidden="1">
      <c r="B68" s="177"/>
      <c r="C68" s="177"/>
      <c r="D68" s="177"/>
      <c r="E68" s="177"/>
      <c r="F68" s="177"/>
      <c r="H68" s="177"/>
      <c r="I68" s="177"/>
      <c r="J68" s="177"/>
      <c r="K68" s="177"/>
      <c r="L68" s="177"/>
      <c r="M68" s="177"/>
      <c r="N68" s="177"/>
      <c r="O68" s="177"/>
      <c r="P68" s="177"/>
    </row>
    <row r="69" spans="2:16" s="176" customFormat="1" hidden="1">
      <c r="B69" s="177"/>
      <c r="C69" s="177"/>
      <c r="D69" s="177"/>
      <c r="E69" s="177"/>
      <c r="F69" s="177"/>
      <c r="H69" s="177"/>
      <c r="I69" s="177"/>
      <c r="J69" s="177"/>
      <c r="K69" s="177"/>
      <c r="L69" s="177"/>
      <c r="M69" s="177"/>
      <c r="N69" s="177"/>
      <c r="O69" s="177"/>
      <c r="P69" s="177"/>
    </row>
  </sheetData>
  <sheetProtection algorithmName="SHA-512" hashValue="bsL6buuYYem3+QkF1YztCNXw2Zq1fpdNtAdPAInLew6ltuaetsH2Y/yJ2QsvKGT2vNWWWJ5w/iFysXqBjtUfxw==" saltValue="eJ4joGp23SyiYwT2jt8RDA==" spinCount="100000" sheet="1" formatCells="0" formatColumns="0" formatRows="0" insertColumns="0" insertRows="0" autoFilter="0"/>
  <mergeCells count="19">
    <mergeCell ref="A40:B40"/>
    <mergeCell ref="A41:B41"/>
    <mergeCell ref="A49:F49"/>
    <mergeCell ref="H49:L49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1:G1"/>
    <mergeCell ref="A24:D24"/>
    <mergeCell ref="A27:B27"/>
    <mergeCell ref="A28:B28"/>
    <mergeCell ref="A29:B29"/>
  </mergeCells>
  <conditionalFormatting sqref="J4:J23">
    <cfRule type="cellIs" dxfId="121" priority="1" operator="greaterThan">
      <formula>10</formula>
    </cfRule>
  </conditionalFormatting>
  <conditionalFormatting sqref="N4:N23">
    <cfRule type="cellIs" dxfId="120" priority="2" operator="lessThan">
      <formula>36</formula>
    </cfRule>
  </conditionalFormatting>
  <conditionalFormatting sqref="O4:O23">
    <cfRule type="cellIs" dxfId="119" priority="3" operator="greaterThan">
      <formula>0.01</formula>
    </cfRule>
  </conditionalFormatting>
  <dataValidations count="1">
    <dataValidation type="list" allowBlank="1" showInputMessage="1" showErrorMessage="1" sqref="K4:K23">
      <formula1>"Yes,No"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G124"/>
  <sheetViews>
    <sheetView workbookViewId="0">
      <selection activeCell="I37" sqref="I37"/>
    </sheetView>
  </sheetViews>
  <sheetFormatPr defaultColWidth="9.140625" defaultRowHeight="12.75"/>
  <cols>
    <col min="1" max="1" width="56.85546875" style="1" customWidth="1"/>
    <col min="2" max="2" width="15" style="1" customWidth="1"/>
    <col min="3" max="4" width="16.140625" style="1" customWidth="1"/>
    <col min="5" max="5" width="15" style="1" customWidth="1"/>
    <col min="6" max="6" width="10.42578125" style="1" customWidth="1"/>
    <col min="7" max="7" width="8.42578125" style="1" customWidth="1"/>
    <col min="8" max="16384" width="9.140625" style="1"/>
  </cols>
  <sheetData>
    <row r="1" spans="1:7" ht="18.75">
      <c r="A1" s="531" t="s">
        <v>713</v>
      </c>
      <c r="B1" s="531"/>
      <c r="C1" s="531"/>
      <c r="D1" s="531"/>
      <c r="E1" s="531"/>
      <c r="F1" s="531"/>
      <c r="G1" s="531"/>
    </row>
    <row r="3" spans="1:7">
      <c r="A3" s="45" t="s">
        <v>714</v>
      </c>
      <c r="B3" s="532" t="str">
        <f>IF(Afford1!B1="","",CONCATENATE(Afford1!B1," &amp; Group"))</f>
        <v>KANHAIYA BHARTI &amp; Group</v>
      </c>
      <c r="C3" s="532"/>
      <c r="D3" s="532"/>
      <c r="E3" s="532"/>
      <c r="F3" s="532"/>
      <c r="G3" s="532"/>
    </row>
    <row r="5" spans="1:7">
      <c r="A5" s="533" t="s">
        <v>715</v>
      </c>
      <c r="B5" s="533"/>
      <c r="C5" s="533"/>
      <c r="D5" s="533"/>
      <c r="E5" s="533"/>
      <c r="F5" s="533"/>
      <c r="G5" s="533"/>
    </row>
    <row r="6" spans="1:7">
      <c r="B6" s="534" t="s">
        <v>716</v>
      </c>
      <c r="C6" s="534"/>
      <c r="D6" s="534"/>
      <c r="E6" s="534"/>
    </row>
    <row r="7" spans="1:7" ht="38.25">
      <c r="A7" s="48" t="s">
        <v>717</v>
      </c>
      <c r="B7" s="150" t="str">
        <f>Afford1!B13</f>
        <v>Provisionals</v>
      </c>
      <c r="C7" s="150" t="str">
        <f>Afford1!C13</f>
        <v>FY 2023-24</v>
      </c>
      <c r="D7" s="150" t="str">
        <f>Afford1!D13</f>
        <v>FY 2022-23</v>
      </c>
      <c r="E7" s="150" t="str">
        <f>Afford1!E13</f>
        <v>FY 2021-22</v>
      </c>
      <c r="F7" s="52" t="s">
        <v>718</v>
      </c>
      <c r="G7" s="52" t="s">
        <v>719</v>
      </c>
    </row>
    <row r="8" spans="1:7">
      <c r="A8" s="153" t="s">
        <v>720</v>
      </c>
      <c r="B8" s="535"/>
      <c r="C8" s="536"/>
      <c r="D8" s="536"/>
      <c r="E8" s="537"/>
      <c r="F8" s="154"/>
      <c r="G8" s="154"/>
    </row>
    <row r="9" spans="1:7">
      <c r="A9" s="172" t="s">
        <v>721</v>
      </c>
      <c r="B9" s="173">
        <f>(IF(Afford1!$B$8="Y",Afford1!B15*Afford1!$B$9,0)+IF(Afford2!$B$8="Y",Afford2!B15*Afford2!$B$9,0)+IF(Afford3!$B$8="Y",Afford3!B15*Afford3!$B$9,0)+IF(Afford4!$B$8="Y",Afford4!B15*Afford4!$B$9,0)+IF(Afford5!$B$8="Y",Afford5!B15*Afford5!$B$9,0))/100000</f>
        <v>0</v>
      </c>
      <c r="C9" s="173">
        <f>(IF(Afford1!$B$8="Y",Afford1!C15*Afford1!$B$9,0)+IF(Afford2!$B$8="Y",Afford2!C15*Afford2!$B$9,0)+IF(Afford3!$B$8="Y",Afford3!C15*Afford3!$B$9,0)+IF(Afford4!$B$8="Y",Afford4!C15*Afford4!$B$9,0)+IF(Afford5!$B$8="Y",Afford5!C15*Afford5!$B$9,0))/100000</f>
        <v>0</v>
      </c>
      <c r="D9" s="173">
        <f>(IF(Afford1!$B$8="Y",Afford1!D15*Afford1!$B$9,0)+IF(Afford2!$B$8="Y",Afford2!D15*Afford2!$B$9,0)+IF(Afford3!$B$8="Y",Afford3!D15*Afford3!$B$9,0)+IF(Afford4!$B$8="Y",Afford4!D15*Afford4!$B$9,0)+IF(Afford5!$B$8="Y",Afford5!D15*Afford5!$B$9,0))/100000</f>
        <v>0</v>
      </c>
      <c r="E9" s="173">
        <f>(IF(Afford1!$B$8="Y",Afford1!E15*Afford1!$B$9,0)+IF(Afford2!$B$8="Y",Afford2!E15*Afford2!$B$9,0)+IF(Afford3!$B$8="Y",Afford3!E15*Afford3!$B$9,0)+IF(Afford4!$B$8="Y",Afford4!E15*Afford4!$B$9,0)+IF(Afford5!$B$8="Y",Afford5!E15*Afford5!$B$9,0))/100000</f>
        <v>0</v>
      </c>
      <c r="F9" s="158" t="str">
        <f>IFERROR((C9-D9)/D9,"-")</f>
        <v>-</v>
      </c>
      <c r="G9" s="158" t="str">
        <f>IFERROR((D9-E9)/E9,"-")</f>
        <v>-</v>
      </c>
    </row>
    <row r="10" spans="1:7">
      <c r="A10" s="174" t="s">
        <v>722</v>
      </c>
      <c r="B10" s="173">
        <f>(IF(Afford1!$B$8="Y",Afford1!B16*Afford1!$B$9,0)+IF(Afford2!$B$8="Y",Afford2!B16*Afford2!$B$9,0)+IF(Afford3!$B$8="Y",Afford3!B16*Afford3!$B$9,0)+IF(Afford4!$B$8="Y",Afford4!B16*Afford4!$B$9,0)+IF(Afford5!$B$8="Y",Afford5!B16*Afford5!$B$9,0))/100000</f>
        <v>0</v>
      </c>
      <c r="C10" s="173">
        <f>(IF(Afford1!$B$8="Y",Afford1!C16*Afford1!$B$9,0)+IF(Afford2!$B$8="Y",Afford2!C16*Afford2!$B$9,0)+IF(Afford3!$B$8="Y",Afford3!C16*Afford3!$B$9,0)+IF(Afford4!$B$8="Y",Afford4!C16*Afford4!$B$9,0)+IF(Afford5!$B$8="Y",Afford5!C16*Afford5!$B$9,0))/100000</f>
        <v>0</v>
      </c>
      <c r="D10" s="173">
        <f>(IF(Afford1!$B$8="Y",Afford1!D16*Afford1!$B$9,0)+IF(Afford2!$B$8="Y",Afford2!D16*Afford2!$B$9,0)+IF(Afford3!$B$8="Y",Afford3!D16*Afford3!$B$9,0)+IF(Afford4!$B$8="Y",Afford4!D16*Afford4!$B$9,0)+IF(Afford5!$B$8="Y",Afford5!D16*Afford5!$B$9,0))/100000</f>
        <v>0</v>
      </c>
      <c r="E10" s="173">
        <f>(IF(Afford1!$B$8="Y",Afford1!E16*Afford1!$B$9,0)+IF(Afford2!$B$8="Y",Afford2!E16*Afford2!$B$9,0)+IF(Afford3!$B$8="Y",Afford3!E16*Afford3!$B$9,0)+IF(Afford4!$B$8="Y",Afford4!E16*Afford4!$B$9,0)+IF(Afford5!$B$8="Y",Afford5!E16*Afford5!$B$9,0))/100000</f>
        <v>0</v>
      </c>
      <c r="F10" s="158" t="str">
        <f>IFERROR((C10-D10)/D10,"-")</f>
        <v>-</v>
      </c>
      <c r="G10" s="158" t="str">
        <f>IFERROR((D10-E10)/E10,"-")</f>
        <v>-</v>
      </c>
    </row>
    <row r="11" spans="1:7">
      <c r="A11" s="48" t="s">
        <v>723</v>
      </c>
      <c r="B11" s="175">
        <f>B9-B10</f>
        <v>0</v>
      </c>
      <c r="C11" s="175">
        <f t="shared" ref="C11:E11" si="0">C9-C10</f>
        <v>0</v>
      </c>
      <c r="D11" s="175">
        <f t="shared" si="0"/>
        <v>0</v>
      </c>
      <c r="E11" s="175">
        <f t="shared" si="0"/>
        <v>0</v>
      </c>
      <c r="F11" s="59" t="str">
        <f t="shared" ref="F11:G26" si="1">IFERROR((C11-D11)/D11,"-")</f>
        <v>-</v>
      </c>
      <c r="G11" s="59" t="str">
        <f t="shared" si="1"/>
        <v>-</v>
      </c>
    </row>
    <row r="12" spans="1:7">
      <c r="A12" s="161" t="s">
        <v>724</v>
      </c>
      <c r="B12" s="173">
        <f>(IF(Afford1!$B$8="Y",Afford1!B18*Afford1!$B$9,0)+IF(Afford2!$B$8="Y",Afford2!B18*Afford2!$B$9,0)+IF(Afford3!$B$8="Y",Afford3!B18*Afford3!$B$9,0)+IF(Afford4!$B$8="Y",Afford4!B18*Afford4!$B$9,0)+IF(Afford5!$B$8="Y",Afford5!B18*Afford5!$B$9,0))/100000</f>
        <v>0</v>
      </c>
      <c r="C12" s="173">
        <f>(IF(Afford1!$B$8="Y",Afford1!C18*Afford1!$B$9,0)+IF(Afford2!$B$8="Y",Afford2!C18*Afford2!$B$9,0)+IF(Afford3!$B$8="Y",Afford3!C18*Afford3!$B$9,0)+IF(Afford4!$B$8="Y",Afford4!C18*Afford4!$B$9,0)+IF(Afford5!$B$8="Y",Afford5!C18*Afford5!$B$9,0))/100000</f>
        <v>0</v>
      </c>
      <c r="D12" s="173">
        <f>(IF(Afford1!$B$8="Y",Afford1!D18*Afford1!$B$9,0)+IF(Afford2!$B$8="Y",Afford2!D18*Afford2!$B$9,0)+IF(Afford3!$B$8="Y",Afford3!D18*Afford3!$B$9,0)+IF(Afford4!$B$8="Y",Afford4!D18*Afford4!$B$9,0)+IF(Afford5!$B$8="Y",Afford5!D18*Afford5!$B$9,0))/100000</f>
        <v>0</v>
      </c>
      <c r="E12" s="173">
        <f>(IF(Afford1!$B$8="Y",Afford1!E18*Afford1!$B$9,0)+IF(Afford2!$B$8="Y",Afford2!E18*Afford2!$B$9,0)+IF(Afford3!$B$8="Y",Afford3!E18*Afford3!$B$9,0)+IF(Afford4!$B$8="Y",Afford4!E18*Afford4!$B$9,0)+IF(Afford5!$B$8="Y",Afford5!E18*Afford5!$B$9,0))/100000</f>
        <v>0</v>
      </c>
      <c r="F12" s="163" t="str">
        <f t="shared" si="1"/>
        <v>-</v>
      </c>
      <c r="G12" s="163" t="str">
        <f t="shared" si="1"/>
        <v>-</v>
      </c>
    </row>
    <row r="13" spans="1:7">
      <c r="A13" s="48" t="s">
        <v>725</v>
      </c>
      <c r="B13" s="58">
        <f>SUM(B11:B12)</f>
        <v>0</v>
      </c>
      <c r="C13" s="58">
        <f t="shared" ref="C13:E13" si="2">SUM(C11:C12)</f>
        <v>0</v>
      </c>
      <c r="D13" s="58">
        <f t="shared" si="2"/>
        <v>0</v>
      </c>
      <c r="E13" s="58">
        <f t="shared" si="2"/>
        <v>0</v>
      </c>
      <c r="F13" s="59" t="str">
        <f t="shared" si="1"/>
        <v>-</v>
      </c>
      <c r="G13" s="59" t="str">
        <f t="shared" si="1"/>
        <v>-</v>
      </c>
    </row>
    <row r="14" spans="1:7">
      <c r="A14" s="153" t="s">
        <v>726</v>
      </c>
      <c r="B14" s="535"/>
      <c r="C14" s="536"/>
      <c r="D14" s="536"/>
      <c r="E14" s="537"/>
      <c r="F14" s="154"/>
      <c r="G14" s="154"/>
    </row>
    <row r="15" spans="1:7">
      <c r="A15" s="60" t="s">
        <v>727</v>
      </c>
      <c r="B15" s="70">
        <f>(IF(Afford1!$B$8="Y",Afford1!B21*Afford1!$B$9,0)+IF(Afford2!$B$8="Y",Afford2!B21*Afford2!$B$9,0)+IF(Afford3!$B$8="Y",Afford3!B21*Afford3!$B$9,0)+IF(Afford4!$B$8="Y",Afford4!B21*Afford4!$B$9,0)+IF(Afford5!$B$8="Y",Afford5!B21*Afford5!$B$9,0))/100000</f>
        <v>0</v>
      </c>
      <c r="C15" s="70">
        <f>(IF(Afford1!$B$8="Y",Afford1!C21*Afford1!$B$9,0)+IF(Afford2!$B$8="Y",Afford2!C21*Afford2!$B$9,0)+IF(Afford3!$B$8="Y",Afford3!C21*Afford3!$B$9,0)+IF(Afford4!$B$8="Y",Afford4!C21*Afford4!$B$9,0)+IF(Afford5!$B$8="Y",Afford5!C21*Afford5!$B$9,0))/100000</f>
        <v>0</v>
      </c>
      <c r="D15" s="70">
        <f>(IF(Afford1!$B$8="Y",Afford1!D21*Afford1!$B$9,0)+IF(Afford2!$B$8="Y",Afford2!D21*Afford2!$B$9,0)+IF(Afford3!$B$8="Y",Afford3!D21*Afford3!$B$9,0)+IF(Afford4!$B$8="Y",Afford4!D21*Afford4!$B$9,0)+IF(Afford5!$B$8="Y",Afford5!D21*Afford5!$B$9,0))/100000</f>
        <v>0</v>
      </c>
      <c r="E15" s="70">
        <f>(IF(Afford1!$B$8="Y",Afford1!E21*Afford1!$B$9,0)+IF(Afford2!$B$8="Y",Afford2!E21*Afford2!$B$9,0)+IF(Afford3!$B$8="Y",Afford3!E21*Afford3!$B$9,0)+IF(Afford4!$B$8="Y",Afford4!E21*Afford4!$B$9,0)+IF(Afford5!$B$8="Y",Afford5!E21*Afford5!$B$9,0))/100000</f>
        <v>0</v>
      </c>
      <c r="F15" s="56" t="str">
        <f t="shared" si="1"/>
        <v>-</v>
      </c>
      <c r="G15" s="56" t="str">
        <f t="shared" si="1"/>
        <v>-</v>
      </c>
    </row>
    <row r="16" spans="1:7">
      <c r="A16" s="60" t="s">
        <v>728</v>
      </c>
      <c r="B16" s="70">
        <f>(IF(Afford1!$B$8="Y",Afford1!B22*Afford1!$B$9,0)+IF(Afford2!$B$8="Y",Afford2!B22*Afford2!$B$9,0)+IF(Afford3!$B$8="Y",Afford3!B22*Afford3!$B$9,0)+IF(Afford4!$B$8="Y",Afford4!B22*Afford4!$B$9,0)+IF(Afford5!$B$8="Y",Afford5!B22*Afford5!$B$9,0))/100000</f>
        <v>0</v>
      </c>
      <c r="C16" s="70">
        <f>(IF(Afford1!$B$8="Y",Afford1!C22*Afford1!$B$9,0)+IF(Afford2!$B$8="Y",Afford2!C22*Afford2!$B$9,0)+IF(Afford3!$B$8="Y",Afford3!C22*Afford3!$B$9,0)+IF(Afford4!$B$8="Y",Afford4!C22*Afford4!$B$9,0)+IF(Afford5!$B$8="Y",Afford5!C22*Afford5!$B$9,0))/100000</f>
        <v>0</v>
      </c>
      <c r="D16" s="70">
        <f>(IF(Afford1!$B$8="Y",Afford1!D22*Afford1!$B$9,0)+IF(Afford2!$B$8="Y",Afford2!D22*Afford2!$B$9,0)+IF(Afford3!$B$8="Y",Afford3!D22*Afford3!$B$9,0)+IF(Afford4!$B$8="Y",Afford4!D22*Afford4!$B$9,0)+IF(Afford5!$B$8="Y",Afford5!D22*Afford5!$B$9,0))/100000</f>
        <v>0</v>
      </c>
      <c r="E16" s="70">
        <f>(IF(Afford1!$B$8="Y",Afford1!E22*Afford1!$B$9,0)+IF(Afford2!$B$8="Y",Afford2!E22*Afford2!$B$9,0)+IF(Afford3!$B$8="Y",Afford3!E22*Afford3!$B$9,0)+IF(Afford4!$B$8="Y",Afford4!E22*Afford4!$B$9,0)+IF(Afford5!$B$8="Y",Afford5!E22*Afford5!$B$9,0))/100000</f>
        <v>0</v>
      </c>
      <c r="F16" s="56" t="str">
        <f t="shared" si="1"/>
        <v>-</v>
      </c>
      <c r="G16" s="56" t="str">
        <f t="shared" si="1"/>
        <v>-</v>
      </c>
    </row>
    <row r="17" spans="1:7">
      <c r="A17" s="48" t="s">
        <v>729</v>
      </c>
      <c r="B17" s="58">
        <f>SUM(B15:B16)</f>
        <v>0</v>
      </c>
      <c r="C17" s="58">
        <f t="shared" ref="C17:E17" si="3">SUM(C15:C16)</f>
        <v>0</v>
      </c>
      <c r="D17" s="58">
        <f t="shared" si="3"/>
        <v>0</v>
      </c>
      <c r="E17" s="58">
        <f t="shared" si="3"/>
        <v>0</v>
      </c>
      <c r="F17" s="59" t="str">
        <f t="shared" si="1"/>
        <v>-</v>
      </c>
      <c r="G17" s="59" t="str">
        <f t="shared" si="1"/>
        <v>-</v>
      </c>
    </row>
    <row r="18" spans="1:7">
      <c r="A18" s="153" t="s">
        <v>730</v>
      </c>
      <c r="B18" s="535"/>
      <c r="C18" s="536"/>
      <c r="D18" s="536"/>
      <c r="E18" s="537"/>
      <c r="F18" s="154"/>
      <c r="G18" s="154"/>
    </row>
    <row r="19" spans="1:7">
      <c r="A19" s="60" t="s">
        <v>731</v>
      </c>
      <c r="B19" s="70">
        <f>(IF(Afford1!$B$8="Y",Afford1!B25*Afford1!$B$9,0)+IF(Afford2!$B$8="Y",Afford2!B25*Afford2!$B$9,0)+IF(Afford3!$B$8="Y",Afford3!B25*Afford3!$B$9,0)+IF(Afford4!$B$8="Y",Afford4!B25*Afford4!$B$9,0)+IF(Afford5!$B$8="Y",Afford5!B25*Afford5!$B$9,0))/100000</f>
        <v>0</v>
      </c>
      <c r="C19" s="70">
        <f>(IF(Afford1!$B$8="Y",Afford1!C25*Afford1!$B$9,0)+IF(Afford2!$B$8="Y",Afford2!C25*Afford2!$B$9,0)+IF(Afford3!$B$8="Y",Afford3!C25*Afford3!$B$9,0)+IF(Afford4!$B$8="Y",Afford4!C25*Afford4!$B$9,0)+IF(Afford5!$B$8="Y",Afford5!C25*Afford5!$B$9,0))/100000</f>
        <v>0</v>
      </c>
      <c r="D19" s="70">
        <f>(IF(Afford1!$B$8="Y",Afford1!D25*Afford1!$B$9,0)+IF(Afford2!$B$8="Y",Afford2!D25*Afford2!$B$9,0)+IF(Afford3!$B$8="Y",Afford3!D25*Afford3!$B$9,0)+IF(Afford4!$B$8="Y",Afford4!D25*Afford4!$B$9,0)+IF(Afford5!$B$8="Y",Afford5!D25*Afford5!$B$9,0))/100000</f>
        <v>0</v>
      </c>
      <c r="E19" s="70">
        <f>(IF(Afford1!$B$8="Y",Afford1!E25*Afford1!$B$9,0)+IF(Afford2!$B$8="Y",Afford2!E25*Afford2!$B$9,0)+IF(Afford3!$B$8="Y",Afford3!E25*Afford3!$B$9,0)+IF(Afford4!$B$8="Y",Afford4!E25*Afford4!$B$9,0)+IF(Afford5!$B$8="Y",Afford5!E25*Afford5!$B$9,0))/100000</f>
        <v>0</v>
      </c>
      <c r="F19" s="56" t="str">
        <f t="shared" si="1"/>
        <v>-</v>
      </c>
      <c r="G19" s="56" t="str">
        <f t="shared" si="1"/>
        <v>-</v>
      </c>
    </row>
    <row r="20" spans="1:7">
      <c r="A20" s="60" t="s">
        <v>732</v>
      </c>
      <c r="B20" s="70">
        <f>(IF(Afford1!$B$8="Y",Afford1!B26*Afford1!$B$9,0)+IF(Afford2!$B$8="Y",Afford2!B26*Afford2!$B$9,0)+IF(Afford3!$B$8="Y",Afford3!B26*Afford3!$B$9,0)+IF(Afford4!$B$8="Y",Afford4!B26*Afford4!$B$9,0)+IF(Afford5!$B$8="Y",Afford5!B26*Afford5!$B$9,0))/100000</f>
        <v>0</v>
      </c>
      <c r="C20" s="70">
        <f>(IF(Afford1!$B$8="Y",Afford1!C26*Afford1!$B$9,0)+IF(Afford2!$B$8="Y",Afford2!C26*Afford2!$B$9,0)+IF(Afford3!$B$8="Y",Afford3!C26*Afford3!$B$9,0)+IF(Afford4!$B$8="Y",Afford4!C26*Afford4!$B$9,0)+IF(Afford5!$B$8="Y",Afford5!C26*Afford5!$B$9,0))/100000</f>
        <v>0</v>
      </c>
      <c r="D20" s="70">
        <f>(IF(Afford1!$B$8="Y",Afford1!D26*Afford1!$B$9,0)+IF(Afford2!$B$8="Y",Afford2!D26*Afford2!$B$9,0)+IF(Afford3!$B$8="Y",Afford3!D26*Afford3!$B$9,0)+IF(Afford4!$B$8="Y",Afford4!D26*Afford4!$B$9,0)+IF(Afford5!$B$8="Y",Afford5!D26*Afford5!$B$9,0))/100000</f>
        <v>0</v>
      </c>
      <c r="E20" s="70">
        <f>(IF(Afford1!$B$8="Y",Afford1!E26*Afford1!$B$9,0)+IF(Afford2!$B$8="Y",Afford2!E26*Afford2!$B$9,0)+IF(Afford3!$B$8="Y",Afford3!E26*Afford3!$B$9,0)+IF(Afford4!$B$8="Y",Afford4!E26*Afford4!$B$9,0)+IF(Afford5!$B$8="Y",Afford5!E26*Afford5!$B$9,0))/100000</f>
        <v>0</v>
      </c>
      <c r="F20" s="56" t="str">
        <f t="shared" si="1"/>
        <v>-</v>
      </c>
      <c r="G20" s="56" t="str">
        <f t="shared" si="1"/>
        <v>-</v>
      </c>
    </row>
    <row r="21" spans="1:7">
      <c r="A21" s="48" t="s">
        <v>733</v>
      </c>
      <c r="B21" s="58">
        <f>SUM(B19:B20)</f>
        <v>0</v>
      </c>
      <c r="C21" s="58">
        <f t="shared" ref="C21:E21" si="4">SUM(C19:C20)</f>
        <v>0</v>
      </c>
      <c r="D21" s="58">
        <f t="shared" si="4"/>
        <v>0</v>
      </c>
      <c r="E21" s="58">
        <f t="shared" si="4"/>
        <v>0</v>
      </c>
      <c r="F21" s="59" t="str">
        <f t="shared" si="1"/>
        <v>-</v>
      </c>
      <c r="G21" s="59" t="str">
        <f t="shared" si="1"/>
        <v>-</v>
      </c>
    </row>
    <row r="22" spans="1:7">
      <c r="A22" s="48" t="s">
        <v>734</v>
      </c>
      <c r="B22" s="58">
        <f>B13-B17-B21</f>
        <v>0</v>
      </c>
      <c r="C22" s="58">
        <f t="shared" ref="C22:E22" si="5">C13-C17-C21</f>
        <v>0</v>
      </c>
      <c r="D22" s="58">
        <f t="shared" si="5"/>
        <v>0</v>
      </c>
      <c r="E22" s="58">
        <f t="shared" si="5"/>
        <v>0</v>
      </c>
      <c r="F22" s="59" t="str">
        <f t="shared" si="1"/>
        <v>-</v>
      </c>
      <c r="G22" s="59" t="str">
        <f t="shared" si="1"/>
        <v>-</v>
      </c>
    </row>
    <row r="23" spans="1:7">
      <c r="A23" s="60" t="s">
        <v>735</v>
      </c>
      <c r="B23" s="70">
        <f>(IF(Afford1!$B$8="Y",Afford1!B29*Afford1!$B$9,0)+IF(Afford2!$B$8="Y",Afford2!B29*Afford2!$B$9,0)+IF(Afford3!$B$8="Y",Afford3!B29*Afford3!$B$9,0)+IF(Afford4!$B$8="Y",Afford4!B29*Afford4!$B$9,0)+IF(Afford5!$B$8="Y",Afford5!B29*Afford5!$B$9,0))/100000</f>
        <v>0</v>
      </c>
      <c r="C23" s="70">
        <f>(IF(Afford1!$B$8="Y",Afford1!C29*Afford1!$B$9,0)+IF(Afford2!$B$8="Y",Afford2!C29*Afford2!$B$9,0)+IF(Afford3!$B$8="Y",Afford3!C29*Afford3!$B$9,0)+IF(Afford4!$B$8="Y",Afford4!C29*Afford4!$B$9,0)+IF(Afford5!$B$8="Y",Afford5!C29*Afford5!$B$9,0))/100000</f>
        <v>0</v>
      </c>
      <c r="D23" s="70">
        <f>(IF(Afford1!$B$8="Y",Afford1!D29*Afford1!$B$9,0)+IF(Afford2!$B$8="Y",Afford2!D29*Afford2!$B$9,0)+IF(Afford3!$B$8="Y",Afford3!D29*Afford3!$B$9,0)+IF(Afford4!$B$8="Y",Afford4!D29*Afford4!$B$9,0)+IF(Afford5!$B$8="Y",Afford5!D29*Afford5!$B$9,0))/100000</f>
        <v>0</v>
      </c>
      <c r="E23" s="70">
        <f>(IF(Afford1!$B$8="Y",Afford1!E29*Afford1!$B$9,0)+IF(Afford2!$B$8="Y",Afford2!E29*Afford2!$B$9,0)+IF(Afford3!$B$8="Y",Afford3!E29*Afford3!$B$9,0)+IF(Afford4!$B$8="Y",Afford4!E29*Afford4!$B$9,0)+IF(Afford5!$B$8="Y",Afford5!E29*Afford5!$B$9,0))/100000</f>
        <v>0</v>
      </c>
      <c r="F23" s="56" t="str">
        <f t="shared" si="1"/>
        <v>-</v>
      </c>
      <c r="G23" s="56" t="str">
        <f t="shared" si="1"/>
        <v>-</v>
      </c>
    </row>
    <row r="24" spans="1:7">
      <c r="A24" s="48" t="s">
        <v>736</v>
      </c>
      <c r="B24" s="58">
        <f>B22-B23</f>
        <v>0</v>
      </c>
      <c r="C24" s="58">
        <f t="shared" ref="C24:E24" si="6">C22-C23</f>
        <v>0</v>
      </c>
      <c r="D24" s="58">
        <f t="shared" si="6"/>
        <v>0</v>
      </c>
      <c r="E24" s="58">
        <f t="shared" si="6"/>
        <v>0</v>
      </c>
      <c r="F24" s="59" t="str">
        <f t="shared" si="1"/>
        <v>-</v>
      </c>
      <c r="G24" s="59" t="str">
        <f t="shared" si="1"/>
        <v>-</v>
      </c>
    </row>
    <row r="25" spans="1:7">
      <c r="A25" s="60" t="s">
        <v>737</v>
      </c>
      <c r="B25" s="70">
        <f>(IF(Afford1!$B$8="Y",Afford1!B31*Afford1!$B$9,0)+IF(Afford2!$B$8="Y",Afford2!B31*Afford2!$B$9,0)+IF(Afford3!$B$8="Y",Afford3!B31*Afford3!$B$9,0)+IF(Afford4!$B$8="Y",Afford4!B31*Afford4!$B$9,0)+IF(Afford5!$B$8="Y",Afford5!B31*Afford5!$B$9,0))/100000</f>
        <v>0</v>
      </c>
      <c r="C25" s="70">
        <f>(IF(Afford1!$B$8="Y",Afford1!C31*Afford1!$B$9,0)+IF(Afford2!$B$8="Y",Afford2!C31*Afford2!$B$9,0)+IF(Afford3!$B$8="Y",Afford3!C31*Afford3!$B$9,0)+IF(Afford4!$B$8="Y",Afford4!C31*Afford4!$B$9,0)+IF(Afford5!$B$8="Y",Afford5!C31*Afford5!$B$9,0))/100000</f>
        <v>0</v>
      </c>
      <c r="D25" s="70">
        <f>(IF(Afford1!$B$8="Y",Afford1!D31*Afford1!$B$9,0)+IF(Afford2!$B$8="Y",Afford2!D31*Afford2!$B$9,0)+IF(Afford3!$B$8="Y",Afford3!D31*Afford3!$B$9,0)+IF(Afford4!$B$8="Y",Afford4!D31*Afford4!$B$9,0)+IF(Afford5!$B$8="Y",Afford5!D31*Afford5!$B$9,0))/100000</f>
        <v>0</v>
      </c>
      <c r="E25" s="70">
        <f>(IF(Afford1!$B$8="Y",Afford1!E31*Afford1!$B$9,0)+IF(Afford2!$B$8="Y",Afford2!E31*Afford2!$B$9,0)+IF(Afford3!$B$8="Y",Afford3!E31*Afford3!$B$9,0)+IF(Afford4!$B$8="Y",Afford4!E31*Afford4!$B$9,0)+IF(Afford5!$B$8="Y",Afford5!E31*Afford5!$B$9,0))/100000</f>
        <v>0</v>
      </c>
      <c r="F25" s="56" t="str">
        <f t="shared" si="1"/>
        <v>-</v>
      </c>
      <c r="G25" s="56" t="str">
        <f t="shared" si="1"/>
        <v>-</v>
      </c>
    </row>
    <row r="26" spans="1:7">
      <c r="A26" s="48" t="s">
        <v>738</v>
      </c>
      <c r="B26" s="58">
        <f>B24-B25</f>
        <v>0</v>
      </c>
      <c r="C26" s="58">
        <f t="shared" ref="C26:E26" si="7">C24-C25</f>
        <v>0</v>
      </c>
      <c r="D26" s="58">
        <f t="shared" si="7"/>
        <v>0</v>
      </c>
      <c r="E26" s="58">
        <f t="shared" si="7"/>
        <v>0</v>
      </c>
      <c r="F26" s="59" t="str">
        <f t="shared" si="1"/>
        <v>-</v>
      </c>
      <c r="G26" s="59" t="str">
        <f t="shared" si="1"/>
        <v>-</v>
      </c>
    </row>
    <row r="27" spans="1:7">
      <c r="A27" s="60" t="s">
        <v>739</v>
      </c>
      <c r="B27" s="70">
        <f>(IF(Afford1!$B$8="Y",Afford1!B33*Afford1!$B$9,0)+IF(Afford2!$B$8="Y",Afford2!B33*Afford2!$B$9,0)+IF(Afford3!$B$8="Y",Afford3!B33*Afford3!$B$9,0)+IF(Afford4!$B$8="Y",Afford4!B33*Afford4!$B$9,0)+IF(Afford5!$B$8="Y",Afford5!B33*Afford5!$B$9,0))/100000</f>
        <v>0</v>
      </c>
      <c r="C27" s="70">
        <f>(IF(Afford1!$B$8="Y",Afford1!C33*Afford1!$B$9,0)+IF(Afford2!$B$8="Y",Afford2!C33*Afford2!$B$9,0)+IF(Afford3!$B$8="Y",Afford3!C33*Afford3!$B$9,0)+IF(Afford4!$B$8="Y",Afford4!C33*Afford4!$B$9,0)+IF(Afford5!$B$8="Y",Afford5!C33*Afford5!$B$9,0))/100000</f>
        <v>0</v>
      </c>
      <c r="D27" s="70">
        <f>(IF(Afford1!$B$8="Y",Afford1!D33*Afford1!$B$9,0)+IF(Afford2!$B$8="Y",Afford2!D33*Afford2!$B$9,0)+IF(Afford3!$B$8="Y",Afford3!D33*Afford3!$B$9,0)+IF(Afford4!$B$8="Y",Afford4!D33*Afford4!$B$9,0)+IF(Afford5!$B$8="Y",Afford5!D33*Afford5!$B$9,0))/100000</f>
        <v>0</v>
      </c>
      <c r="E27" s="70">
        <f>(IF(Afford1!$B$8="Y",Afford1!E33*Afford1!$B$9,0)+IF(Afford2!$B$8="Y",Afford2!E33*Afford2!$B$9,0)+IF(Afford3!$B$8="Y",Afford3!E33*Afford3!$B$9,0)+IF(Afford4!$B$8="Y",Afford4!E33*Afford4!$B$9,0)+IF(Afford5!$B$8="Y",Afford5!E33*Afford5!$B$9,0))/100000</f>
        <v>0</v>
      </c>
      <c r="F27" s="56" t="str">
        <f>IFERROR((C27-D27)/D27,"-")</f>
        <v>-</v>
      </c>
      <c r="G27" s="56" t="str">
        <f>IFERROR((D27-E27)/E27,"-")</f>
        <v>-</v>
      </c>
    </row>
    <row r="28" spans="1:7">
      <c r="A28" s="60" t="s">
        <v>740</v>
      </c>
      <c r="B28" s="70">
        <f>(IF(Afford1!$B$8="Y",Afford1!B34*Afford1!$B$9,0)+IF(Afford2!$B$8="Y",Afford2!B34*Afford2!$B$9,0)+IF(Afford3!$B$8="Y",Afford3!B34*Afford3!$B$9,0)+IF(Afford4!$B$8="Y",Afford4!B34*Afford4!$B$9,0)+IF(Afford5!$B$8="Y",Afford5!B34*Afford5!$B$9,0))/100000</f>
        <v>0</v>
      </c>
      <c r="C28" s="70">
        <f>(IF(Afford1!$B$8="Y",Afford1!C34*Afford1!$B$9,0)+IF(Afford2!$B$8="Y",Afford2!C34*Afford2!$B$9,0)+IF(Afford3!$B$8="Y",Afford3!C34*Afford3!$B$9,0)+IF(Afford4!$B$8="Y",Afford4!C34*Afford4!$B$9,0)+IF(Afford5!$B$8="Y",Afford5!C34*Afford5!$B$9,0))/100000</f>
        <v>0</v>
      </c>
      <c r="D28" s="70">
        <f>(IF(Afford1!$B$8="Y",Afford1!D34*Afford1!$B$9,0)+IF(Afford2!$B$8="Y",Afford2!D34*Afford2!$B$9,0)+IF(Afford3!$B$8="Y",Afford3!D34*Afford3!$B$9,0)+IF(Afford4!$B$8="Y",Afford4!D34*Afford4!$B$9,0)+IF(Afford5!$B$8="Y",Afford5!D34*Afford5!$B$9,0))/100000</f>
        <v>0</v>
      </c>
      <c r="E28" s="70">
        <f>(IF(Afford1!$B$8="Y",Afford1!E34*Afford1!$B$9,0)+IF(Afford2!$B$8="Y",Afford2!E34*Afford2!$B$9,0)+IF(Afford3!$B$8="Y",Afford3!E34*Afford3!$B$9,0)+IF(Afford4!$B$8="Y",Afford4!E34*Afford4!$B$9,0)+IF(Afford5!$B$8="Y",Afford5!E34*Afford5!$B$9,0))/100000</f>
        <v>0</v>
      </c>
      <c r="F28" s="56" t="str">
        <f t="shared" ref="F28:G37" si="8">IFERROR((C28-D28)/D28,"-")</f>
        <v>-</v>
      </c>
      <c r="G28" s="56" t="str">
        <f t="shared" si="8"/>
        <v>-</v>
      </c>
    </row>
    <row r="29" spans="1:7">
      <c r="A29" s="48" t="s">
        <v>741</v>
      </c>
      <c r="B29" s="58">
        <f>B26+B27-B28</f>
        <v>0</v>
      </c>
      <c r="C29" s="58">
        <f t="shared" ref="C29:E29" si="9">C26+C27-C28</f>
        <v>0</v>
      </c>
      <c r="D29" s="58">
        <f t="shared" si="9"/>
        <v>0</v>
      </c>
      <c r="E29" s="58">
        <f t="shared" si="9"/>
        <v>0</v>
      </c>
      <c r="F29" s="59" t="str">
        <f>IFERROR((C29-D29)/D29,"-")</f>
        <v>-</v>
      </c>
      <c r="G29" s="59" t="str">
        <f>IFERROR((D29-E29)/E29,"-")</f>
        <v>-</v>
      </c>
    </row>
    <row r="30" spans="1:7">
      <c r="A30" s="62" t="s">
        <v>742</v>
      </c>
      <c r="B30" s="70">
        <f>(IF(Afford1!$B$8="Y",Afford1!B36*Afford1!$B$9,0)+IF(Afford2!$B$8="Y",Afford2!B36*Afford2!$B$9,0)+IF(Afford3!$B$8="Y",Afford3!B36*Afford3!$B$9,0)+IF(Afford4!$B$8="Y",Afford4!B36*Afford4!$B$9,0)+IF(Afford5!$B$8="Y",Afford5!B36*Afford5!$B$9,0))/100000</f>
        <v>0</v>
      </c>
      <c r="C30" s="70">
        <f>(IF(Afford1!$B$8="Y",Afford1!C36*Afford1!$B$9,0)+IF(Afford2!$B$8="Y",Afford2!C36*Afford2!$B$9,0)+IF(Afford3!$B$8="Y",Afford3!C36*Afford3!$B$9,0)+IF(Afford4!$B$8="Y",Afford4!C36*Afford4!$B$9,0)+IF(Afford5!$B$8="Y",Afford5!C36*Afford5!$B$9,0))/100000</f>
        <v>0</v>
      </c>
      <c r="D30" s="70">
        <f>(IF(Afford1!$B$8="Y",Afford1!D36*Afford1!$B$9,0)+IF(Afford2!$B$8="Y",Afford2!D36*Afford2!$B$9,0)+IF(Afford3!$B$8="Y",Afford3!D36*Afford3!$B$9,0)+IF(Afford4!$B$8="Y",Afford4!D36*Afford4!$B$9,0)+IF(Afford5!$B$8="Y",Afford5!D36*Afford5!$B$9,0))/100000</f>
        <v>0</v>
      </c>
      <c r="E30" s="70">
        <f>(IF(Afford1!$B$8="Y",Afford1!E36*Afford1!$B$9,0)+IF(Afford2!$B$8="Y",Afford2!E36*Afford2!$B$9,0)+IF(Afford3!$B$8="Y",Afford3!E36*Afford3!$B$9,0)+IF(Afford4!$B$8="Y",Afford4!E36*Afford4!$B$9,0)+IF(Afford5!$B$8="Y",Afford5!E36*Afford5!$B$9,0))/100000</f>
        <v>0</v>
      </c>
      <c r="F30" s="56" t="str">
        <f t="shared" si="8"/>
        <v>-</v>
      </c>
      <c r="G30" s="56" t="str">
        <f t="shared" si="8"/>
        <v>-</v>
      </c>
    </row>
    <row r="31" spans="1:7">
      <c r="A31" s="48" t="s">
        <v>743</v>
      </c>
      <c r="B31" s="58">
        <f>+B29-B30</f>
        <v>0</v>
      </c>
      <c r="C31" s="58">
        <f>+C29-C30</f>
        <v>0</v>
      </c>
      <c r="D31" s="58">
        <f>+D29-D30</f>
        <v>0</v>
      </c>
      <c r="E31" s="58">
        <f>+E29-E30</f>
        <v>0</v>
      </c>
      <c r="F31" s="59" t="str">
        <f t="shared" si="8"/>
        <v>-</v>
      </c>
      <c r="G31" s="59" t="str">
        <f t="shared" si="8"/>
        <v>-</v>
      </c>
    </row>
    <row r="32" spans="1:7">
      <c r="A32" s="48" t="s">
        <v>744</v>
      </c>
      <c r="B32" s="58">
        <f>B31+B23+B20</f>
        <v>0</v>
      </c>
      <c r="C32" s="58">
        <f t="shared" ref="C32:E32" si="10">C31+C23+C20</f>
        <v>0</v>
      </c>
      <c r="D32" s="58">
        <f t="shared" si="10"/>
        <v>0</v>
      </c>
      <c r="E32" s="58">
        <f t="shared" si="10"/>
        <v>0</v>
      </c>
      <c r="F32" s="59"/>
      <c r="G32" s="59"/>
    </row>
    <row r="33" spans="1:7">
      <c r="A33" s="62" t="s">
        <v>745</v>
      </c>
      <c r="B33" s="70">
        <f>(IF(Afford1!$B$8="Y",Afford1!B39*Afford1!$B$9,0)+IF(Afford2!$B$8="Y",Afford2!B39*Afford2!$B$9,0)+IF(Afford3!$B$8="Y",Afford3!B39*Afford3!$B$9,0)+IF(Afford4!$B$8="Y",Afford4!B39*Afford4!$B$9,0)+IF(Afford5!$B$8="Y",Afford5!B39*Afford5!$B$9,0))/100000</f>
        <v>0</v>
      </c>
      <c r="C33" s="70">
        <f>(IF(Afford1!$B$8="Y",Afford1!C39*Afford1!$B$9,0)+IF(Afford2!$B$8="Y",Afford2!C39*Afford2!$B$9,0)+IF(Afford3!$B$8="Y",Afford3!C39*Afford3!$B$9,0)+IF(Afford4!$B$8="Y",Afford4!C39*Afford4!$B$9,0)+IF(Afford5!$B$8="Y",Afford5!C39*Afford5!$B$9,0))/100000</f>
        <v>0</v>
      </c>
      <c r="D33" s="70">
        <f>(IF(Afford1!$B$8="Y",Afford1!D39*Afford1!$B$9,0)+IF(Afford2!$B$8="Y",Afford2!D39*Afford2!$B$9,0)+IF(Afford3!$B$8="Y",Afford3!D39*Afford3!$B$9,0)+IF(Afford4!$B$8="Y",Afford4!D39*Afford4!$B$9,0)+IF(Afford5!$B$8="Y",Afford5!D39*Afford5!$B$9,0))/100000</f>
        <v>0</v>
      </c>
      <c r="E33" s="70">
        <f>(IF(Afford1!$B$8="Y",Afford1!E39*Afford1!$B$9,0)+IF(Afford2!$B$8="Y",Afford2!E39*Afford2!$B$9,0)+IF(Afford3!$B$8="Y",Afford3!E39*Afford3!$B$9,0)+IF(Afford4!$B$8="Y",Afford4!E39*Afford4!$B$9,0)+IF(Afford5!$B$8="Y",Afford5!E39*Afford5!$B$9,0))/100000</f>
        <v>0</v>
      </c>
      <c r="F33" s="56" t="str">
        <f t="shared" ref="F33:G35" si="11">IFERROR((C33-D33)/D33,"-")</f>
        <v>-</v>
      </c>
      <c r="G33" s="56" t="str">
        <f t="shared" si="11"/>
        <v>-</v>
      </c>
    </row>
    <row r="34" spans="1:7">
      <c r="A34" s="60" t="s">
        <v>746</v>
      </c>
      <c r="B34" s="70">
        <f>(IF(Afford1!$B$8="Y",Afford1!B40*Afford1!$B$9,0)+IF(Afford2!$B$8="Y",Afford2!B40*Afford2!$B$9,0)+IF(Afford3!$B$8="Y",Afford3!B40*Afford3!$B$9,0)+IF(Afford4!$B$8="Y",Afford4!B40*Afford4!$B$9,0)+IF(Afford5!$B$8="Y",Afford5!B40*Afford5!$B$9,0))/100000</f>
        <v>0</v>
      </c>
      <c r="C34" s="70">
        <f>(IF(Afford1!$B$8="Y",Afford1!C40*Afford1!$B$9,0)+IF(Afford2!$B$8="Y",Afford2!C40*Afford2!$B$9,0)+IF(Afford3!$B$8="Y",Afford3!C40*Afford3!$B$9,0)+IF(Afford4!$B$8="Y",Afford4!C40*Afford4!$B$9,0)+IF(Afford5!$B$8="Y",Afford5!C40*Afford5!$B$9,0))/100000</f>
        <v>0</v>
      </c>
      <c r="D34" s="70">
        <f>(IF(Afford1!$B$8="Y",Afford1!D40*Afford1!$B$9,0)+IF(Afford2!$B$8="Y",Afford2!D40*Afford2!$B$9,0)+IF(Afford3!$B$8="Y",Afford3!D40*Afford3!$B$9,0)+IF(Afford4!$B$8="Y",Afford4!D40*Afford4!$B$9,0)+IF(Afford5!$B$8="Y",Afford5!D40*Afford5!$B$9,0))/100000</f>
        <v>0</v>
      </c>
      <c r="E34" s="70">
        <f>(IF(Afford1!$B$8="Y",Afford1!E40*Afford1!$B$9,0)+IF(Afford2!$B$8="Y",Afford2!E40*Afford2!$B$9,0)+IF(Afford3!$B$8="Y",Afford3!E40*Afford3!$B$9,0)+IF(Afford4!$B$8="Y",Afford4!E40*Afford4!$B$9,0)+IF(Afford5!$B$8="Y",Afford5!E40*Afford5!$B$9,0))/100000</f>
        <v>0</v>
      </c>
      <c r="F34" s="56" t="str">
        <f t="shared" si="11"/>
        <v>-</v>
      </c>
      <c r="G34" s="56" t="str">
        <f t="shared" si="11"/>
        <v>-</v>
      </c>
    </row>
    <row r="35" spans="1:7">
      <c r="A35" s="60" t="s">
        <v>747</v>
      </c>
      <c r="B35" s="70">
        <f>(IF(Afford1!$B$8="Y",Afford1!B41*Afford1!$B$9,0)+IF(Afford2!$B$8="Y",Afford2!B41*Afford2!$B$9,0)+IF(Afford3!$B$8="Y",Afford3!B41*Afford3!$B$9,0)+IF(Afford4!$B$8="Y",Afford4!B41*Afford4!$B$9,0)+IF(Afford5!$B$8="Y",Afford5!B41*Afford5!$B$9,0))/100000</f>
        <v>0</v>
      </c>
      <c r="C35" s="70">
        <f>(IF(Afford1!$B$8="Y",Afford1!C41*Afford1!$B$9,0)+IF(Afford2!$B$8="Y",Afford2!C41*Afford2!$B$9,0)+IF(Afford3!$B$8="Y",Afford3!C41*Afford3!$B$9,0)+IF(Afford4!$B$8="Y",Afford4!C41*Afford4!$B$9,0)+IF(Afford5!$B$8="Y",Afford5!C41*Afford5!$B$9,0))/100000</f>
        <v>0</v>
      </c>
      <c r="D35" s="70">
        <f>(IF(Afford1!$B$8="Y",Afford1!D41*Afford1!$B$9,0)+IF(Afford2!$B$8="Y",Afford2!D41*Afford2!$B$9,0)+IF(Afford3!$B$8="Y",Afford3!D41*Afford3!$B$9,0)+IF(Afford4!$B$8="Y",Afford4!D41*Afford4!$B$9,0)+IF(Afford5!$B$8="Y",Afford5!D41*Afford5!$B$9,0))/100000</f>
        <v>0</v>
      </c>
      <c r="E35" s="70">
        <f>(IF(Afford1!$B$8="Y",Afford1!E41*Afford1!$B$9,0)+IF(Afford2!$B$8="Y",Afford2!E41*Afford2!$B$9,0)+IF(Afford3!$B$8="Y",Afford3!E41*Afford3!$B$9,0)+IF(Afford4!$B$8="Y",Afford4!E41*Afford4!$B$9,0)+IF(Afford5!$B$8="Y",Afford5!E41*Afford5!$B$9,0))/100000</f>
        <v>0</v>
      </c>
      <c r="F35" s="56" t="str">
        <f t="shared" si="11"/>
        <v>-</v>
      </c>
      <c r="G35" s="56" t="str">
        <f t="shared" si="11"/>
        <v>-</v>
      </c>
    </row>
    <row r="36" spans="1:7">
      <c r="A36" s="62" t="s">
        <v>748</v>
      </c>
      <c r="B36" s="70">
        <f>(IF(Afford1!$B$8="Y",Afford1!B42*Afford1!$B$9,0)+IF(Afford2!$B$8="Y",Afford2!B42*Afford2!$B$9,0)+IF(Afford3!$B$8="Y",Afford3!B42*Afford3!$B$9,0)+IF(Afford4!$B$8="Y",Afford4!B42*Afford4!$B$9,0)+IF(Afford5!$B$8="Y",Afford5!B42*Afford5!$B$9,0))/100000</f>
        <v>0</v>
      </c>
      <c r="C36" s="70">
        <f>(IF(Afford1!$B$8="Y",Afford1!C42*Afford1!$B$9,0)+IF(Afford2!$B$8="Y",Afford2!C42*Afford2!$B$9,0)+IF(Afford3!$B$8="Y",Afford3!C42*Afford3!$B$9,0)+IF(Afford4!$B$8="Y",Afford4!C42*Afford4!$B$9,0)+IF(Afford5!$B$8="Y",Afford5!C42*Afford5!$B$9,0))/100000</f>
        <v>0</v>
      </c>
      <c r="D36" s="70">
        <f>(IF(Afford1!$B$8="Y",Afford1!D42*Afford1!$B$9,0)+IF(Afford2!$B$8="Y",Afford2!D42*Afford2!$B$9,0)+IF(Afford3!$B$8="Y",Afford3!D42*Afford3!$B$9,0)+IF(Afford4!$B$8="Y",Afford4!D42*Afford4!$B$9,0)+IF(Afford5!$B$8="Y",Afford5!D42*Afford5!$B$9,0))/100000</f>
        <v>0</v>
      </c>
      <c r="E36" s="70">
        <f>(IF(Afford1!$B$8="Y",Afford1!E42*Afford1!$B$9,0)+IF(Afford2!$B$8="Y",Afford2!E42*Afford2!$B$9,0)+IF(Afford3!$B$8="Y",Afford3!E42*Afford3!$B$9,0)+IF(Afford4!$B$8="Y",Afford4!E42*Afford4!$B$9,0)+IF(Afford5!$B$8="Y",Afford5!E42*Afford5!$B$9,0))/100000</f>
        <v>0</v>
      </c>
      <c r="F36" s="56" t="str">
        <f t="shared" si="8"/>
        <v>-</v>
      </c>
      <c r="G36" s="56" t="str">
        <f t="shared" si="8"/>
        <v>-</v>
      </c>
    </row>
    <row r="37" spans="1:7">
      <c r="A37" s="48" t="s">
        <v>749</v>
      </c>
      <c r="B37" s="58">
        <f>B32-B33-B34-B35</f>
        <v>0</v>
      </c>
      <c r="C37" s="58">
        <f t="shared" ref="C37:E37" si="12">C32-C33-C34-C35</f>
        <v>0</v>
      </c>
      <c r="D37" s="58">
        <f t="shared" si="12"/>
        <v>0</v>
      </c>
      <c r="E37" s="58">
        <f t="shared" si="12"/>
        <v>0</v>
      </c>
      <c r="F37" s="59" t="str">
        <f t="shared" si="8"/>
        <v>-</v>
      </c>
      <c r="G37" s="59" t="str">
        <f t="shared" si="8"/>
        <v>-</v>
      </c>
    </row>
    <row r="38" spans="1:7">
      <c r="A38" s="63"/>
      <c r="B38" s="534" t="s">
        <v>716</v>
      </c>
      <c r="C38" s="534"/>
      <c r="D38" s="534"/>
      <c r="E38" s="534"/>
      <c r="F38" s="64"/>
      <c r="G38" s="64"/>
    </row>
    <row r="39" spans="1:7" ht="38.25">
      <c r="A39" s="48" t="s">
        <v>750</v>
      </c>
      <c r="B39" s="344" t="str">
        <f>Afford1!B45</f>
        <v>Provisionals</v>
      </c>
      <c r="C39" s="65" t="str">
        <f>Afford1!C45</f>
        <v>31/03/2024</v>
      </c>
      <c r="D39" s="65" t="str">
        <f>Afford1!D45</f>
        <v>31/03/2023</v>
      </c>
      <c r="E39" s="66" t="str">
        <f>Afford1!E45</f>
        <v>31/03/2022</v>
      </c>
      <c r="F39" s="52" t="s">
        <v>718</v>
      </c>
      <c r="G39" s="52" t="s">
        <v>719</v>
      </c>
    </row>
    <row r="40" spans="1:7">
      <c r="A40" s="153" t="s">
        <v>751</v>
      </c>
      <c r="B40" s="535"/>
      <c r="C40" s="536"/>
      <c r="D40" s="536"/>
      <c r="E40" s="537"/>
      <c r="F40" s="154"/>
      <c r="G40" s="154"/>
    </row>
    <row r="41" spans="1:7">
      <c r="A41" s="60" t="s">
        <v>752</v>
      </c>
      <c r="B41" s="113">
        <f>(IF(Afford1!$B$8="Y",Afford1!B47*Afford1!$B$9,0)+IF(Afford2!$B$8="Y",Afford2!B47*Afford2!$B$9,0)+IF(Afford3!$B$8="Y",Afford3!B47*Afford3!$B$9,0)+IF(Afford4!$B$8="Y",Afford4!B47*Afford4!$B$9,0)+IF(Afford5!$B$8="Y",Afford5!B47*Afford5!$B$9,0))/100000</f>
        <v>0</v>
      </c>
      <c r="C41" s="70">
        <f>(IF(Afford1!$B$8="Y",Afford1!C47*Afford1!$B$9,0)+IF(Afford2!$B$8="Y",Afford2!C47*Afford2!$B$9,0)+IF(Afford3!$B$8="Y",Afford3!C47*Afford3!$B$9,0)+IF(Afford4!$B$8="Y",Afford4!C47*Afford4!$B$9,0)+IF(Afford5!$B$8="Y",Afford5!C47*Afford5!$B$9,0))/100000</f>
        <v>0</v>
      </c>
      <c r="D41" s="70">
        <f>(IF(Afford1!$B$8="Y",Afford1!D47*Afford1!$B$9,0)+IF(Afford2!$B$8="Y",Afford2!D47*Afford2!$B$9,0)+IF(Afford3!$B$8="Y",Afford3!D47*Afford3!$B$9,0)+IF(Afford4!$B$8="Y",Afford4!D47*Afford4!$B$9,0)+IF(Afford5!$B$8="Y",Afford5!D47*Afford5!$B$9,0))/100000</f>
        <v>0</v>
      </c>
      <c r="E41" s="70">
        <f>(IF(Afford1!$B$8="Y",Afford1!E47*Afford1!$B$9,0)+IF(Afford2!$B$8="Y",Afford2!E47*Afford2!$B$9,0)+IF(Afford3!$B$8="Y",Afford3!E47*Afford3!$B$9,0)+IF(Afford4!$B$8="Y",Afford4!E47*Afford4!$B$9,0)+IF(Afford5!$B$8="Y",Afford5!E47*Afford5!$B$9,0))/100000</f>
        <v>0</v>
      </c>
      <c r="F41" s="56" t="str">
        <f t="shared" ref="F41:G81" si="13">IFERROR((C41-D41)/D41,"-")</f>
        <v>-</v>
      </c>
      <c r="G41" s="56" t="str">
        <f t="shared" si="13"/>
        <v>-</v>
      </c>
    </row>
    <row r="42" spans="1:7">
      <c r="A42" s="60" t="s">
        <v>753</v>
      </c>
      <c r="B42" s="113">
        <f>(IF(Afford1!$B$8="Y",Afford1!B48*Afford1!$B$9,0)+IF(Afford2!$B$8="Y",Afford2!B48*Afford2!$B$9,0)+IF(Afford3!$B$8="Y",Afford3!B48*Afford3!$B$9,0)+IF(Afford4!$B$8="Y",Afford4!B48*Afford4!$B$9,0)+IF(Afford5!$B$8="Y",Afford5!B48*Afford5!$B$9,0))/100000</f>
        <v>0</v>
      </c>
      <c r="C42" s="70">
        <f>(IF(Afford1!$B$8="Y",Afford1!C48*Afford1!$B$9,0)+IF(Afford2!$B$8="Y",Afford2!C48*Afford2!$B$9,0)+IF(Afford3!$B$8="Y",Afford3!C48*Afford3!$B$9,0)+IF(Afford4!$B$8="Y",Afford4!C48*Afford4!$B$9,0)+IF(Afford5!$B$8="Y",Afford5!C48*Afford5!$B$9,0))/100000</f>
        <v>0</v>
      </c>
      <c r="D42" s="70">
        <f>(IF(Afford1!$B$8="Y",Afford1!D48*Afford1!$B$9,0)+IF(Afford2!$B$8="Y",Afford2!D48*Afford2!$B$9,0)+IF(Afford3!$B$8="Y",Afford3!D48*Afford3!$B$9,0)+IF(Afford4!$B$8="Y",Afford4!D48*Afford4!$B$9,0)+IF(Afford5!$B$8="Y",Afford5!D48*Afford5!$B$9,0))/100000</f>
        <v>0</v>
      </c>
      <c r="E42" s="70">
        <f>(IF(Afford1!$B$8="Y",Afford1!E48*Afford1!$B$9,0)+IF(Afford2!$B$8="Y",Afford2!E48*Afford2!$B$9,0)+IF(Afford3!$B$8="Y",Afford3!E48*Afford3!$B$9,0)+IF(Afford4!$B$8="Y",Afford4!E48*Afford4!$B$9,0)+IF(Afford5!$B$8="Y",Afford5!E48*Afford5!$B$9,0))/100000</f>
        <v>0</v>
      </c>
      <c r="F42" s="56" t="str">
        <f t="shared" si="13"/>
        <v>-</v>
      </c>
      <c r="G42" s="56" t="str">
        <f t="shared" si="13"/>
        <v>-</v>
      </c>
    </row>
    <row r="43" spans="1:7">
      <c r="A43" s="60" t="s">
        <v>754</v>
      </c>
      <c r="B43" s="113">
        <f>(IF(Afford1!$B$8="Y",Afford1!B49*Afford1!$B$9,0)+IF(Afford2!$B$8="Y",Afford2!B49*Afford2!$B$9,0)+IF(Afford3!$B$8="Y",Afford3!B49*Afford3!$B$9,0)+IF(Afford4!$B$8="Y",Afford4!B49*Afford4!$B$9,0)+IF(Afford5!$B$8="Y",Afford5!B49*Afford5!$B$9,0))/100000</f>
        <v>0</v>
      </c>
      <c r="C43" s="70">
        <f>(IF(Afford1!$B$8="Y",Afford1!C49*Afford1!$B$9,0)+IF(Afford2!$B$8="Y",Afford2!C49*Afford2!$B$9,0)+IF(Afford3!$B$8="Y",Afford3!C49*Afford3!$B$9,0)+IF(Afford4!$B$8="Y",Afford4!C49*Afford4!$B$9,0)+IF(Afford5!$B$8="Y",Afford5!C49*Afford5!$B$9,0))/100000</f>
        <v>0</v>
      </c>
      <c r="D43" s="70">
        <f>(IF(Afford1!$B$8="Y",Afford1!D49*Afford1!$B$9,0)+IF(Afford2!$B$8="Y",Afford2!D49*Afford2!$B$9,0)+IF(Afford3!$B$8="Y",Afford3!D49*Afford3!$B$9,0)+IF(Afford4!$B$8="Y",Afford4!D49*Afford4!$B$9,0)+IF(Afford5!$B$8="Y",Afford5!D49*Afford5!$B$9,0))/100000</f>
        <v>0</v>
      </c>
      <c r="E43" s="70">
        <f>(IF(Afford1!$B$8="Y",Afford1!E49*Afford1!$B$9,0)+IF(Afford2!$B$8="Y",Afford2!E49*Afford2!$B$9,0)+IF(Afford3!$B$8="Y",Afford3!E49*Afford3!$B$9,0)+IF(Afford4!$B$8="Y",Afford4!E49*Afford4!$B$9,0)+IF(Afford5!$B$8="Y",Afford5!E49*Afford5!$B$9,0))/100000</f>
        <v>0</v>
      </c>
      <c r="F43" s="56" t="str">
        <f t="shared" si="13"/>
        <v>-</v>
      </c>
      <c r="G43" s="56" t="str">
        <f t="shared" si="13"/>
        <v>-</v>
      </c>
    </row>
    <row r="44" spans="1:7">
      <c r="A44" s="48" t="s">
        <v>755</v>
      </c>
      <c r="B44" s="58">
        <f>SUM(B41:B43)</f>
        <v>0</v>
      </c>
      <c r="C44" s="58">
        <f t="shared" ref="C44:E44" si="14">SUM(C41:C43)</f>
        <v>0</v>
      </c>
      <c r="D44" s="58">
        <f t="shared" si="14"/>
        <v>0</v>
      </c>
      <c r="E44" s="58">
        <f t="shared" si="14"/>
        <v>0</v>
      </c>
      <c r="F44" s="59" t="str">
        <f t="shared" si="13"/>
        <v>-</v>
      </c>
      <c r="G44" s="59" t="str">
        <f t="shared" si="13"/>
        <v>-</v>
      </c>
    </row>
    <row r="45" spans="1:7">
      <c r="A45" s="60" t="s">
        <v>756</v>
      </c>
      <c r="B45" s="113">
        <f>(IF(Afford1!$B$8="Y",Afford1!B51*Afford1!$B$9,0)+IF(Afford2!$B$8="Y",Afford2!B51*Afford2!$B$9,0)+IF(Afford3!$B$8="Y",Afford3!B51*Afford3!$B$9,0)+IF(Afford4!$B$8="Y",Afford4!B51*Afford4!$B$9,0)+IF(Afford5!$B$8="Y",Afford5!B51*Afford5!$B$9,0))/100000</f>
        <v>0</v>
      </c>
      <c r="C45" s="70">
        <f>(IF(Afford1!$B$8="Y",Afford1!C51*Afford1!$B$9,0)+IF(Afford2!$B$8="Y",Afford2!C51*Afford2!$B$9,0)+IF(Afford3!$B$8="Y",Afford3!C51*Afford3!$B$9,0)+IF(Afford4!$B$8="Y",Afford4!C51*Afford4!$B$9,0)+IF(Afford5!$B$8="Y",Afford5!C51*Afford5!$B$9,0))/100000</f>
        <v>0</v>
      </c>
      <c r="D45" s="70">
        <f>(IF(Afford1!$B$8="Y",Afford1!D51*Afford1!$B$9,0)+IF(Afford2!$B$8="Y",Afford2!D51*Afford2!$B$9,0)+IF(Afford3!$B$8="Y",Afford3!D51*Afford3!$B$9,0)+IF(Afford4!$B$8="Y",Afford4!D51*Afford4!$B$9,0)+IF(Afford5!$B$8="Y",Afford5!D51*Afford5!$B$9,0))/100000</f>
        <v>0</v>
      </c>
      <c r="E45" s="70">
        <f>(IF(Afford1!$B$8="Y",Afford1!E51*Afford1!$B$9,0)+IF(Afford2!$B$8="Y",Afford2!E51*Afford2!$B$9,0)+IF(Afford3!$B$8="Y",Afford3!E51*Afford3!$B$9,0)+IF(Afford4!$B$8="Y",Afford4!E51*Afford4!$B$9,0)+IF(Afford5!$B$8="Y",Afford5!E51*Afford5!$B$9,0))/100000</f>
        <v>0</v>
      </c>
      <c r="F45" s="56" t="str">
        <f t="shared" si="13"/>
        <v>-</v>
      </c>
      <c r="G45" s="56" t="str">
        <f t="shared" si="13"/>
        <v>-</v>
      </c>
    </row>
    <row r="46" spans="1:7">
      <c r="A46" s="60" t="s">
        <v>757</v>
      </c>
      <c r="B46" s="113">
        <f>(IF(Afford1!$B$8="Y",Afford1!B52*Afford1!$B$9,0)+IF(Afford2!$B$8="Y",Afford2!B52*Afford2!$B$9,0)+IF(Afford3!$B$8="Y",Afford3!B52*Afford3!$B$9,0)+IF(Afford4!$B$8="Y",Afford4!B52*Afford4!$B$9,0)+IF(Afford5!$B$8="Y",Afford5!B52*Afford5!$B$9,0))/100000</f>
        <v>0</v>
      </c>
      <c r="C46" s="70">
        <f>(IF(Afford1!$B$8="Y",Afford1!C52*Afford1!$B$9,0)+IF(Afford2!$B$8="Y",Afford2!C52*Afford2!$B$9,0)+IF(Afford3!$B$8="Y",Afford3!C52*Afford3!$B$9,0)+IF(Afford4!$B$8="Y",Afford4!C52*Afford4!$B$9,0)+IF(Afford5!$B$8="Y",Afford5!C52*Afford5!$B$9,0))/100000</f>
        <v>0</v>
      </c>
      <c r="D46" s="70">
        <f>(IF(Afford1!$B$8="Y",Afford1!D52*Afford1!$B$9,0)+IF(Afford2!$B$8="Y",Afford2!D52*Afford2!$B$9,0)+IF(Afford3!$B$8="Y",Afford3!D52*Afford3!$B$9,0)+IF(Afford4!$B$8="Y",Afford4!D52*Afford4!$B$9,0)+IF(Afford5!$B$8="Y",Afford5!D52*Afford5!$B$9,0))/100000</f>
        <v>0</v>
      </c>
      <c r="E46" s="70">
        <f>(IF(Afford1!$B$8="Y",Afford1!E52*Afford1!$B$9,0)+IF(Afford2!$B$8="Y",Afford2!E52*Afford2!$B$9,0)+IF(Afford3!$B$8="Y",Afford3!E52*Afford3!$B$9,0)+IF(Afford4!$B$8="Y",Afford4!E52*Afford4!$B$9,0)+IF(Afford5!$B$8="Y",Afford5!E52*Afford5!$B$9,0))/100000</f>
        <v>0</v>
      </c>
      <c r="F46" s="56" t="str">
        <f t="shared" si="13"/>
        <v>-</v>
      </c>
      <c r="G46" s="56" t="str">
        <f t="shared" si="13"/>
        <v>-</v>
      </c>
    </row>
    <row r="47" spans="1:7">
      <c r="A47" s="60" t="s">
        <v>758</v>
      </c>
      <c r="B47" s="113">
        <f>(IF(Afford1!$B$8="Y",Afford1!B53*Afford1!$B$9,0)+IF(Afford2!$B$8="Y",Afford2!B53*Afford2!$B$9,0)+IF(Afford3!$B$8="Y",Afford3!B53*Afford3!$B$9,0)+IF(Afford4!$B$8="Y",Afford4!B53*Afford4!$B$9,0)+IF(Afford5!$B$8="Y",Afford5!B53*Afford5!$B$9,0))/100000</f>
        <v>0</v>
      </c>
      <c r="C47" s="70">
        <f>(IF(Afford1!$B$8="Y",Afford1!C53*Afford1!$B$9,0)+IF(Afford2!$B$8="Y",Afford2!C53*Afford2!$B$9,0)+IF(Afford3!$B$8="Y",Afford3!C53*Afford3!$B$9,0)+IF(Afford4!$B$8="Y",Afford4!C53*Afford4!$B$9,0)+IF(Afford5!$B$8="Y",Afford5!C53*Afford5!$B$9,0))/100000</f>
        <v>0</v>
      </c>
      <c r="D47" s="70">
        <f>(IF(Afford1!$B$8="Y",Afford1!D53*Afford1!$B$9,0)+IF(Afford2!$B$8="Y",Afford2!D53*Afford2!$B$9,0)+IF(Afford3!$B$8="Y",Afford3!D53*Afford3!$B$9,0)+IF(Afford4!$B$8="Y",Afford4!D53*Afford4!$B$9,0)+IF(Afford5!$B$8="Y",Afford5!D53*Afford5!$B$9,0))/100000</f>
        <v>0</v>
      </c>
      <c r="E47" s="70">
        <f>(IF(Afford1!$B$8="Y",Afford1!E53*Afford1!$B$9,0)+IF(Afford2!$B$8="Y",Afford2!E53*Afford2!$B$9,0)+IF(Afford3!$B$8="Y",Afford3!E53*Afford3!$B$9,0)+IF(Afford4!$B$8="Y",Afford4!E53*Afford4!$B$9,0)+IF(Afford5!$B$8="Y",Afford5!E53*Afford5!$B$9,0))/100000</f>
        <v>0</v>
      </c>
      <c r="F47" s="56" t="str">
        <f t="shared" si="13"/>
        <v>-</v>
      </c>
      <c r="G47" s="56" t="str">
        <f t="shared" si="13"/>
        <v>-</v>
      </c>
    </row>
    <row r="48" spans="1:7">
      <c r="A48" s="48" t="s">
        <v>759</v>
      </c>
      <c r="B48" s="58">
        <f>B44-B45-B46-B47</f>
        <v>0</v>
      </c>
      <c r="C48" s="58">
        <f t="shared" ref="C48:E48" si="15">C44-C45-C46-C47</f>
        <v>0</v>
      </c>
      <c r="D48" s="58">
        <f t="shared" si="15"/>
        <v>0</v>
      </c>
      <c r="E48" s="58">
        <f t="shared" si="15"/>
        <v>0</v>
      </c>
      <c r="F48" s="59" t="str">
        <f t="shared" si="13"/>
        <v>-</v>
      </c>
      <c r="G48" s="59" t="str">
        <f t="shared" si="13"/>
        <v>-</v>
      </c>
    </row>
    <row r="49" spans="1:7">
      <c r="A49" s="153" t="s">
        <v>760</v>
      </c>
      <c r="B49" s="535"/>
      <c r="C49" s="536"/>
      <c r="D49" s="536"/>
      <c r="E49" s="537"/>
      <c r="F49" s="154"/>
      <c r="G49" s="154"/>
    </row>
    <row r="50" spans="1:7">
      <c r="A50" s="60" t="s">
        <v>761</v>
      </c>
      <c r="B50" s="113">
        <f>(IF(Afford1!$B$8="Y",Afford1!B56*Afford1!$B$9,0)+IF(Afford2!$B$8="Y",Afford2!B56*Afford2!$B$9,0)+IF(Afford3!$B$8="Y",Afford3!B56*Afford3!$B$9,0)+IF(Afford4!$B$8="Y",Afford4!B56*Afford4!$B$9,0)+IF(Afford5!$B$8="Y",Afford5!B56*Afford5!$B$9,0))/100000</f>
        <v>0</v>
      </c>
      <c r="C50" s="70">
        <f>(IF(Afford1!$B$8="Y",Afford1!C56*Afford1!$B$9,0)+IF(Afford2!$B$8="Y",Afford2!C56*Afford2!$B$9,0)+IF(Afford3!$B$8="Y",Afford3!C56*Afford3!$B$9,0)+IF(Afford4!$B$8="Y",Afford4!C56*Afford4!$B$9,0)+IF(Afford5!$B$8="Y",Afford5!C56*Afford5!$B$9,0))/100000</f>
        <v>0</v>
      </c>
      <c r="D50" s="70">
        <f>(IF(Afford1!$B$8="Y",Afford1!D56*Afford1!$B$9,0)+IF(Afford2!$B$8="Y",Afford2!D56*Afford2!$B$9,0)+IF(Afford3!$B$8="Y",Afford3!D56*Afford3!$B$9,0)+IF(Afford4!$B$8="Y",Afford4!D56*Afford4!$B$9,0)+IF(Afford5!$B$8="Y",Afford5!D56*Afford5!$B$9,0))/100000</f>
        <v>0</v>
      </c>
      <c r="E50" s="70">
        <f>(IF(Afford1!$B$8="Y",Afford1!E56*Afford1!$B$9,0)+IF(Afford2!$B$8="Y",Afford2!E56*Afford2!$B$9,0)+IF(Afford3!$B$8="Y",Afford3!E56*Afford3!$B$9,0)+IF(Afford4!$B$8="Y",Afford4!E56*Afford4!$B$9,0)+IF(Afford5!$B$8="Y",Afford5!E56*Afford5!$B$9,0))/100000</f>
        <v>0</v>
      </c>
      <c r="F50" s="56" t="str">
        <f>IFERROR((C50-D50)/D50,"-")</f>
        <v>-</v>
      </c>
      <c r="G50" s="56" t="str">
        <f>IFERROR((D50-E50)/E50,"-")</f>
        <v>-</v>
      </c>
    </row>
    <row r="51" spans="1:7">
      <c r="A51" s="60" t="s">
        <v>762</v>
      </c>
      <c r="B51" s="113">
        <f>(IF(Afford1!$B$8="Y",Afford1!B57*Afford1!$B$9,0)+IF(Afford2!$B$8="Y",Afford2!B57*Afford2!$B$9,0)+IF(Afford3!$B$8="Y",Afford3!B57*Afford3!$B$9,0)+IF(Afford4!$B$8="Y",Afford4!B57*Afford4!$B$9,0)+IF(Afford5!$B$8="Y",Afford5!B57*Afford5!$B$9,0))/100000</f>
        <v>0</v>
      </c>
      <c r="C51" s="70">
        <f>(IF(Afford1!$B$8="Y",Afford1!C57*Afford1!$B$9,0)+IF(Afford2!$B$8="Y",Afford2!C57*Afford2!$B$9,0)+IF(Afford3!$B$8="Y",Afford3!C57*Afford3!$B$9,0)+IF(Afford4!$B$8="Y",Afford4!C57*Afford4!$B$9,0)+IF(Afford5!$B$8="Y",Afford5!C57*Afford5!$B$9,0))/100000</f>
        <v>0</v>
      </c>
      <c r="D51" s="70">
        <f>(IF(Afford1!$B$8="Y",Afford1!D57*Afford1!$B$9,0)+IF(Afford2!$B$8="Y",Afford2!D57*Afford2!$B$9,0)+IF(Afford3!$B$8="Y",Afford3!D57*Afford3!$B$9,0)+IF(Afford4!$B$8="Y",Afford4!D57*Afford4!$B$9,0)+IF(Afford5!$B$8="Y",Afford5!D57*Afford5!$B$9,0))/100000</f>
        <v>0</v>
      </c>
      <c r="E51" s="70">
        <f>(IF(Afford1!$B$8="Y",Afford1!E57*Afford1!$B$9,0)+IF(Afford2!$B$8="Y",Afford2!E57*Afford2!$B$9,0)+IF(Afford3!$B$8="Y",Afford3!E57*Afford3!$B$9,0)+IF(Afford4!$B$8="Y",Afford4!E57*Afford4!$B$9,0)+IF(Afford5!$B$8="Y",Afford5!E57*Afford5!$B$9,0))/100000</f>
        <v>0</v>
      </c>
      <c r="F51" s="56" t="str">
        <f>IFERROR((C51-D51)/D51,"-")</f>
        <v>-</v>
      </c>
      <c r="G51" s="56" t="str">
        <f>IFERROR((D51-E51)/E51,"-")</f>
        <v>-</v>
      </c>
    </row>
    <row r="52" spans="1:7">
      <c r="A52" s="60" t="s">
        <v>763</v>
      </c>
      <c r="B52" s="113">
        <f>(IF(Afford1!$B$8="Y",Afford1!B58*Afford1!$B$9,0)+IF(Afford2!$B$8="Y",Afford2!B58*Afford2!$B$9,0)+IF(Afford3!$B$8="Y",Afford3!B58*Afford3!$B$9,0)+IF(Afford4!$B$8="Y",Afford4!B58*Afford4!$B$9,0)+IF(Afford5!$B$8="Y",Afford5!B58*Afford5!$B$9,0))/100000</f>
        <v>0</v>
      </c>
      <c r="C52" s="70">
        <f>(IF(Afford1!$B$8="Y",Afford1!C58*Afford1!$B$9,0)+IF(Afford2!$B$8="Y",Afford2!C58*Afford2!$B$9,0)+IF(Afford3!$B$8="Y",Afford3!C58*Afford3!$B$9,0)+IF(Afford4!$B$8="Y",Afford4!C58*Afford4!$B$9,0)+IF(Afford5!$B$8="Y",Afford5!C58*Afford5!$B$9,0))/100000</f>
        <v>0</v>
      </c>
      <c r="D52" s="70">
        <f>(IF(Afford1!$B$8="Y",Afford1!D58*Afford1!$B$9,0)+IF(Afford2!$B$8="Y",Afford2!D58*Afford2!$B$9,0)+IF(Afford3!$B$8="Y",Afford3!D58*Afford3!$B$9,0)+IF(Afford4!$B$8="Y",Afford4!D58*Afford4!$B$9,0)+IF(Afford5!$B$8="Y",Afford5!D58*Afford5!$B$9,0))/100000</f>
        <v>0</v>
      </c>
      <c r="E52" s="70">
        <f>(IF(Afford1!$B$8="Y",Afford1!E58*Afford1!$B$9,0)+IF(Afford2!$B$8="Y",Afford2!E58*Afford2!$B$9,0)+IF(Afford3!$B$8="Y",Afford3!E58*Afford3!$B$9,0)+IF(Afford4!$B$8="Y",Afford4!E58*Afford4!$B$9,0)+IF(Afford5!$B$8="Y",Afford5!E58*Afford5!$B$9,0))/100000</f>
        <v>0</v>
      </c>
      <c r="F52" s="56" t="str">
        <f t="shared" si="13"/>
        <v>-</v>
      </c>
      <c r="G52" s="56" t="str">
        <f t="shared" si="13"/>
        <v>-</v>
      </c>
    </row>
    <row r="53" spans="1:7">
      <c r="A53" s="60" t="s">
        <v>764</v>
      </c>
      <c r="B53" s="113">
        <f>(IF(Afford1!$B$8="Y",Afford1!B59*Afford1!$B$9,0)+IF(Afford2!$B$8="Y",Afford2!B59*Afford2!$B$9,0)+IF(Afford3!$B$8="Y",Afford3!B59*Afford3!$B$9,0)+IF(Afford4!$B$8="Y",Afford4!B59*Afford4!$B$9,0)+IF(Afford5!$B$8="Y",Afford5!B59*Afford5!$B$9,0))/100000</f>
        <v>0</v>
      </c>
      <c r="C53" s="70">
        <f>(IF(Afford1!$B$8="Y",Afford1!C59*Afford1!$B$9,0)+IF(Afford2!$B$8="Y",Afford2!C59*Afford2!$B$9,0)+IF(Afford3!$B$8="Y",Afford3!C59*Afford3!$B$9,0)+IF(Afford4!$B$8="Y",Afford4!C59*Afford4!$B$9,0)+IF(Afford5!$B$8="Y",Afford5!C59*Afford5!$B$9,0))/100000</f>
        <v>0</v>
      </c>
      <c r="D53" s="70">
        <f>(IF(Afford1!$B$8="Y",Afford1!D59*Afford1!$B$9,0)+IF(Afford2!$B$8="Y",Afford2!D59*Afford2!$B$9,0)+IF(Afford3!$B$8="Y",Afford3!D59*Afford3!$B$9,0)+IF(Afford4!$B$8="Y",Afford4!D59*Afford4!$B$9,0)+IF(Afford5!$B$8="Y",Afford5!D59*Afford5!$B$9,0))/100000</f>
        <v>0</v>
      </c>
      <c r="E53" s="70">
        <f>(IF(Afford1!$B$8="Y",Afford1!E59*Afford1!$B$9,0)+IF(Afford2!$B$8="Y",Afford2!E59*Afford2!$B$9,0)+IF(Afford3!$B$8="Y",Afford3!E59*Afford3!$B$9,0)+IF(Afford4!$B$8="Y",Afford4!E59*Afford4!$B$9,0)+IF(Afford5!$B$8="Y",Afford5!E59*Afford5!$B$9,0))/100000</f>
        <v>0</v>
      </c>
      <c r="F53" s="56" t="str">
        <f>IFERROR((C53-D53)/D53,"-")</f>
        <v>-</v>
      </c>
      <c r="G53" s="56" t="str">
        <f>IFERROR((D53-E53)/E53,"-")</f>
        <v>-</v>
      </c>
    </row>
    <row r="54" spans="1:7">
      <c r="A54" s="48" t="s">
        <v>765</v>
      </c>
      <c r="B54" s="58">
        <f>SUM(B50:B53)</f>
        <v>0</v>
      </c>
      <c r="C54" s="58">
        <f t="shared" ref="C54:E54" si="16">SUM(C50:C53)</f>
        <v>0</v>
      </c>
      <c r="D54" s="58">
        <f t="shared" si="16"/>
        <v>0</v>
      </c>
      <c r="E54" s="58">
        <f t="shared" si="16"/>
        <v>0</v>
      </c>
      <c r="F54" s="59" t="str">
        <f t="shared" si="13"/>
        <v>-</v>
      </c>
      <c r="G54" s="59" t="str">
        <f t="shared" si="13"/>
        <v>-</v>
      </c>
    </row>
    <row r="55" spans="1:7">
      <c r="A55" s="153" t="s">
        <v>766</v>
      </c>
      <c r="B55" s="535"/>
      <c r="C55" s="536"/>
      <c r="D55" s="536"/>
      <c r="E55" s="537"/>
      <c r="F55" s="154"/>
      <c r="G55" s="154"/>
    </row>
    <row r="56" spans="1:7">
      <c r="A56" s="60" t="s">
        <v>767</v>
      </c>
      <c r="B56" s="113">
        <f>(IF(Afford1!$B$8="Y",Afford1!B62*Afford1!$B$9,0)+IF(Afford2!$B$8="Y",Afford2!B62*Afford2!$B$9,0)+IF(Afford3!$B$8="Y",Afford3!B62*Afford3!$B$9,0)+IF(Afford4!$B$8="Y",Afford4!B62*Afford4!$B$9,0)+IF(Afford5!$B$8="Y",Afford5!B62*Afford5!$B$9,0))/100000</f>
        <v>0</v>
      </c>
      <c r="C56" s="70">
        <f>(IF(Afford1!$B$8="Y",Afford1!C62*Afford1!$B$9,0)+IF(Afford2!$B$8="Y",Afford2!C62*Afford2!$B$9,0)+IF(Afford3!$B$8="Y",Afford3!C62*Afford3!$B$9,0)+IF(Afford4!$B$8="Y",Afford4!C62*Afford4!$B$9,0)+IF(Afford5!$B$8="Y",Afford5!C62*Afford5!$B$9,0))/100000</f>
        <v>0</v>
      </c>
      <c r="D56" s="70">
        <f>(IF(Afford1!$B$8="Y",Afford1!D62*Afford1!$B$9,0)+IF(Afford2!$B$8="Y",Afford2!D62*Afford2!$B$9,0)+IF(Afford3!$B$8="Y",Afford3!D62*Afford3!$B$9,0)+IF(Afford4!$B$8="Y",Afford4!D62*Afford4!$B$9,0)+IF(Afford5!$B$8="Y",Afford5!D62*Afford5!$B$9,0))/100000</f>
        <v>0</v>
      </c>
      <c r="E56" s="70">
        <f>(IF(Afford1!$B$8="Y",Afford1!E62*Afford1!$B$9,0)+IF(Afford2!$B$8="Y",Afford2!E62*Afford2!$B$9,0)+IF(Afford3!$B$8="Y",Afford3!E62*Afford3!$B$9,0)+IF(Afford4!$B$8="Y",Afford4!E62*Afford4!$B$9,0)+IF(Afford5!$B$8="Y",Afford5!E62*Afford5!$B$9,0))/100000</f>
        <v>0</v>
      </c>
      <c r="F56" s="56" t="str">
        <f t="shared" ref="F56:G62" si="17">IFERROR((C56-D56)/D56,"-")</f>
        <v>-</v>
      </c>
      <c r="G56" s="56" t="str">
        <f t="shared" si="17"/>
        <v>-</v>
      </c>
    </row>
    <row r="57" spans="1:7">
      <c r="A57" s="60" t="s">
        <v>768</v>
      </c>
      <c r="B57" s="113">
        <f>(IF(Afford1!$B$8="Y",Afford1!B63*Afford1!$B$9,0)+IF(Afford2!$B$8="Y",Afford2!B63*Afford2!$B$9,0)+IF(Afford3!$B$8="Y",Afford3!B63*Afford3!$B$9,0)+IF(Afford4!$B$8="Y",Afford4!B63*Afford4!$B$9,0)+IF(Afford5!$B$8="Y",Afford5!B63*Afford5!$B$9,0))/100000</f>
        <v>0</v>
      </c>
      <c r="C57" s="70">
        <f>(IF(Afford1!$B$8="Y",Afford1!C63*Afford1!$B$9,0)+IF(Afford2!$B$8="Y",Afford2!C63*Afford2!$B$9,0)+IF(Afford3!$B$8="Y",Afford3!C63*Afford3!$B$9,0)+IF(Afford4!$B$8="Y",Afford4!C63*Afford4!$B$9,0)+IF(Afford5!$B$8="Y",Afford5!C63*Afford5!$B$9,0))/100000</f>
        <v>0</v>
      </c>
      <c r="D57" s="70">
        <f>(IF(Afford1!$B$8="Y",Afford1!D63*Afford1!$B$9,0)+IF(Afford2!$B$8="Y",Afford2!D63*Afford2!$B$9,0)+IF(Afford3!$B$8="Y",Afford3!D63*Afford3!$B$9,0)+IF(Afford4!$B$8="Y",Afford4!D63*Afford4!$B$9,0)+IF(Afford5!$B$8="Y",Afford5!D63*Afford5!$B$9,0))/100000</f>
        <v>0</v>
      </c>
      <c r="E57" s="70">
        <f>(IF(Afford1!$B$8="Y",Afford1!E63*Afford1!$B$9,0)+IF(Afford2!$B$8="Y",Afford2!E63*Afford2!$B$9,0)+IF(Afford3!$B$8="Y",Afford3!E63*Afford3!$B$9,0)+IF(Afford4!$B$8="Y",Afford4!E63*Afford4!$B$9,0)+IF(Afford5!$B$8="Y",Afford5!E63*Afford5!$B$9,0))/100000</f>
        <v>0</v>
      </c>
      <c r="F57" s="56" t="str">
        <f t="shared" si="17"/>
        <v>-</v>
      </c>
      <c r="G57" s="56" t="str">
        <f t="shared" si="17"/>
        <v>-</v>
      </c>
    </row>
    <row r="58" spans="1:7">
      <c r="A58" s="60" t="s">
        <v>769</v>
      </c>
      <c r="B58" s="113">
        <f>(IF(Afford1!$B$8="Y",Afford1!B64*Afford1!$B$9,0)+IF(Afford2!$B$8="Y",Afford2!B64*Afford2!$B$9,0)+IF(Afford3!$B$8="Y",Afford3!B64*Afford3!$B$9,0)+IF(Afford4!$B$8="Y",Afford4!B64*Afford4!$B$9,0)+IF(Afford5!$B$8="Y",Afford5!B64*Afford5!$B$9,0))/100000</f>
        <v>0</v>
      </c>
      <c r="C58" s="70">
        <f>(IF(Afford1!$B$8="Y",Afford1!C64*Afford1!$B$9,0)+IF(Afford2!$B$8="Y",Afford2!C64*Afford2!$B$9,0)+IF(Afford3!$B$8="Y",Afford3!C64*Afford3!$B$9,0)+IF(Afford4!$B$8="Y",Afford4!C64*Afford4!$B$9,0)+IF(Afford5!$B$8="Y",Afford5!C64*Afford5!$B$9,0))/100000</f>
        <v>0</v>
      </c>
      <c r="D58" s="70">
        <f>(IF(Afford1!$B$8="Y",Afford1!D64*Afford1!$B$9,0)+IF(Afford2!$B$8="Y",Afford2!D64*Afford2!$B$9,0)+IF(Afford3!$B$8="Y",Afford3!D64*Afford3!$B$9,0)+IF(Afford4!$B$8="Y",Afford4!D64*Afford4!$B$9,0)+IF(Afford5!$B$8="Y",Afford5!D64*Afford5!$B$9,0))/100000</f>
        <v>0</v>
      </c>
      <c r="E58" s="70">
        <f>(IF(Afford1!$B$8="Y",Afford1!E64*Afford1!$B$9,0)+IF(Afford2!$B$8="Y",Afford2!E64*Afford2!$B$9,0)+IF(Afford3!$B$8="Y",Afford3!E64*Afford3!$B$9,0)+IF(Afford4!$B$8="Y",Afford4!E64*Afford4!$B$9,0)+IF(Afford5!$B$8="Y",Afford5!E64*Afford5!$B$9,0))/100000</f>
        <v>0</v>
      </c>
      <c r="F58" s="56" t="str">
        <f t="shared" si="17"/>
        <v>-</v>
      </c>
      <c r="G58" s="56" t="str">
        <f t="shared" si="17"/>
        <v>-</v>
      </c>
    </row>
    <row r="59" spans="1:7">
      <c r="A59" s="60" t="s">
        <v>770</v>
      </c>
      <c r="B59" s="113">
        <f>(IF(Afford1!$B$8="Y",Afford1!B65*Afford1!$B$9,0)+IF(Afford2!$B$8="Y",Afford2!B65*Afford2!$B$9,0)+IF(Afford3!$B$8="Y",Afford3!B65*Afford3!$B$9,0)+IF(Afford4!$B$8="Y",Afford4!B65*Afford4!$B$9,0)+IF(Afford5!$B$8="Y",Afford5!B65*Afford5!$B$9,0))/100000</f>
        <v>0</v>
      </c>
      <c r="C59" s="70">
        <f>(IF(Afford1!$B$8="Y",Afford1!C65*Afford1!$B$9,0)+IF(Afford2!$B$8="Y",Afford2!C65*Afford2!$B$9,0)+IF(Afford3!$B$8="Y",Afford3!C65*Afford3!$B$9,0)+IF(Afford4!$B$8="Y",Afford4!C65*Afford4!$B$9,0)+IF(Afford5!$B$8="Y",Afford5!C65*Afford5!$B$9,0))/100000</f>
        <v>0</v>
      </c>
      <c r="D59" s="70">
        <f>(IF(Afford1!$B$8="Y",Afford1!D65*Afford1!$B$9,0)+IF(Afford2!$B$8="Y",Afford2!D65*Afford2!$B$9,0)+IF(Afford3!$B$8="Y",Afford3!D65*Afford3!$B$9,0)+IF(Afford4!$B$8="Y",Afford4!D65*Afford4!$B$9,0)+IF(Afford5!$B$8="Y",Afford5!D65*Afford5!$B$9,0))/100000</f>
        <v>0</v>
      </c>
      <c r="E59" s="70">
        <f>(IF(Afford1!$B$8="Y",Afford1!E65*Afford1!$B$9,0)+IF(Afford2!$B$8="Y",Afford2!E65*Afford2!$B$9,0)+IF(Afford3!$B$8="Y",Afford3!E65*Afford3!$B$9,0)+IF(Afford4!$B$8="Y",Afford4!E65*Afford4!$B$9,0)+IF(Afford5!$B$8="Y",Afford5!E65*Afford5!$B$9,0))/100000</f>
        <v>0</v>
      </c>
      <c r="F59" s="56" t="str">
        <f t="shared" si="17"/>
        <v>-</v>
      </c>
      <c r="G59" s="56" t="str">
        <f t="shared" si="17"/>
        <v>-</v>
      </c>
    </row>
    <row r="60" spans="1:7">
      <c r="A60" s="60" t="s">
        <v>771</v>
      </c>
      <c r="B60" s="113">
        <f>(IF(Afford1!$B$8="Y",Afford1!B66*Afford1!$B$9,0)+IF(Afford2!$B$8="Y",Afford2!B66*Afford2!$B$9,0)+IF(Afford3!$B$8="Y",Afford3!B66*Afford3!$B$9,0)+IF(Afford4!$B$8="Y",Afford4!B66*Afford4!$B$9,0)+IF(Afford5!$B$8="Y",Afford5!B66*Afford5!$B$9,0))/100000</f>
        <v>0</v>
      </c>
      <c r="C60" s="70">
        <f>(IF(Afford1!$B$8="Y",Afford1!C66*Afford1!$B$9,0)+IF(Afford2!$B$8="Y",Afford2!C66*Afford2!$B$9,0)+IF(Afford3!$B$8="Y",Afford3!C66*Afford3!$B$9,0)+IF(Afford4!$B$8="Y",Afford4!C66*Afford4!$B$9,0)+IF(Afford5!$B$8="Y",Afford5!C66*Afford5!$B$9,0))/100000</f>
        <v>0</v>
      </c>
      <c r="D60" s="70">
        <f>(IF(Afford1!$B$8="Y",Afford1!D66*Afford1!$B$9,0)+IF(Afford2!$B$8="Y",Afford2!D66*Afford2!$B$9,0)+IF(Afford3!$B$8="Y",Afford3!D66*Afford3!$B$9,0)+IF(Afford4!$B$8="Y",Afford4!D66*Afford4!$B$9,0)+IF(Afford5!$B$8="Y",Afford5!D66*Afford5!$B$9,0))/100000</f>
        <v>0</v>
      </c>
      <c r="E60" s="70">
        <f>(IF(Afford1!$B$8="Y",Afford1!E66*Afford1!$B$9,0)+IF(Afford2!$B$8="Y",Afford2!E66*Afford2!$B$9,0)+IF(Afford3!$B$8="Y",Afford3!E66*Afford3!$B$9,0)+IF(Afford4!$B$8="Y",Afford4!E66*Afford4!$B$9,0)+IF(Afford5!$B$8="Y",Afford5!E66*Afford5!$B$9,0))/100000</f>
        <v>0</v>
      </c>
      <c r="F60" s="56" t="str">
        <f t="shared" si="17"/>
        <v>-</v>
      </c>
      <c r="G60" s="56" t="str">
        <f t="shared" si="17"/>
        <v>-</v>
      </c>
    </row>
    <row r="61" spans="1:7">
      <c r="A61" s="48" t="s">
        <v>772</v>
      </c>
      <c r="B61" s="58">
        <f>SUM(B56:B60)</f>
        <v>0</v>
      </c>
      <c r="C61" s="58">
        <f t="shared" ref="C61:E61" si="18">SUM(C56:C60)</f>
        <v>0</v>
      </c>
      <c r="D61" s="58">
        <f t="shared" si="18"/>
        <v>0</v>
      </c>
      <c r="E61" s="58">
        <f t="shared" si="18"/>
        <v>0</v>
      </c>
      <c r="F61" s="59" t="str">
        <f t="shared" si="17"/>
        <v>-</v>
      </c>
      <c r="G61" s="59" t="str">
        <f t="shared" si="17"/>
        <v>-</v>
      </c>
    </row>
    <row r="62" spans="1:7">
      <c r="A62" s="48" t="s">
        <v>773</v>
      </c>
      <c r="B62" s="58">
        <f>B54+B61</f>
        <v>0</v>
      </c>
      <c r="C62" s="58">
        <f t="shared" ref="C62:E62" si="19">C54+C61</f>
        <v>0</v>
      </c>
      <c r="D62" s="58">
        <f t="shared" si="19"/>
        <v>0</v>
      </c>
      <c r="E62" s="58">
        <f t="shared" si="19"/>
        <v>0</v>
      </c>
      <c r="F62" s="59" t="str">
        <f t="shared" si="17"/>
        <v>-</v>
      </c>
      <c r="G62" s="59" t="str">
        <f t="shared" si="17"/>
        <v>-</v>
      </c>
    </row>
    <row r="63" spans="1:7">
      <c r="A63" s="48" t="s">
        <v>774</v>
      </c>
      <c r="B63" s="116">
        <f>B48+B62</f>
        <v>0</v>
      </c>
      <c r="C63" s="116">
        <f t="shared" ref="C63:E63" si="20">C48+C62</f>
        <v>0</v>
      </c>
      <c r="D63" s="116">
        <f t="shared" si="20"/>
        <v>0</v>
      </c>
      <c r="E63" s="116">
        <f t="shared" si="20"/>
        <v>0</v>
      </c>
      <c r="F63" s="59"/>
      <c r="G63" s="59"/>
    </row>
    <row r="64" spans="1:7">
      <c r="A64" s="62"/>
      <c r="B64" s="120"/>
      <c r="C64" s="118"/>
      <c r="D64" s="119"/>
      <c r="E64" s="119"/>
      <c r="F64" s="56"/>
      <c r="G64" s="56"/>
    </row>
    <row r="65" spans="1:7">
      <c r="A65" s="60" t="s">
        <v>775</v>
      </c>
      <c r="B65" s="70">
        <f>(IF(Afford1!$B$8="Y",Afford1!B71*Afford1!$B$9,0)+IF(Afford2!$B$8="Y",Afford2!B71*Afford2!$B$9,0)+IF(Afford3!$B$8="Y",Afford3!B71*Afford3!$B$9,0)+IF(Afford4!$B$8="Y",Afford4!B71*Afford4!$B$9,0)+IF(Afford5!$B$8="Y",Afford5!B71*Afford5!$B$9,0))/100000</f>
        <v>0</v>
      </c>
      <c r="C65" s="70">
        <f>(IF(Afford1!$B$8="Y",Afford1!C71*Afford1!$B$9,0)+IF(Afford2!$B$8="Y",Afford2!C71*Afford2!$B$9,0)+IF(Afford3!$B$8="Y",Afford3!C71*Afford3!$B$9,0)+IF(Afford4!$B$8="Y",Afford4!C71*Afford4!$B$9,0)+IF(Afford5!$B$8="Y",Afford5!C71*Afford5!$B$9,0))/100000</f>
        <v>0</v>
      </c>
      <c r="D65" s="70">
        <f>(IF(Afford1!$B$8="Y",Afford1!D71*Afford1!$B$9,0)+IF(Afford2!$B$8="Y",Afford2!D71*Afford2!$B$9,0)+IF(Afford3!$B$8="Y",Afford3!D71*Afford3!$B$9,0)+IF(Afford4!$B$8="Y",Afford4!D71*Afford4!$B$9,0)+IF(Afford5!$B$8="Y",Afford5!D71*Afford5!$B$9,0))/100000</f>
        <v>0</v>
      </c>
      <c r="E65" s="70">
        <f>(IF(Afford1!$B$8="Y",Afford1!E71*Afford1!$B$9,0)+IF(Afford2!$B$8="Y",Afford2!E71*Afford2!$B$9,0)+IF(Afford3!$B$8="Y",Afford3!E71*Afford3!$B$9,0)+IF(Afford4!$B$8="Y",Afford4!E71*Afford4!$B$9,0)+IF(Afford5!$B$8="Y",Afford5!E71*Afford5!$B$9,0))/100000</f>
        <v>0</v>
      </c>
      <c r="F65" s="56" t="str">
        <f t="shared" si="13"/>
        <v>-</v>
      </c>
      <c r="G65" s="56" t="str">
        <f t="shared" si="13"/>
        <v>-</v>
      </c>
    </row>
    <row r="66" spans="1:7">
      <c r="A66" s="60" t="s">
        <v>776</v>
      </c>
      <c r="B66" s="70">
        <f>(IF(Afford1!$B$8="Y",Afford1!B72*Afford1!$B$9,0)+IF(Afford2!$B$8="Y",Afford2!B72*Afford2!$B$9,0)+IF(Afford3!$B$8="Y",Afford3!B72*Afford3!$B$9,0)+IF(Afford4!$B$8="Y",Afford4!B72*Afford4!$B$9,0)+IF(Afford5!$B$8="Y",Afford5!B72*Afford5!$B$9,0))/100000</f>
        <v>0</v>
      </c>
      <c r="C66" s="70">
        <f>(IF(Afford1!$B$8="Y",Afford1!C72*Afford1!$B$9,0)+IF(Afford2!$B$8="Y",Afford2!C72*Afford2!$B$9,0)+IF(Afford3!$B$8="Y",Afford3!C72*Afford3!$B$9,0)+IF(Afford4!$B$8="Y",Afford4!C72*Afford4!$B$9,0)+IF(Afford5!$B$8="Y",Afford5!C72*Afford5!$B$9,0))/100000</f>
        <v>0</v>
      </c>
      <c r="D66" s="70">
        <f>(IF(Afford1!$B$8="Y",Afford1!D72*Afford1!$B$9,0)+IF(Afford2!$B$8="Y",Afford2!D72*Afford2!$B$9,0)+IF(Afford3!$B$8="Y",Afford3!D72*Afford3!$B$9,0)+IF(Afford4!$B$8="Y",Afford4!D72*Afford4!$B$9,0)+IF(Afford5!$B$8="Y",Afford5!D72*Afford5!$B$9,0))/100000</f>
        <v>0</v>
      </c>
      <c r="E66" s="70">
        <f>(IF(Afford1!$B$8="Y",Afford1!E72*Afford1!$B$9,0)+IF(Afford2!$B$8="Y",Afford2!E72*Afford2!$B$9,0)+IF(Afford3!$B$8="Y",Afford3!E72*Afford3!$B$9,0)+IF(Afford4!$B$8="Y",Afford4!E72*Afford4!$B$9,0)+IF(Afford5!$B$8="Y",Afford5!E72*Afford5!$B$9,0))/100000</f>
        <v>0</v>
      </c>
      <c r="F66" s="56" t="str">
        <f t="shared" si="13"/>
        <v>-</v>
      </c>
      <c r="G66" s="56" t="str">
        <f t="shared" si="13"/>
        <v>-</v>
      </c>
    </row>
    <row r="67" spans="1:7">
      <c r="A67" s="60" t="s">
        <v>777</v>
      </c>
      <c r="B67" s="70">
        <f>(IF(Afford1!$B$8="Y",Afford1!B73*Afford1!$B$9,0)+IF(Afford2!$B$8="Y",Afford2!B73*Afford2!$B$9,0)+IF(Afford3!$B$8="Y",Afford3!B73*Afford3!$B$9,0)+IF(Afford4!$B$8="Y",Afford4!B73*Afford4!$B$9,0)+IF(Afford5!$B$8="Y",Afford5!B73*Afford5!$B$9,0))/100000</f>
        <v>0</v>
      </c>
      <c r="C67" s="70">
        <f>(IF(Afford1!$B$8="Y",Afford1!C73*Afford1!$B$9,0)+IF(Afford2!$B$8="Y",Afford2!C73*Afford2!$B$9,0)+IF(Afford3!$B$8="Y",Afford3!C73*Afford3!$B$9,0)+IF(Afford4!$B$8="Y",Afford4!C73*Afford4!$B$9,0)+IF(Afford5!$B$8="Y",Afford5!C73*Afford5!$B$9,0))/100000</f>
        <v>0</v>
      </c>
      <c r="D67" s="70">
        <f>(IF(Afford1!$B$8="Y",Afford1!D73*Afford1!$B$9,0)+IF(Afford2!$B$8="Y",Afford2!D73*Afford2!$B$9,0)+IF(Afford3!$B$8="Y",Afford3!D73*Afford3!$B$9,0)+IF(Afford4!$B$8="Y",Afford4!D73*Afford4!$B$9,0)+IF(Afford5!$B$8="Y",Afford5!D73*Afford5!$B$9,0))/100000</f>
        <v>0</v>
      </c>
      <c r="E67" s="70">
        <f>(IF(Afford1!$B$8="Y",Afford1!E73*Afford1!$B$9,0)+IF(Afford2!$B$8="Y",Afford2!E73*Afford2!$B$9,0)+IF(Afford3!$B$8="Y",Afford3!E73*Afford3!$B$9,0)+IF(Afford4!$B$8="Y",Afford4!E73*Afford4!$B$9,0)+IF(Afford5!$B$8="Y",Afford5!E73*Afford5!$B$9,0))/100000</f>
        <v>0</v>
      </c>
      <c r="F67" s="56" t="str">
        <f t="shared" si="13"/>
        <v>-</v>
      </c>
      <c r="G67" s="56" t="str">
        <f t="shared" si="13"/>
        <v>-</v>
      </c>
    </row>
    <row r="68" spans="1:7">
      <c r="A68" s="60" t="s">
        <v>778</v>
      </c>
      <c r="B68" s="70">
        <f>(IF(Afford1!$B$8="Y",Afford1!B74*Afford1!$B$9,0)+IF(Afford2!$B$8="Y",Afford2!B74*Afford2!$B$9,0)+IF(Afford3!$B$8="Y",Afford3!B74*Afford3!$B$9,0)+IF(Afford4!$B$8="Y",Afford4!B74*Afford4!$B$9,0)+IF(Afford5!$B$8="Y",Afford5!B74*Afford5!$B$9,0))/100000</f>
        <v>0</v>
      </c>
      <c r="C68" s="70">
        <f>(IF(Afford1!$B$8="Y",Afford1!C74*Afford1!$B$9,0)+IF(Afford2!$B$8="Y",Afford2!C74*Afford2!$B$9,0)+IF(Afford3!$B$8="Y",Afford3!C74*Afford3!$B$9,0)+IF(Afford4!$B$8="Y",Afford4!C74*Afford4!$B$9,0)+IF(Afford5!$B$8="Y",Afford5!C74*Afford5!$B$9,0))/100000</f>
        <v>0</v>
      </c>
      <c r="D68" s="70">
        <f>(IF(Afford1!$B$8="Y",Afford1!D74*Afford1!$B$9,0)+IF(Afford2!$B$8="Y",Afford2!D74*Afford2!$B$9,0)+IF(Afford3!$B$8="Y",Afford3!D74*Afford3!$B$9,0)+IF(Afford4!$B$8="Y",Afford4!D74*Afford4!$B$9,0)+IF(Afford5!$B$8="Y",Afford5!D74*Afford5!$B$9,0))/100000</f>
        <v>0</v>
      </c>
      <c r="E68" s="70">
        <f>(IF(Afford1!$B$8="Y",Afford1!E74*Afford1!$B$9,0)+IF(Afford2!$B$8="Y",Afford2!E74*Afford2!$B$9,0)+IF(Afford3!$B$8="Y",Afford3!E74*Afford3!$B$9,0)+IF(Afford4!$B$8="Y",Afford4!E74*Afford4!$B$9,0)+IF(Afford5!$B$8="Y",Afford5!E74*Afford5!$B$9,0))/100000</f>
        <v>0</v>
      </c>
      <c r="F68" s="56" t="str">
        <f t="shared" si="13"/>
        <v>-</v>
      </c>
      <c r="G68" s="56" t="str">
        <f t="shared" si="13"/>
        <v>-</v>
      </c>
    </row>
    <row r="69" spans="1:7">
      <c r="A69" s="60" t="s">
        <v>779</v>
      </c>
      <c r="B69" s="70">
        <f>(IF(Afford1!$B$8="Y",Afford1!B75*Afford1!$B$9,0)+IF(Afford2!$B$8="Y",Afford2!B75*Afford2!$B$9,0)+IF(Afford3!$B$8="Y",Afford3!B75*Afford3!$B$9,0)+IF(Afford4!$B$8="Y",Afford4!B75*Afford4!$B$9,0)+IF(Afford5!$B$8="Y",Afford5!B75*Afford5!$B$9,0))/100000</f>
        <v>0</v>
      </c>
      <c r="C69" s="70">
        <f>(IF(Afford1!$B$8="Y",Afford1!C75*Afford1!$B$9,0)+IF(Afford2!$B$8="Y",Afford2!C75*Afford2!$B$9,0)+IF(Afford3!$B$8="Y",Afford3!C75*Afford3!$B$9,0)+IF(Afford4!$B$8="Y",Afford4!C75*Afford4!$B$9,0)+IF(Afford5!$B$8="Y",Afford5!C75*Afford5!$B$9,0))/100000</f>
        <v>0</v>
      </c>
      <c r="D69" s="70">
        <f>(IF(Afford1!$B$8="Y",Afford1!D75*Afford1!$B$9,0)+IF(Afford2!$B$8="Y",Afford2!D75*Afford2!$B$9,0)+IF(Afford3!$B$8="Y",Afford3!D75*Afford3!$B$9,0)+IF(Afford4!$B$8="Y",Afford4!D75*Afford4!$B$9,0)+IF(Afford5!$B$8="Y",Afford5!D75*Afford5!$B$9,0))/100000</f>
        <v>0</v>
      </c>
      <c r="E69" s="70">
        <f>(IF(Afford1!$B$8="Y",Afford1!E75*Afford1!$B$9,0)+IF(Afford2!$B$8="Y",Afford2!E75*Afford2!$B$9,0)+IF(Afford3!$B$8="Y",Afford3!E75*Afford3!$B$9,0)+IF(Afford4!$B$8="Y",Afford4!E75*Afford4!$B$9,0)+IF(Afford5!$B$8="Y",Afford5!E75*Afford5!$B$9,0))/100000</f>
        <v>0</v>
      </c>
      <c r="F69" s="56" t="str">
        <f t="shared" si="13"/>
        <v>-</v>
      </c>
      <c r="G69" s="56" t="str">
        <f t="shared" si="13"/>
        <v>-</v>
      </c>
    </row>
    <row r="70" spans="1:7">
      <c r="A70" s="60" t="s">
        <v>780</v>
      </c>
      <c r="B70" s="70">
        <f>(IF(Afford1!$B$8="Y",Afford1!B76*Afford1!$B$9,0)+IF(Afford2!$B$8="Y",Afford2!B76*Afford2!$B$9,0)+IF(Afford3!$B$8="Y",Afford3!B76*Afford3!$B$9,0)+IF(Afford4!$B$8="Y",Afford4!B76*Afford4!$B$9,0)+IF(Afford5!$B$8="Y",Afford5!B76*Afford5!$B$9,0))/100000</f>
        <v>0</v>
      </c>
      <c r="C70" s="70">
        <f>(IF(Afford1!$B$8="Y",Afford1!C76*Afford1!$B$9,0)+IF(Afford2!$B$8="Y",Afford2!C76*Afford2!$B$9,0)+IF(Afford3!$B$8="Y",Afford3!C76*Afford3!$B$9,0)+IF(Afford4!$B$8="Y",Afford4!C76*Afford4!$B$9,0)+IF(Afford5!$B$8="Y",Afford5!C76*Afford5!$B$9,0))/100000</f>
        <v>0</v>
      </c>
      <c r="D70" s="70">
        <f>(IF(Afford1!$B$8="Y",Afford1!D76*Afford1!$B$9,0)+IF(Afford2!$B$8="Y",Afford2!D76*Afford2!$B$9,0)+IF(Afford3!$B$8="Y",Afford3!D76*Afford3!$B$9,0)+IF(Afford4!$B$8="Y",Afford4!D76*Afford4!$B$9,0)+IF(Afford5!$B$8="Y",Afford5!D76*Afford5!$B$9,0))/100000</f>
        <v>0</v>
      </c>
      <c r="E70" s="70">
        <f>(IF(Afford1!$B$8="Y",Afford1!E76*Afford1!$B$9,0)+IF(Afford2!$B$8="Y",Afford2!E76*Afford2!$B$9,0)+IF(Afford3!$B$8="Y",Afford3!E76*Afford3!$B$9,0)+IF(Afford4!$B$8="Y",Afford4!E76*Afford4!$B$9,0)+IF(Afford5!$B$8="Y",Afford5!E76*Afford5!$B$9,0))/100000</f>
        <v>0</v>
      </c>
      <c r="F70" s="56" t="str">
        <f t="shared" si="13"/>
        <v>-</v>
      </c>
      <c r="G70" s="56" t="str">
        <f t="shared" si="13"/>
        <v>-</v>
      </c>
    </row>
    <row r="71" spans="1:7">
      <c r="A71" s="48" t="s">
        <v>781</v>
      </c>
      <c r="B71" s="58">
        <f>B72+B73+B74+B77+B78</f>
        <v>0</v>
      </c>
      <c r="C71" s="58">
        <f t="shared" ref="C71:E71" si="21">C72+C73+C74+C77+C78</f>
        <v>0</v>
      </c>
      <c r="D71" s="58">
        <f t="shared" si="21"/>
        <v>0</v>
      </c>
      <c r="E71" s="58">
        <f t="shared" si="21"/>
        <v>0</v>
      </c>
      <c r="F71" s="59" t="str">
        <f t="shared" si="13"/>
        <v>-</v>
      </c>
      <c r="G71" s="59" t="str">
        <f t="shared" si="13"/>
        <v>-</v>
      </c>
    </row>
    <row r="72" spans="1:7">
      <c r="A72" s="60" t="s">
        <v>782</v>
      </c>
      <c r="B72" s="113">
        <f>(IF(Afford1!$B$8="Y",Afford1!B78*Afford1!$B$9,0)+IF(Afford2!$B$8="Y",Afford2!B78*Afford2!$B$9,0)+IF(Afford3!$B$8="Y",Afford3!B78*Afford3!$B$9,0)+IF(Afford4!$B$8="Y",Afford4!B78*Afford4!$B$9,0)+IF(Afford5!$B$8="Y",Afford5!B78*Afford5!$B$9,0))/100000</f>
        <v>0</v>
      </c>
      <c r="C72" s="70">
        <f>(IF(Afford1!$B$8="Y",Afford1!C78*Afford1!$B$9,0)+IF(Afford2!$B$8="Y",Afford2!C78*Afford2!$B$9,0)+IF(Afford3!$B$8="Y",Afford3!C78*Afford3!$B$9,0)+IF(Afford4!$B$8="Y",Afford4!C78*Afford4!$B$9,0)+IF(Afford5!$B$8="Y",Afford5!C78*Afford5!$B$9,0))/100000</f>
        <v>0</v>
      </c>
      <c r="D72" s="70">
        <f>(IF(Afford1!$B$8="Y",Afford1!D78*Afford1!$B$9,0)+IF(Afford2!$B$8="Y",Afford2!D78*Afford2!$B$9,0)+IF(Afford3!$B$8="Y",Afford3!D78*Afford3!$B$9,0)+IF(Afford4!$B$8="Y",Afford4!D78*Afford4!$B$9,0)+IF(Afford5!$B$8="Y",Afford5!D78*Afford5!$B$9,0))/100000</f>
        <v>0</v>
      </c>
      <c r="E72" s="70">
        <f>(IF(Afford1!$B$8="Y",Afford1!E78*Afford1!$B$9,0)+IF(Afford2!$B$8="Y",Afford2!E78*Afford2!$B$9,0)+IF(Afford3!$B$8="Y",Afford3!E78*Afford3!$B$9,0)+IF(Afford4!$B$8="Y",Afford4!E78*Afford4!$B$9,0)+IF(Afford5!$B$8="Y",Afford5!E78*Afford5!$B$9,0))/100000</f>
        <v>0</v>
      </c>
      <c r="F72" s="56" t="str">
        <f>IFERROR((C72-D72)/D72,"-")</f>
        <v>-</v>
      </c>
      <c r="G72" s="56" t="str">
        <f>IFERROR((D72-E72)/E72,"-")</f>
        <v>-</v>
      </c>
    </row>
    <row r="73" spans="1:7">
      <c r="A73" s="345" t="s">
        <v>783</v>
      </c>
      <c r="B73" s="113">
        <f>(IF(Afford1!$B$8="Y",Afford1!B79*Afford1!$B$9,0)+IF(Afford2!$B$8="Y",Afford2!B79*Afford2!$B$9,0)+IF(Afford3!$B$8="Y",Afford3!B79*Afford3!$B$9,0)+IF(Afford4!$B$8="Y",Afford4!B79*Afford4!$B$9,0)+IF(Afford5!$B$8="Y",Afford5!B79*Afford5!$B$9,0))/100000</f>
        <v>0</v>
      </c>
      <c r="C73" s="70">
        <f>(IF(Afford1!$B$8="Y",Afford1!C79*Afford1!$B$9,0)+IF(Afford2!$B$8="Y",Afford2!C79*Afford2!$B$9,0)+IF(Afford3!$B$8="Y",Afford3!C79*Afford3!$B$9,0)+IF(Afford4!$B$8="Y",Afford4!C79*Afford4!$B$9,0)+IF(Afford5!$B$8="Y",Afford5!C79*Afford5!$B$9,0))/100000</f>
        <v>0</v>
      </c>
      <c r="D73" s="70">
        <f>(IF(Afford1!$B$8="Y",Afford1!D79*Afford1!$B$9,0)+IF(Afford2!$B$8="Y",Afford2!D79*Afford2!$B$9,0)+IF(Afford3!$B$8="Y",Afford3!D79*Afford3!$B$9,0)+IF(Afford4!$B$8="Y",Afford4!D79*Afford4!$B$9,0)+IF(Afford5!$B$8="Y",Afford5!D79*Afford5!$B$9,0))/100000</f>
        <v>0</v>
      </c>
      <c r="E73" s="70">
        <f>(IF(Afford1!$B$8="Y",Afford1!E79*Afford1!$B$9,0)+IF(Afford2!$B$8="Y",Afford2!E79*Afford2!$B$9,0)+IF(Afford3!$B$8="Y",Afford3!E79*Afford3!$B$9,0)+IF(Afford4!$B$8="Y",Afford4!E79*Afford4!$B$9,0)+IF(Afford5!$B$8="Y",Afford5!E79*Afford5!$B$9,0))/100000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784</v>
      </c>
      <c r="B74" s="70">
        <f>SUM(B75:B76)</f>
        <v>0</v>
      </c>
      <c r="C74" s="70">
        <f t="shared" ref="C74:E74" si="22">SUM(C75:C76)</f>
        <v>0</v>
      </c>
      <c r="D74" s="70">
        <f t="shared" si="22"/>
        <v>0</v>
      </c>
      <c r="E74" s="70">
        <f t="shared" si="22"/>
        <v>0</v>
      </c>
      <c r="F74" s="56" t="str">
        <f t="shared" si="13"/>
        <v>-</v>
      </c>
      <c r="G74" s="56" t="str">
        <f t="shared" si="13"/>
        <v>-</v>
      </c>
    </row>
    <row r="75" spans="1:7">
      <c r="A75" s="345" t="s">
        <v>785</v>
      </c>
      <c r="B75" s="113">
        <f>(IF(Afford1!$B$8="Y",Afford1!B81*Afford1!$B$9,0)+IF(Afford2!$B$8="Y",Afford2!B81*Afford2!$B$9,0)+IF(Afford3!$B$8="Y",Afford3!B81*Afford3!$B$9,0)+IF(Afford4!$B$8="Y",Afford4!B81*Afford4!$B$9,0)+IF(Afford5!$B$8="Y",Afford5!B81*Afford5!$B$9,0))/100000</f>
        <v>0</v>
      </c>
      <c r="C75" s="70">
        <f>(IF(Afford1!$B$8="Y",Afford1!C81*Afford1!$B$9,0)+IF(Afford2!$B$8="Y",Afford2!C81*Afford2!$B$9,0)+IF(Afford3!$B$8="Y",Afford3!C81*Afford3!$B$9,0)+IF(Afford4!$B$8="Y",Afford4!C81*Afford4!$B$9,0)+IF(Afford5!$B$8="Y",Afford5!C81*Afford5!$B$9,0))/100000</f>
        <v>0</v>
      </c>
      <c r="D75" s="70">
        <f>(IF(Afford1!$B$8="Y",Afford1!D81*Afford1!$B$9,0)+IF(Afford2!$B$8="Y",Afford2!D81*Afford2!$B$9,0)+IF(Afford3!$B$8="Y",Afford3!D81*Afford3!$B$9,0)+IF(Afford4!$B$8="Y",Afford4!D81*Afford4!$B$9,0)+IF(Afford5!$B$8="Y",Afford5!D81*Afford5!$B$9,0))/100000</f>
        <v>0</v>
      </c>
      <c r="E75" s="70">
        <f>(IF(Afford1!$B$8="Y",Afford1!E81*Afford1!$B$9,0)+IF(Afford2!$B$8="Y",Afford2!E81*Afford2!$B$9,0)+IF(Afford3!$B$8="Y",Afford3!E81*Afford3!$B$9,0)+IF(Afford4!$B$8="Y",Afford4!E81*Afford4!$B$9,0)+IF(Afford5!$B$8="Y",Afford5!E81*Afford5!$B$9,0))/100000</f>
        <v>0</v>
      </c>
      <c r="F75" s="56" t="str">
        <f>IFERROR((C75-D75)/D75,"-")</f>
        <v>-</v>
      </c>
      <c r="G75" s="56" t="str">
        <f>IFERROR((D75-E75)/E75,"-")</f>
        <v>-</v>
      </c>
    </row>
    <row r="76" spans="1:7">
      <c r="A76" s="345" t="s">
        <v>786</v>
      </c>
      <c r="B76" s="113">
        <f>(IF(Afford1!$B$8="Y",Afford1!B82*Afford1!$B$9,0)+IF(Afford2!$B$8="Y",Afford2!B82*Afford2!$B$9,0)+IF(Afford3!$B$8="Y",Afford3!B82*Afford3!$B$9,0)+IF(Afford4!$B$8="Y",Afford4!B82*Afford4!$B$9,0)+IF(Afford5!$B$8="Y",Afford5!B82*Afford5!$B$9,0))/100000</f>
        <v>0</v>
      </c>
      <c r="C76" s="70">
        <f>(IF(Afford1!$B$8="Y",Afford1!C82*Afford1!$B$9,0)+IF(Afford2!$B$8="Y",Afford2!C82*Afford2!$B$9,0)+IF(Afford3!$B$8="Y",Afford3!C82*Afford3!$B$9,0)+IF(Afford4!$B$8="Y",Afford4!C82*Afford4!$B$9,0)+IF(Afford5!$B$8="Y",Afford5!C82*Afford5!$B$9,0))/100000</f>
        <v>0</v>
      </c>
      <c r="D76" s="70">
        <f>(IF(Afford1!$B$8="Y",Afford1!D82*Afford1!$B$9,0)+IF(Afford2!$B$8="Y",Afford2!D82*Afford2!$B$9,0)+IF(Afford3!$B$8="Y",Afford3!D82*Afford3!$B$9,0)+IF(Afford4!$B$8="Y",Afford4!D82*Afford4!$B$9,0)+IF(Afford5!$B$8="Y",Afford5!D82*Afford5!$B$9,0))/100000</f>
        <v>0</v>
      </c>
      <c r="E76" s="70">
        <f>(IF(Afford1!$B$8="Y",Afford1!E82*Afford1!$B$9,0)+IF(Afford2!$B$8="Y",Afford2!E82*Afford2!$B$9,0)+IF(Afford3!$B$8="Y",Afford3!E82*Afford3!$B$9,0)+IF(Afford4!$B$8="Y",Afford4!E82*Afford4!$B$9,0)+IF(Afford5!$B$8="Y",Afford5!E82*Afford5!$B$9,0))/100000</f>
        <v>0</v>
      </c>
      <c r="F76" s="56" t="str">
        <f t="shared" si="13"/>
        <v>-</v>
      </c>
      <c r="G76" s="56" t="str">
        <f t="shared" si="13"/>
        <v>-</v>
      </c>
    </row>
    <row r="77" spans="1:7">
      <c r="A77" s="60" t="s">
        <v>787</v>
      </c>
      <c r="B77" s="113">
        <f>(IF(Afford1!$B$8="Y",Afford1!B83*Afford1!$B$9,0)+IF(Afford2!$B$8="Y",Afford2!B83*Afford2!$B$9,0)+IF(Afford3!$B$8="Y",Afford3!B83*Afford3!$B$9,0)+IF(Afford4!$B$8="Y",Afford4!B83*Afford4!$B$9,0)+IF(Afford5!$B$8="Y",Afford5!B83*Afford5!$B$9,0))/100000</f>
        <v>0</v>
      </c>
      <c r="C77" s="70">
        <f>(IF(Afford1!$B$8="Y",Afford1!C83*Afford1!$B$9,0)+IF(Afford2!$B$8="Y",Afford2!C83*Afford2!$B$9,0)+IF(Afford3!$B$8="Y",Afford3!C83*Afford3!$B$9,0)+IF(Afford4!$B$8="Y",Afford4!C83*Afford4!$B$9,0)+IF(Afford5!$B$8="Y",Afford5!C83*Afford5!$B$9,0))/100000</f>
        <v>0</v>
      </c>
      <c r="D77" s="70">
        <f>(IF(Afford1!$B$8="Y",Afford1!D83*Afford1!$B$9,0)+IF(Afford2!$B$8="Y",Afford2!D83*Afford2!$B$9,0)+IF(Afford3!$B$8="Y",Afford3!D83*Afford3!$B$9,0)+IF(Afford4!$B$8="Y",Afford4!D83*Afford4!$B$9,0)+IF(Afford5!$B$8="Y",Afford5!D83*Afford5!$B$9,0))/100000</f>
        <v>0</v>
      </c>
      <c r="E77" s="70">
        <f>(IF(Afford1!$B$8="Y",Afford1!E83*Afford1!$B$9,0)+IF(Afford2!$B$8="Y",Afford2!E83*Afford2!$B$9,0)+IF(Afford3!$B$8="Y",Afford3!E83*Afford3!$B$9,0)+IF(Afford4!$B$8="Y",Afford4!E83*Afford4!$B$9,0)+IF(Afford5!$B$8="Y",Afford5!E83*Afford5!$B$9,0))/100000</f>
        <v>0</v>
      </c>
      <c r="F77" s="56" t="str">
        <f>IFERROR((C77-D77)/D77,"-")</f>
        <v>-</v>
      </c>
      <c r="G77" s="56" t="str">
        <f>IFERROR((D77-E77)/E77,"-")</f>
        <v>-</v>
      </c>
    </row>
    <row r="78" spans="1:7">
      <c r="A78" s="60" t="s">
        <v>788</v>
      </c>
      <c r="B78" s="70">
        <f>SUM(B79:B80)</f>
        <v>0</v>
      </c>
      <c r="C78" s="70">
        <f t="shared" ref="C78:E78" si="23">SUM(C79:C80)</f>
        <v>0</v>
      </c>
      <c r="D78" s="70">
        <f t="shared" si="23"/>
        <v>0</v>
      </c>
      <c r="E78" s="70">
        <f t="shared" si="23"/>
        <v>0</v>
      </c>
      <c r="F78" s="56" t="str">
        <f t="shared" ref="F78:G78" si="24">IFERROR((C78-D78)/D78,"-")</f>
        <v>-</v>
      </c>
      <c r="G78" s="56" t="str">
        <f t="shared" si="24"/>
        <v>-</v>
      </c>
    </row>
    <row r="79" spans="1:7">
      <c r="A79" s="60" t="s">
        <v>789</v>
      </c>
      <c r="B79" s="113">
        <f>(IF(Afford1!$B$8="Y",Afford1!B85*Afford1!$B$9,0)+IF(Afford2!$B$8="Y",Afford2!B85*Afford2!$B$9,0)+IF(Afford3!$B$8="Y",Afford3!B85*Afford3!$B$9,0)+IF(Afford4!$B$8="Y",Afford4!B85*Afford4!$B$9,0)+IF(Afford5!$B$8="Y",Afford5!B85*Afford5!$B$9,0))/100000</f>
        <v>0</v>
      </c>
      <c r="C79" s="70">
        <f>(IF(Afford1!$B$8="Y",Afford1!C85*Afford1!$B$9,0)+IF(Afford2!$B$8="Y",Afford2!C85*Afford2!$B$9,0)+IF(Afford3!$B$8="Y",Afford3!C85*Afford3!$B$9,0)+IF(Afford4!$B$8="Y",Afford4!C85*Afford4!$B$9,0)+IF(Afford5!$B$8="Y",Afford5!C85*Afford5!$B$9,0))/100000</f>
        <v>0</v>
      </c>
      <c r="D79" s="70">
        <f>(IF(Afford1!$B$8="Y",Afford1!D85*Afford1!$B$9,0)+IF(Afford2!$B$8="Y",Afford2!D85*Afford2!$B$9,0)+IF(Afford3!$B$8="Y",Afford3!D85*Afford3!$B$9,0)+IF(Afford4!$B$8="Y",Afford4!D85*Afford4!$B$9,0)+IF(Afford5!$B$8="Y",Afford5!D85*Afford5!$B$9,0))/100000</f>
        <v>0</v>
      </c>
      <c r="E79" s="70">
        <f>(IF(Afford1!$B$8="Y",Afford1!E85*Afford1!$B$9,0)+IF(Afford2!$B$8="Y",Afford2!E85*Afford2!$B$9,0)+IF(Afford3!$B$8="Y",Afford3!E85*Afford3!$B$9,0)+IF(Afford4!$B$8="Y",Afford4!E85*Afford4!$B$9,0)+IF(Afford5!$B$8="Y",Afford5!E85*Afford5!$B$9,0))/100000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790</v>
      </c>
      <c r="B80" s="113">
        <f>(IF(Afford1!$B$8="Y",Afford1!B86*Afford1!$B$9,0)+IF(Afford2!$B$8="Y",Afford2!B86*Afford2!$B$9,0)+IF(Afford3!$B$8="Y",Afford3!B86*Afford3!$B$9,0)+IF(Afford4!$B$8="Y",Afford4!B86*Afford4!$B$9,0)+IF(Afford5!$B$8="Y",Afford5!B86*Afford5!$B$9,0))/100000</f>
        <v>0</v>
      </c>
      <c r="C80" s="70">
        <f>(IF(Afford1!$B$8="Y",Afford1!C86*Afford1!$B$9,0)+IF(Afford2!$B$8="Y",Afford2!C86*Afford2!$B$9,0)+IF(Afford3!$B$8="Y",Afford3!C86*Afford3!$B$9,0)+IF(Afford4!$B$8="Y",Afford4!C86*Afford4!$B$9,0)+IF(Afford5!$B$8="Y",Afford5!C86*Afford5!$B$9,0))/100000</f>
        <v>0</v>
      </c>
      <c r="D80" s="70">
        <f>(IF(Afford1!$B$8="Y",Afford1!D86*Afford1!$B$9,0)+IF(Afford2!$B$8="Y",Afford2!D86*Afford2!$B$9,0)+IF(Afford3!$B$8="Y",Afford3!D86*Afford3!$B$9,0)+IF(Afford4!$B$8="Y",Afford4!D86*Afford4!$B$9,0)+IF(Afford5!$B$8="Y",Afford5!D86*Afford5!$B$9,0))/100000</f>
        <v>0</v>
      </c>
      <c r="E80" s="70">
        <f>(IF(Afford1!$B$8="Y",Afford1!E86*Afford1!$B$9,0)+IF(Afford2!$B$8="Y",Afford2!E86*Afford2!$B$9,0)+IF(Afford3!$B$8="Y",Afford3!E86*Afford3!$B$9,0)+IF(Afford4!$B$8="Y",Afford4!E86*Afford4!$B$9,0)+IF(Afford5!$B$8="Y",Afford5!E86*Afford5!$B$9,0))/100000</f>
        <v>0</v>
      </c>
      <c r="F80" s="56" t="str">
        <f t="shared" si="13"/>
        <v>-</v>
      </c>
      <c r="G80" s="56" t="str">
        <f t="shared" si="13"/>
        <v>-</v>
      </c>
    </row>
    <row r="81" spans="1:7">
      <c r="A81" s="48" t="s">
        <v>774</v>
      </c>
      <c r="B81" s="58">
        <f>SUM(B67:B71)</f>
        <v>0</v>
      </c>
      <c r="C81" s="58">
        <f t="shared" ref="C81:F81" si="25">SUM(C67:C71)</f>
        <v>0</v>
      </c>
      <c r="D81" s="58">
        <f t="shared" si="25"/>
        <v>0</v>
      </c>
      <c r="E81" s="58">
        <f t="shared" si="25"/>
        <v>0</v>
      </c>
      <c r="F81" s="58">
        <f t="shared" si="25"/>
        <v>0</v>
      </c>
      <c r="G81" s="59" t="str">
        <f t="shared" si="13"/>
        <v>-</v>
      </c>
    </row>
    <row r="82" spans="1:7">
      <c r="A82" s="73"/>
      <c r="B82" s="136">
        <f>B81-B63</f>
        <v>0</v>
      </c>
      <c r="C82" s="136">
        <f t="shared" ref="C82:E82" si="26">C81-C63</f>
        <v>0</v>
      </c>
      <c r="D82" s="136">
        <f t="shared" si="26"/>
        <v>0</v>
      </c>
      <c r="E82" s="136">
        <f t="shared" si="26"/>
        <v>0</v>
      </c>
      <c r="F82" s="138"/>
    </row>
    <row r="83" spans="1:7">
      <c r="A83" s="76" t="s">
        <v>791</v>
      </c>
      <c r="B83" s="50" t="str">
        <f>B39</f>
        <v>Provisionals</v>
      </c>
      <c r="C83" s="50" t="str">
        <f>C39</f>
        <v>31/03/2024</v>
      </c>
      <c r="D83" s="50" t="str">
        <f>D39</f>
        <v>31/03/2023</v>
      </c>
      <c r="E83" s="50" t="str">
        <f>E39</f>
        <v>31/03/2022</v>
      </c>
      <c r="F83" s="138"/>
      <c r="G83" s="138"/>
    </row>
    <row r="84" spans="1:7">
      <c r="A84" s="76" t="s">
        <v>792</v>
      </c>
      <c r="B84" s="164" t="str">
        <f>IFERROR(B62/B48,"-")</f>
        <v>-</v>
      </c>
      <c r="C84" s="164" t="str">
        <f>IFERROR(C62/C48,"-")</f>
        <v>-</v>
      </c>
      <c r="D84" s="164" t="str">
        <f>IFERROR(D62/D48,"-")</f>
        <v>-</v>
      </c>
      <c r="E84" s="164" t="str">
        <f>IFERROR(E62/E48,"-")</f>
        <v>-</v>
      </c>
      <c r="F84" s="139"/>
      <c r="G84" s="139"/>
    </row>
    <row r="85" spans="1:7">
      <c r="A85" s="76" t="s">
        <v>793</v>
      </c>
      <c r="B85" s="77" t="str">
        <f>IFERROR(B24/(B48+B54+B58),"-")</f>
        <v>-</v>
      </c>
      <c r="C85" s="77" t="str">
        <f>IFERROR(C24/(C48+C54+C58),"-")</f>
        <v>-</v>
      </c>
      <c r="D85" s="77" t="str">
        <f>IFERROR(D24/(D48+D54+D58),"-")</f>
        <v>-</v>
      </c>
      <c r="E85" s="77" t="str">
        <f>IFERROR(E24/(E48+E54+E58),"-")</f>
        <v>-</v>
      </c>
      <c r="F85" s="139"/>
      <c r="G85" s="139"/>
    </row>
    <row r="86" spans="1:7">
      <c r="A86" s="76" t="s">
        <v>794</v>
      </c>
      <c r="B86" s="77" t="str">
        <f>IFERROR(B22/B11,"-")</f>
        <v>-</v>
      </c>
      <c r="C86" s="77" t="str">
        <f>IFERROR(C22/C11,"-")</f>
        <v>-</v>
      </c>
      <c r="D86" s="77" t="str">
        <f>IFERROR(D22/D11,"-")</f>
        <v>-</v>
      </c>
      <c r="E86" s="77" t="str">
        <f>IFERROR(E22/E11,"-")</f>
        <v>-</v>
      </c>
      <c r="F86" s="139"/>
      <c r="G86" s="139"/>
    </row>
    <row r="87" spans="1:7">
      <c r="A87" s="76" t="s">
        <v>795</v>
      </c>
      <c r="B87" s="164" t="str">
        <f>IFERROR(B22/B25,"-")</f>
        <v>-</v>
      </c>
      <c r="C87" s="164" t="str">
        <f>IFERROR(C22/C25,"-")</f>
        <v>-</v>
      </c>
      <c r="D87" s="164" t="str">
        <f>IFERROR(D22/D25,"-")</f>
        <v>-</v>
      </c>
      <c r="E87" s="164" t="str">
        <f>IFERROR(E22/E25,"-")</f>
        <v>-</v>
      </c>
      <c r="F87" s="139"/>
      <c r="G87" s="139"/>
    </row>
    <row r="88" spans="1:7">
      <c r="A88" s="76" t="s">
        <v>796</v>
      </c>
      <c r="B88" s="165" t="str">
        <f>IFERROR(B11/B67,"-")</f>
        <v>-</v>
      </c>
      <c r="C88" s="165" t="str">
        <f>IFERROR(C11/C67,"-")</f>
        <v>-</v>
      </c>
      <c r="D88" s="165" t="str">
        <f>IFERROR(D11/D67,"-")</f>
        <v>-</v>
      </c>
      <c r="E88" s="165" t="str">
        <f>IFERROR(E11/E67,"-")</f>
        <v>-</v>
      </c>
      <c r="F88" s="139"/>
      <c r="G88" s="139"/>
    </row>
    <row r="89" spans="1:7">
      <c r="A89" s="76" t="s">
        <v>797</v>
      </c>
      <c r="B89" s="165" t="str">
        <f>IFERROR(B57/B17*365,"-")</f>
        <v>-</v>
      </c>
      <c r="C89" s="165" t="str">
        <f>IFERROR(C57/C17*365,"-")</f>
        <v>-</v>
      </c>
      <c r="D89" s="165" t="str">
        <f>IFERROR(D57/D17*365,"-")</f>
        <v>-</v>
      </c>
      <c r="E89" s="165" t="str">
        <f>IFERROR(E57/E17*365,"-")</f>
        <v>-</v>
      </c>
      <c r="F89" s="139"/>
      <c r="G89" s="139"/>
    </row>
    <row r="90" spans="1:7">
      <c r="A90" s="76" t="s">
        <v>798</v>
      </c>
      <c r="B90" s="165">
        <f>IFERROR(B71-B61+B51,"-")</f>
        <v>0</v>
      </c>
      <c r="C90" s="165">
        <f>IFERROR(C71-C61+C51,"-")</f>
        <v>0</v>
      </c>
      <c r="D90" s="165">
        <f>IFERROR(D71-D61+D51,"-")</f>
        <v>0</v>
      </c>
      <c r="E90" s="165">
        <f>IFERROR(E71-E61+E51,"-")</f>
        <v>0</v>
      </c>
      <c r="F90" s="139"/>
      <c r="G90" s="139"/>
    </row>
    <row r="91" spans="1:7">
      <c r="A91" s="76" t="s">
        <v>799</v>
      </c>
      <c r="B91" s="165" t="str">
        <f>IFERROR(B74/B9*365,"-")</f>
        <v>-</v>
      </c>
      <c r="C91" s="165" t="str">
        <f>IFERROR(C74/C9*365,"-")</f>
        <v>-</v>
      </c>
      <c r="D91" s="165" t="str">
        <f>IFERROR(D74/D9*365,"-")</f>
        <v>-</v>
      </c>
      <c r="E91" s="165" t="str">
        <f>IFERROR(E74/E9*365,"-")</f>
        <v>-</v>
      </c>
      <c r="F91" s="139"/>
      <c r="G91" s="139"/>
    </row>
    <row r="92" spans="1:7">
      <c r="A92" s="76" t="s">
        <v>800</v>
      </c>
      <c r="B92" s="165" t="str">
        <f>IFERROR(B73*365/B11,"-")</f>
        <v>-</v>
      </c>
      <c r="C92" s="165" t="str">
        <f>IFERROR(C73*365/C11,"-")</f>
        <v>-</v>
      </c>
      <c r="D92" s="165" t="str">
        <f>IFERROR(D73*365/D11,"-")</f>
        <v>-</v>
      </c>
      <c r="E92" s="165" t="str">
        <f>IFERROR(E73*365/E11,"-")</f>
        <v>-</v>
      </c>
      <c r="F92" s="139"/>
      <c r="G92" s="139"/>
    </row>
    <row r="93" spans="1:7">
      <c r="A93" s="76" t="s">
        <v>801</v>
      </c>
      <c r="B93" s="165" t="str">
        <f>IFERROR(B73/B17,"-")</f>
        <v>-</v>
      </c>
      <c r="C93" s="165" t="str">
        <f>IFERROR(C73/C17,"-")</f>
        <v>-</v>
      </c>
      <c r="D93" s="165" t="str">
        <f>IFERROR(D73/D17,"-")</f>
        <v>-</v>
      </c>
      <c r="E93" s="165" t="str">
        <f>IFERROR(E73/E17,"-")</f>
        <v>-</v>
      </c>
      <c r="F93" s="139"/>
      <c r="G93" s="139"/>
    </row>
    <row r="94" spans="1:7">
      <c r="A94" s="76" t="s">
        <v>802</v>
      </c>
      <c r="B94" s="165" t="str">
        <f>IFERROR(B71/B61,"-")</f>
        <v>-</v>
      </c>
      <c r="C94" s="165" t="str">
        <f>IFERROR(C71/C61,"-")</f>
        <v>-</v>
      </c>
      <c r="D94" s="165" t="str">
        <f>IFERROR(D71/D61,"-")</f>
        <v>-</v>
      </c>
      <c r="E94" s="165" t="str">
        <f>IFERROR(E71/E61,"-")</f>
        <v>-</v>
      </c>
      <c r="F94" s="139"/>
      <c r="G94" s="139"/>
    </row>
    <row r="95" spans="1:7">
      <c r="A95" s="76" t="s">
        <v>803</v>
      </c>
      <c r="B95" s="165" t="str">
        <f>IFERROR((B71-73)/(B57+B58),"-")</f>
        <v>-</v>
      </c>
      <c r="C95" s="165" t="str">
        <f>IFERROR((C71-73)/(C57+C58),"-")</f>
        <v>-</v>
      </c>
      <c r="D95" s="165" t="str">
        <f>IFERROR((D71-73)/(D57+D58),"-")</f>
        <v>-</v>
      </c>
      <c r="E95" s="165" t="str">
        <f>IFERROR((E71-73)/(E57+E58),"-")</f>
        <v>-</v>
      </c>
      <c r="F95" s="139"/>
      <c r="G95" s="139"/>
    </row>
    <row r="96" spans="1:7">
      <c r="A96" s="76" t="s">
        <v>804</v>
      </c>
      <c r="B96" s="165" t="str">
        <f>IFERROR(B54/B48,"-")</f>
        <v>-</v>
      </c>
      <c r="C96" s="165" t="str">
        <f>IFERROR(C54/C48,"-")</f>
        <v>-</v>
      </c>
      <c r="D96" s="165" t="str">
        <f>IFERROR(D54/D48,"-")</f>
        <v>-</v>
      </c>
      <c r="E96" s="165" t="str">
        <f>IFERROR(E54/E48,"-")</f>
        <v>-</v>
      </c>
      <c r="F96" s="139"/>
      <c r="G96" s="139"/>
    </row>
    <row r="97" spans="1:7">
      <c r="A97" s="76" t="s">
        <v>805</v>
      </c>
      <c r="B97" s="165" t="str">
        <f>IFERROR((B22+B27-B28)/B25,"-")</f>
        <v>-</v>
      </c>
      <c r="C97" s="165" t="str">
        <f>IFERROR((C22+C27-C28)/C25,"-")</f>
        <v>-</v>
      </c>
      <c r="D97" s="165" t="str">
        <f>IFERROR((D22+D27-D28)/D25,"-")</f>
        <v>-</v>
      </c>
      <c r="E97" s="165" t="str">
        <f>IFERROR((E22+E27-E28)/E25,"-")</f>
        <v>-</v>
      </c>
      <c r="F97" s="139"/>
      <c r="G97" s="139"/>
    </row>
    <row r="98" spans="1:7">
      <c r="A98" s="76" t="s">
        <v>806</v>
      </c>
      <c r="B98" s="165" t="str">
        <f>IFERROR((B22+B27-B28)/(B25+B51),"-")</f>
        <v>-</v>
      </c>
      <c r="C98" s="165" t="str">
        <f>IFERROR((C22+C27-C28)/(C25+C51),"-")</f>
        <v>-</v>
      </c>
      <c r="D98" s="165" t="str">
        <f>IFERROR((D22+D27-D28)/(D25+D51),"-")</f>
        <v>-</v>
      </c>
      <c r="E98" s="165" t="str">
        <f>IFERROR((E22+E27-E28)/(E25+E51),"-")</f>
        <v>-</v>
      </c>
      <c r="F98" s="139"/>
      <c r="G98" s="139"/>
    </row>
    <row r="99" spans="1:7">
      <c r="A99" s="76" t="s">
        <v>807</v>
      </c>
      <c r="B99" s="166" t="str">
        <f>IFERROR((B13-B17)/B9,"-")</f>
        <v>-</v>
      </c>
      <c r="C99" s="166" t="str">
        <f>IFERROR((C13-C17)/C9,"-")</f>
        <v>-</v>
      </c>
      <c r="D99" s="166" t="str">
        <f>IFERROR((D13-D17)/D9,"-")</f>
        <v>-</v>
      </c>
      <c r="E99" s="166" t="str">
        <f>IFERROR((E13-E17)/E9,"-")</f>
        <v>-</v>
      </c>
      <c r="F99" s="139"/>
      <c r="G99" s="139"/>
    </row>
    <row r="100" spans="1:7">
      <c r="A100" s="76" t="s">
        <v>808</v>
      </c>
      <c r="B100" s="166" t="str">
        <f>IFERROR(B31/B11,"-")</f>
        <v>-</v>
      </c>
      <c r="C100" s="166" t="str">
        <f>IFERROR(C31/C11,"-")</f>
        <v>-</v>
      </c>
      <c r="D100" s="166" t="str">
        <f>IFERROR(D31/D11,"-")</f>
        <v>-</v>
      </c>
      <c r="E100" s="166" t="str">
        <f>IFERROR(E31/E11,"-")</f>
        <v>-</v>
      </c>
      <c r="F100" s="139"/>
      <c r="G100" s="139"/>
    </row>
    <row r="101" spans="1:7">
      <c r="A101" s="76" t="s">
        <v>809</v>
      </c>
      <c r="B101" s="166" t="str">
        <f>IFERROR(B32/B11,"-")</f>
        <v>-</v>
      </c>
      <c r="C101" s="166" t="str">
        <f>IFERROR(C32/C11,"-")</f>
        <v>-</v>
      </c>
      <c r="D101" s="166" t="str">
        <f>IFERROR(D32/D11,"-")</f>
        <v>-</v>
      </c>
      <c r="E101" s="166" t="str">
        <f>IFERROR(E32/E11,"-")</f>
        <v>-</v>
      </c>
      <c r="F101" s="139"/>
      <c r="G101" s="139"/>
    </row>
    <row r="102" spans="1:7">
      <c r="A102" s="76" t="s">
        <v>810</v>
      </c>
      <c r="B102" s="166" t="str">
        <f>IFERROR((B11-C11)/C11,"-")</f>
        <v>-</v>
      </c>
      <c r="C102" s="166" t="str">
        <f>IFERROR((C11-D11)/D11,"-")</f>
        <v>-</v>
      </c>
      <c r="D102" s="166" t="str">
        <f>IFERROR((D11-E11)/E11,"-")</f>
        <v>-</v>
      </c>
      <c r="E102" s="166"/>
      <c r="F102" s="139"/>
      <c r="G102" s="139"/>
    </row>
    <row r="103" spans="1:7">
      <c r="A103" s="76" t="s">
        <v>811</v>
      </c>
      <c r="B103" s="166" t="str">
        <f>IFERROR((B31-C31)/C31,"-")</f>
        <v>-</v>
      </c>
      <c r="C103" s="166" t="str">
        <f>IFERROR((C31-D31)/D31,"-")</f>
        <v>-</v>
      </c>
      <c r="D103" s="166" t="str">
        <f>IFERROR((D31-E31)/E31,"-")</f>
        <v>-</v>
      </c>
      <c r="E103" s="166"/>
      <c r="F103" s="139"/>
      <c r="G103" s="139"/>
    </row>
    <row r="104" spans="1:7">
      <c r="A104" s="76" t="s">
        <v>812</v>
      </c>
      <c r="B104" s="165">
        <f>IFERROR(B31+B23,"-")</f>
        <v>0</v>
      </c>
      <c r="C104" s="165">
        <f>IFERROR(C31+C23,"-")</f>
        <v>0</v>
      </c>
      <c r="D104" s="165">
        <f>IFERROR(D31+D23,"-")</f>
        <v>0</v>
      </c>
      <c r="E104" s="165">
        <f>IFERROR(E31+E23,"-")</f>
        <v>0</v>
      </c>
      <c r="F104" s="139"/>
      <c r="G104" s="139"/>
    </row>
    <row r="106" spans="1:7">
      <c r="A106" s="167" t="s">
        <v>813</v>
      </c>
      <c r="B106" s="168" t="str">
        <f>B83</f>
        <v>Provisionals</v>
      </c>
      <c r="C106" s="168" t="str">
        <f t="shared" ref="C106:E106" si="27">C83</f>
        <v>31/03/2024</v>
      </c>
      <c r="D106" s="168" t="str">
        <f t="shared" si="27"/>
        <v>31/03/2023</v>
      </c>
      <c r="E106" s="168" t="str">
        <f t="shared" si="27"/>
        <v>31/03/2022</v>
      </c>
    </row>
    <row r="107" spans="1:7">
      <c r="A107" s="3" t="s">
        <v>814</v>
      </c>
      <c r="B107" s="3">
        <f>B31</f>
        <v>0</v>
      </c>
      <c r="C107" s="3">
        <f>C31</f>
        <v>0</v>
      </c>
      <c r="D107" s="3">
        <f>D31</f>
        <v>0</v>
      </c>
      <c r="E107" s="3"/>
    </row>
    <row r="108" spans="1:7">
      <c r="A108" s="3" t="s">
        <v>815</v>
      </c>
      <c r="B108" s="3"/>
      <c r="C108" s="3"/>
      <c r="D108" s="3"/>
      <c r="E108" s="3"/>
    </row>
    <row r="109" spans="1:7">
      <c r="A109" s="3" t="s">
        <v>576</v>
      </c>
      <c r="B109" s="3">
        <f>B23</f>
        <v>0</v>
      </c>
      <c r="C109" s="3">
        <f>C23</f>
        <v>0</v>
      </c>
      <c r="D109" s="3">
        <f>D23</f>
        <v>0</v>
      </c>
      <c r="E109" s="3"/>
    </row>
    <row r="110" spans="1:7">
      <c r="A110" s="3" t="s">
        <v>816</v>
      </c>
      <c r="B110" s="3">
        <f>B20</f>
        <v>0</v>
      </c>
      <c r="C110" s="3">
        <f>C20</f>
        <v>0</v>
      </c>
      <c r="D110" s="3">
        <f>D20</f>
        <v>0</v>
      </c>
      <c r="E110" s="3"/>
    </row>
    <row r="111" spans="1:7">
      <c r="A111" s="3" t="s">
        <v>817</v>
      </c>
      <c r="B111" s="3">
        <f t="shared" ref="B111:D112" si="28">B34</f>
        <v>0</v>
      </c>
      <c r="C111" s="3">
        <f t="shared" si="28"/>
        <v>0</v>
      </c>
      <c r="D111" s="3">
        <f t="shared" si="28"/>
        <v>0</v>
      </c>
      <c r="E111" s="3"/>
    </row>
    <row r="112" spans="1:7">
      <c r="A112" s="3" t="s">
        <v>818</v>
      </c>
      <c r="B112" s="3">
        <f t="shared" si="28"/>
        <v>0</v>
      </c>
      <c r="C112" s="3">
        <f t="shared" si="28"/>
        <v>0</v>
      </c>
      <c r="D112" s="3">
        <f t="shared" si="28"/>
        <v>0</v>
      </c>
      <c r="E112" s="3"/>
    </row>
    <row r="113" spans="1:5">
      <c r="A113" s="3" t="s">
        <v>819</v>
      </c>
      <c r="B113" s="3">
        <f>B30</f>
        <v>0</v>
      </c>
      <c r="C113" s="3">
        <f>C30</f>
        <v>0</v>
      </c>
      <c r="D113" s="3">
        <f>D30</f>
        <v>0</v>
      </c>
      <c r="E113" s="3"/>
    </row>
    <row r="114" spans="1:5">
      <c r="A114" s="3" t="s">
        <v>820</v>
      </c>
      <c r="B114" s="3">
        <f>B25</f>
        <v>0</v>
      </c>
      <c r="C114" s="3">
        <f>C25</f>
        <v>0</v>
      </c>
      <c r="D114" s="3">
        <f>D25</f>
        <v>0</v>
      </c>
      <c r="E114" s="3"/>
    </row>
    <row r="115" spans="1:5">
      <c r="A115" s="3" t="s">
        <v>821</v>
      </c>
      <c r="B115" s="3">
        <f>-B27</f>
        <v>0</v>
      </c>
      <c r="C115" s="3">
        <f>-C27</f>
        <v>0</v>
      </c>
      <c r="D115" s="3">
        <f>-D27</f>
        <v>0</v>
      </c>
      <c r="E115" s="3"/>
    </row>
    <row r="116" spans="1:5">
      <c r="A116" s="169" t="s">
        <v>822</v>
      </c>
      <c r="B116" s="169">
        <f>SUM(B107:B115)</f>
        <v>0</v>
      </c>
      <c r="C116" s="169">
        <f>SUM(C107:C115)</f>
        <v>0</v>
      </c>
      <c r="D116" s="169">
        <f>SUM(D107:D115)</f>
        <v>0</v>
      </c>
      <c r="E116" s="169">
        <f>SUM(E107:E115)</f>
        <v>0</v>
      </c>
    </row>
    <row r="117" spans="1:5">
      <c r="A117" s="3" t="s">
        <v>823</v>
      </c>
      <c r="B117" s="170">
        <f>C74-B74</f>
        <v>0</v>
      </c>
      <c r="C117" s="170">
        <f>D74-C74</f>
        <v>0</v>
      </c>
      <c r="D117" s="170">
        <f>E74-D74</f>
        <v>0</v>
      </c>
      <c r="E117" s="170"/>
    </row>
    <row r="118" spans="1:5">
      <c r="A118" s="3" t="s">
        <v>783</v>
      </c>
      <c r="B118" s="170">
        <f>C73-B73</f>
        <v>0</v>
      </c>
      <c r="C118" s="170">
        <f>D73-C73</f>
        <v>0</v>
      </c>
      <c r="D118" s="170">
        <f>E73-D73</f>
        <v>0</v>
      </c>
      <c r="E118" s="170"/>
    </row>
    <row r="119" spans="1:5">
      <c r="A119" s="3" t="s">
        <v>788</v>
      </c>
      <c r="B119" s="170">
        <f>C78-B78</f>
        <v>0</v>
      </c>
      <c r="C119" s="170">
        <f>D78-C78</f>
        <v>0</v>
      </c>
      <c r="D119" s="170">
        <f>E78-D78</f>
        <v>0</v>
      </c>
      <c r="E119" s="170"/>
    </row>
    <row r="120" spans="1:5">
      <c r="A120" s="3" t="s">
        <v>824</v>
      </c>
      <c r="B120" s="170">
        <f>B61-C61</f>
        <v>0</v>
      </c>
      <c r="C120" s="170">
        <f>C61-D61</f>
        <v>0</v>
      </c>
      <c r="D120" s="170">
        <f>D61-E61</f>
        <v>0</v>
      </c>
      <c r="E120" s="170"/>
    </row>
    <row r="121" spans="1:5">
      <c r="A121" s="171" t="s">
        <v>39</v>
      </c>
      <c r="B121" s="171">
        <f>SUM(B117:B120)</f>
        <v>0</v>
      </c>
      <c r="C121" s="171">
        <f>SUM(C117:C120)</f>
        <v>0</v>
      </c>
      <c r="D121" s="171">
        <f>SUM(D117:D120)</f>
        <v>0</v>
      </c>
      <c r="E121" s="171"/>
    </row>
    <row r="122" spans="1:5">
      <c r="A122" s="169" t="s">
        <v>825</v>
      </c>
      <c r="B122" s="169">
        <f>B116+B121</f>
        <v>0</v>
      </c>
      <c r="C122" s="169">
        <f>C116+C121</f>
        <v>0</v>
      </c>
      <c r="D122" s="169">
        <f>D116+D121</f>
        <v>0</v>
      </c>
      <c r="E122" s="169">
        <f>E116+E121</f>
        <v>0</v>
      </c>
    </row>
    <row r="123" spans="1:5">
      <c r="A123" s="3" t="s">
        <v>826</v>
      </c>
      <c r="B123" s="3">
        <f>B30</f>
        <v>0</v>
      </c>
      <c r="C123" s="3">
        <f>C30</f>
        <v>0</v>
      </c>
      <c r="D123" s="3">
        <f>D30</f>
        <v>0</v>
      </c>
      <c r="E123" s="3"/>
    </row>
    <row r="124" spans="1:5">
      <c r="A124" s="169" t="s">
        <v>827</v>
      </c>
      <c r="B124" s="169">
        <f>B122-B123</f>
        <v>0</v>
      </c>
      <c r="C124" s="169">
        <f>C122-C123</f>
        <v>0</v>
      </c>
      <c r="D124" s="169">
        <f>D122-D123</f>
        <v>0</v>
      </c>
      <c r="E124" s="169">
        <f>E122-E123</f>
        <v>0</v>
      </c>
    </row>
  </sheetData>
  <sheetProtection algorithmName="SHA-512" hashValue="OL9xgn4hu0rTsw0sFBAte/3IZXjdOTy5Sf0sQIL0STJ9bd2kmSAWU636IsVzL/oiLG2I022U2Ms0kzbQY7NaBA==" saltValue="XtwuneNPJJL+fbrYXbXfvw==" spinCount="100000" sheet="1" formatCells="0" formatColumns="0" formatRows="0" insertColumns="0" insertRows="0" autoFilter="0"/>
  <mergeCells count="11">
    <mergeCell ref="B55:E55"/>
    <mergeCell ref="B14:E14"/>
    <mergeCell ref="B18:E18"/>
    <mergeCell ref="B38:E38"/>
    <mergeCell ref="B40:E40"/>
    <mergeCell ref="B49:E49"/>
    <mergeCell ref="A1:G1"/>
    <mergeCell ref="B3:G3"/>
    <mergeCell ref="A5:G5"/>
    <mergeCell ref="B6:E6"/>
    <mergeCell ref="B8:E8"/>
  </mergeCells>
  <conditionalFormatting sqref="F7:G27">
    <cfRule type="cellIs" dxfId="118" priority="10" stopIfTrue="1" operator="lessThan">
      <formula>-0.2</formula>
    </cfRule>
    <cfRule type="cellIs" dxfId="117" priority="11" stopIfTrue="1" operator="lessThan">
      <formula>0</formula>
    </cfRule>
    <cfRule type="cellIs" dxfId="116" priority="12" stopIfTrue="1" operator="greaterThan">
      <formula>0.4</formula>
    </cfRule>
  </conditionalFormatting>
  <conditionalFormatting sqref="F27:G39 F51:G52 G81">
    <cfRule type="cellIs" dxfId="115" priority="40" stopIfTrue="1" operator="lessThan">
      <formula>-0.2</formula>
    </cfRule>
    <cfRule type="cellIs" dxfId="114" priority="41" stopIfTrue="1" operator="lessThan">
      <formula>0</formula>
    </cfRule>
    <cfRule type="cellIs" dxfId="113" priority="42" stopIfTrue="1" operator="greaterThan">
      <formula>0.4</formula>
    </cfRule>
  </conditionalFormatting>
  <conditionalFormatting sqref="F40:G51">
    <cfRule type="cellIs" dxfId="112" priority="4" stopIfTrue="1" operator="lessThan">
      <formula>-0.2</formula>
    </cfRule>
    <cfRule type="cellIs" dxfId="111" priority="5" stopIfTrue="1" operator="lessThan">
      <formula>0</formula>
    </cfRule>
    <cfRule type="cellIs" dxfId="110" priority="6" stopIfTrue="1" operator="greaterThan">
      <formula>0.4</formula>
    </cfRule>
  </conditionalFormatting>
  <conditionalFormatting sqref="F53:G80">
    <cfRule type="cellIs" dxfId="109" priority="1" stopIfTrue="1" operator="lessThan">
      <formula>-0.2</formula>
    </cfRule>
    <cfRule type="cellIs" dxfId="108" priority="2" stopIfTrue="1" operator="lessThan">
      <formula>0</formula>
    </cfRule>
    <cfRule type="cellIs" dxfId="107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1" t="s">
        <v>16</v>
      </c>
      <c r="C1" s="501"/>
      <c r="D1" s="501"/>
      <c r="E1" s="501"/>
      <c r="F1" s="501"/>
      <c r="G1" s="501"/>
    </row>
    <row r="2" spans="1:10">
      <c r="A2" s="45" t="s">
        <v>591</v>
      </c>
      <c r="B2" s="503">
        <v>27700</v>
      </c>
      <c r="C2" s="503"/>
      <c r="D2" s="503"/>
      <c r="E2" s="503"/>
      <c r="F2" s="503"/>
      <c r="G2" s="503"/>
    </row>
    <row r="3" spans="1:10">
      <c r="A3" s="45" t="s">
        <v>595</v>
      </c>
      <c r="B3" s="538" t="s">
        <v>17</v>
      </c>
      <c r="C3" s="538"/>
      <c r="D3" s="538"/>
      <c r="E3" s="538"/>
      <c r="F3" s="538"/>
      <c r="G3" s="538"/>
    </row>
    <row r="4" spans="1:10">
      <c r="A4" s="45" t="s">
        <v>597</v>
      </c>
      <c r="B4" s="538" t="s">
        <v>828</v>
      </c>
      <c r="C4" s="538"/>
      <c r="D4" s="538"/>
      <c r="E4" s="538"/>
      <c r="F4" s="538"/>
      <c r="G4" s="538"/>
    </row>
    <row r="5" spans="1:10">
      <c r="A5" s="45" t="s">
        <v>599</v>
      </c>
      <c r="B5" s="538" t="s">
        <v>829</v>
      </c>
      <c r="C5" s="538"/>
      <c r="D5" s="538"/>
      <c r="E5" s="538"/>
      <c r="F5" s="538"/>
      <c r="G5" s="538"/>
    </row>
    <row r="6" spans="1:10">
      <c r="A6" s="45" t="s">
        <v>601</v>
      </c>
      <c r="B6" s="538" t="s">
        <v>830</v>
      </c>
      <c r="C6" s="538"/>
      <c r="D6" s="538"/>
      <c r="E6" s="538"/>
      <c r="F6" s="538"/>
      <c r="G6" s="538"/>
    </row>
    <row r="7" spans="1:10" ht="25.5">
      <c r="A7" s="45" t="s">
        <v>603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831</v>
      </c>
      <c r="B8" s="538" t="s">
        <v>20</v>
      </c>
      <c r="C8" s="538"/>
      <c r="D8" s="538"/>
      <c r="E8" s="538"/>
      <c r="F8" s="538"/>
      <c r="G8" s="538"/>
    </row>
    <row r="9" spans="1:10">
      <c r="A9" s="45" t="s">
        <v>832</v>
      </c>
      <c r="B9" s="540">
        <v>1</v>
      </c>
      <c r="C9" s="540"/>
      <c r="D9" s="540"/>
      <c r="E9" s="540"/>
      <c r="F9" s="540"/>
      <c r="G9" s="540"/>
    </row>
    <row r="11" spans="1:10">
      <c r="A11" s="533" t="str">
        <f>CONCATENATE("Financial Details: ",B1)</f>
        <v>Financial Details: KANHAIYA BHARTI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833</v>
      </c>
      <c r="C12" s="534"/>
      <c r="D12" s="534"/>
      <c r="E12" s="534"/>
      <c r="F12" s="1"/>
      <c r="G12" s="1"/>
    </row>
    <row r="13" spans="1:10" ht="38.25">
      <c r="A13" s="48" t="s">
        <v>717</v>
      </c>
      <c r="B13" s="150" t="s">
        <v>834</v>
      </c>
      <c r="C13" s="151" t="str">
        <f>IF($B$7&lt;&gt;"",CONCATENATE("FY ",$B$7-1,"-",$B$7-2000),"FY 2019-20")</f>
        <v>FY 2023-24</v>
      </c>
      <c r="D13" s="151" t="str">
        <f>IF($B$7&lt;&gt;"",CONCATENATE("FY ",$B$7-2,"-",$B$7-2001),"FY 2018-19")</f>
        <v>FY 2022-23</v>
      </c>
      <c r="E13" s="152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3" t="s">
        <v>720</v>
      </c>
      <c r="B14" s="535"/>
      <c r="C14" s="536"/>
      <c r="D14" s="536"/>
      <c r="E14" s="537"/>
      <c r="F14" s="154"/>
      <c r="G14" s="154"/>
      <c r="H14" s="1"/>
      <c r="I14" s="1"/>
      <c r="J14" s="1"/>
    </row>
    <row r="15" spans="1:10" ht="15">
      <c r="A15" s="155" t="s">
        <v>721</v>
      </c>
      <c r="B15" s="156"/>
      <c r="C15" s="81">
        <v>0</v>
      </c>
      <c r="D15" s="81">
        <v>0</v>
      </c>
      <c r="E15" s="157">
        <f>'CSV1'!H4+'CSV1'!O4+'CSV1'!Q4+SUM('CSV1'!EM4:EN4)+SUM('CSV1'!GE4:GG4)+'CSV1'!V4+'CSV1'!ED4+'CSV1'!N4+'CSV1'!EH4+'CSV1'!EO4+'CSV1'!I4+'CSV1'!P4+'CSV1'!R4+'CSV1'!GH4</f>
        <v>0</v>
      </c>
      <c r="F15" s="158" t="str">
        <f>IFERROR((C15-D15)/D15,"-")</f>
        <v>-</v>
      </c>
      <c r="G15" s="158" t="str">
        <f>IFERROR((D15-E15)/E15,"-")</f>
        <v>-</v>
      </c>
    </row>
    <row r="16" spans="1:10" ht="15">
      <c r="A16" s="159" t="s">
        <v>722</v>
      </c>
      <c r="B16" s="80"/>
      <c r="C16" s="160"/>
      <c r="D16" s="160"/>
      <c r="E16" s="160"/>
      <c r="F16" s="158" t="str">
        <f>IFERROR((C16-D16)/D16,"-")</f>
        <v>-</v>
      </c>
      <c r="G16" s="158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" si="1">IFERROR((C17-D17)/D17,"-")</f>
        <v>-</v>
      </c>
      <c r="G17" s="59" t="str">
        <f t="shared" ref="G17" si="2">IFERROR((D17-E17)/E17,"-")</f>
        <v>-</v>
      </c>
    </row>
    <row r="18" spans="1:7">
      <c r="A18" s="161" t="s">
        <v>724</v>
      </c>
      <c r="B18" s="162"/>
      <c r="C18" s="162">
        <v>0</v>
      </c>
      <c r="D18" s="162">
        <v>0</v>
      </c>
      <c r="E18" s="162">
        <f>'CSV1'!U4+'CSV1'!K4+'CSV1'!L4+'CSV1'!W4+'CSV1'!X4+'CSV1'!Z4+'CSV1'!AA4+'CSV1'!AB4+'CSV1'!J4</f>
        <v>0</v>
      </c>
      <c r="F18" s="163" t="str">
        <f t="shared" ref="F18:G43" si="3">IFERROR((C18-D18)/D18,"-")</f>
        <v>-</v>
      </c>
      <c r="G18" s="163" t="str">
        <f t="shared" si="3"/>
        <v>-</v>
      </c>
    </row>
    <row r="19" spans="1:7">
      <c r="A19" s="48" t="s">
        <v>725</v>
      </c>
      <c r="B19" s="58">
        <f>SUM(B17:B18)</f>
        <v>0</v>
      </c>
      <c r="C19" s="58">
        <f t="shared" ref="C19:E19" si="4">SUM(C17:C18)</f>
        <v>0</v>
      </c>
      <c r="D19" s="58">
        <f t="shared" si="4"/>
        <v>0</v>
      </c>
      <c r="E19" s="58">
        <f t="shared" si="4"/>
        <v>0</v>
      </c>
      <c r="F19" s="59" t="str">
        <f t="shared" si="3"/>
        <v>-</v>
      </c>
      <c r="G19" s="59" t="str">
        <f t="shared" si="3"/>
        <v>-</v>
      </c>
    </row>
    <row r="20" spans="1:7">
      <c r="A20" s="153" t="s">
        <v>726</v>
      </c>
      <c r="B20" s="535"/>
      <c r="C20" s="536"/>
      <c r="D20" s="536"/>
      <c r="E20" s="537"/>
      <c r="F20" s="154"/>
      <c r="G20" s="154"/>
    </row>
    <row r="21" spans="1:7">
      <c r="A21" s="60" t="s">
        <v>727</v>
      </c>
      <c r="B21" s="55"/>
      <c r="C21" s="55">
        <v>0</v>
      </c>
      <c r="D21" s="55">
        <v>0</v>
      </c>
      <c r="E21" s="55">
        <f>'CSV1'!AK4+'CSV1'!AL4+'CSV1'!AM4+'CSV1'!AO4+'CSV1'!AP4+'CSV1'!AQ4+'CSV1'!AR4+'CSV1'!AS4+'CSV1'!AT4+'CSV1'!AU4+'CSV1'!AV4-('CSV1'!AF4+'CSV1'!AG4+'CSV1'!AH4)</f>
        <v>0</v>
      </c>
      <c r="F21" s="56" t="str">
        <f t="shared" si="3"/>
        <v>-</v>
      </c>
      <c r="G21" s="56" t="str">
        <f t="shared" si="3"/>
        <v>-</v>
      </c>
    </row>
    <row r="22" spans="1:7">
      <c r="A22" s="60" t="s">
        <v>728</v>
      </c>
      <c r="B22" s="55"/>
      <c r="C22" s="55">
        <f>SUM('CSV1'!AX6:AZ6)+'CSV1'!BC6+'CSV1'!ED6-'CSV1'!EE6+'CSV1'!EH6-'CSV1'!EI6+'CSV1'!FN6+'CSV1'!FO6+SUM('CSV1'!FS6:FW6)</f>
        <v>0</v>
      </c>
      <c r="D22" s="55">
        <f>SUM('CSV1'!AX5:AZ5)+'CSV1'!BC5+'CSV1'!ED5-'CSV1'!EE5+'CSV1'!EH5-'CSV1'!EI5</f>
        <v>0</v>
      </c>
      <c r="E22" s="55">
        <f>SUM('CSV1'!AX4:AZ4)+'CSV1'!BC4+'CSV1'!ED4-'CSV1'!EE4+'CSV1'!EH4-'CSV1'!EI4</f>
        <v>0</v>
      </c>
      <c r="F22" s="56" t="str">
        <f t="shared" si="3"/>
        <v>-</v>
      </c>
      <c r="G22" s="56" t="str">
        <f t="shared" si="3"/>
        <v>-</v>
      </c>
    </row>
    <row r="23" spans="1:7">
      <c r="A23" s="48" t="s">
        <v>729</v>
      </c>
      <c r="B23" s="58">
        <f>SUM(B21:B22)</f>
        <v>0</v>
      </c>
      <c r="C23" s="58">
        <f t="shared" ref="C23:E23" si="5">SUM(C21:C22)</f>
        <v>0</v>
      </c>
      <c r="D23" s="58">
        <f t="shared" si="5"/>
        <v>0</v>
      </c>
      <c r="E23" s="58">
        <f t="shared" si="5"/>
        <v>0</v>
      </c>
      <c r="F23" s="59" t="str">
        <f t="shared" si="3"/>
        <v>-</v>
      </c>
      <c r="G23" s="59" t="str">
        <f t="shared" si="3"/>
        <v>-</v>
      </c>
    </row>
    <row r="24" spans="1:7">
      <c r="A24" s="153" t="s">
        <v>730</v>
      </c>
      <c r="B24" s="535"/>
      <c r="C24" s="536"/>
      <c r="D24" s="536"/>
      <c r="E24" s="537"/>
      <c r="F24" s="154"/>
      <c r="G24" s="154"/>
    </row>
    <row r="25" spans="1:7">
      <c r="A25" s="60" t="s">
        <v>731</v>
      </c>
      <c r="B25" s="55"/>
      <c r="C25" s="83">
        <v>0</v>
      </c>
      <c r="D25" s="83">
        <v>0</v>
      </c>
      <c r="E25" s="55">
        <f>SUM('CSV1'!BD4:BM4)+'CSV1'!BV4+SUM('CSV1'!BA4:BB4)+'CSV1'!BQ4+'CSV1'!BR4+'CSV1'!BS4+'CSV1'!BT4+SUM('CSV1'!BW4:BY4)+SUM('CSV1'!CH4:CI4)+SUM('CSV1'!CK4:CU4)+'CSV1'!DB4+'CSV1'!DD4+'CSV1'!DJ4+'CSV1'!EF4+'CSV1'!EJ4+SUM('CSV1'!EM4:EO4)-'CSV1'!EP4+SUM('CSV1'!BZ4:CA4)+SUM('CSV1'!CB4,'CSV1'!CC4,'CSV1'!CE4,'CSV1'!CF4)+SUM('CSV1'!CV4:CZ4)</f>
        <v>0</v>
      </c>
      <c r="F25" s="56" t="str">
        <f t="shared" si="3"/>
        <v>-</v>
      </c>
      <c r="G25" s="56" t="str">
        <f t="shared" si="3"/>
        <v>-</v>
      </c>
    </row>
    <row r="26" spans="1:7">
      <c r="A26" s="60" t="s">
        <v>732</v>
      </c>
      <c r="B26" s="55"/>
      <c r="C26" s="55">
        <f>SUM('CSV1'!DE6:DG6)+'CSV1'!DI6</f>
        <v>0</v>
      </c>
      <c r="D26" s="55">
        <f>SUM('CSV1'!DE5:DG5)+'CSV1'!DI5</f>
        <v>0</v>
      </c>
      <c r="E26" s="55">
        <f>SUM('CSV1'!DE4:DG4)+'CSV1'!DI4</f>
        <v>0</v>
      </c>
      <c r="F26" s="56" t="str">
        <f t="shared" si="3"/>
        <v>-</v>
      </c>
      <c r="G26" s="56" t="str">
        <f t="shared" si="3"/>
        <v>-</v>
      </c>
    </row>
    <row r="27" spans="1:7">
      <c r="A27" s="48" t="s">
        <v>733</v>
      </c>
      <c r="B27" s="58">
        <f>SUM(B25:B26)</f>
        <v>0</v>
      </c>
      <c r="C27" s="58">
        <f t="shared" ref="C27:E27" si="6">SUM(C25:C26)</f>
        <v>0</v>
      </c>
      <c r="D27" s="58">
        <f t="shared" si="6"/>
        <v>0</v>
      </c>
      <c r="E27" s="58">
        <f t="shared" si="6"/>
        <v>0</v>
      </c>
      <c r="F27" s="59" t="str">
        <f t="shared" ref="F27" si="7">IFERROR((C27-D27)/D27,"-")</f>
        <v>-</v>
      </c>
      <c r="G27" s="59" t="str">
        <f t="shared" ref="G27" si="8">IFERROR((D27-E27)/E27,"-")</f>
        <v>-</v>
      </c>
    </row>
    <row r="28" spans="1:7">
      <c r="A28" s="48" t="s">
        <v>734</v>
      </c>
      <c r="B28" s="58">
        <f>B19-B23-B27</f>
        <v>0</v>
      </c>
      <c r="C28" s="58">
        <f t="shared" ref="C28:E28" si="9">C19-C23-C27</f>
        <v>0</v>
      </c>
      <c r="D28" s="58">
        <f t="shared" si="9"/>
        <v>0</v>
      </c>
      <c r="E28" s="58">
        <f t="shared" si="9"/>
        <v>0</v>
      </c>
      <c r="F28" s="59" t="str">
        <f t="shared" si="3"/>
        <v>-</v>
      </c>
      <c r="G28" s="59" t="str">
        <f t="shared" si="3"/>
        <v>-</v>
      </c>
    </row>
    <row r="29" spans="1:7">
      <c r="A29" s="60" t="s">
        <v>735</v>
      </c>
      <c r="B29" s="55"/>
      <c r="C29" s="55">
        <v>0</v>
      </c>
      <c r="D29" s="55">
        <v>0</v>
      </c>
      <c r="E29" s="55">
        <f>'CSV1'!DQ4</f>
        <v>0</v>
      </c>
      <c r="F29" s="56" t="str">
        <f t="shared" si="3"/>
        <v>-</v>
      </c>
      <c r="G29" s="56" t="str">
        <f t="shared" si="3"/>
        <v>-</v>
      </c>
    </row>
    <row r="30" spans="1:7">
      <c r="A30" s="48" t="s">
        <v>736</v>
      </c>
      <c r="B30" s="58">
        <f>B28-B29</f>
        <v>0</v>
      </c>
      <c r="C30" s="58">
        <f t="shared" ref="C30:E30" si="10">C28-C29</f>
        <v>0</v>
      </c>
      <c r="D30" s="58">
        <f t="shared" si="10"/>
        <v>0</v>
      </c>
      <c r="E30" s="58">
        <f t="shared" si="10"/>
        <v>0</v>
      </c>
      <c r="F30" s="59" t="str">
        <f t="shared" si="3"/>
        <v>-</v>
      </c>
      <c r="G30" s="59" t="str">
        <f t="shared" si="3"/>
        <v>-</v>
      </c>
    </row>
    <row r="31" spans="1:7">
      <c r="A31" s="60" t="s">
        <v>737</v>
      </c>
      <c r="B31" s="55"/>
      <c r="C31" s="55">
        <f>'CSV1'!DM6+'CSV1'!DO6</f>
        <v>0</v>
      </c>
      <c r="D31" s="55">
        <f>'CSV1'!DM5+'CSV1'!DO5</f>
        <v>0</v>
      </c>
      <c r="E31" s="55">
        <f>'CSV1'!DM4+'CSV1'!DO4</f>
        <v>0</v>
      </c>
      <c r="F31" s="56" t="str">
        <f t="shared" si="3"/>
        <v>-</v>
      </c>
      <c r="G31" s="56" t="str">
        <f t="shared" si="3"/>
        <v>-</v>
      </c>
    </row>
    <row r="32" spans="1:7">
      <c r="A32" s="48" t="s">
        <v>738</v>
      </c>
      <c r="B32" s="58">
        <f>B30-B31</f>
        <v>0</v>
      </c>
      <c r="C32" s="58">
        <f t="shared" ref="C32" si="11">C30-C31</f>
        <v>0</v>
      </c>
      <c r="D32" s="58">
        <f t="shared" ref="D32" si="12">D30-D31</f>
        <v>0</v>
      </c>
      <c r="E32" s="58">
        <f t="shared" ref="E32" si="13">E30-E31</f>
        <v>0</v>
      </c>
      <c r="F32" s="59" t="str">
        <f t="shared" ref="F32:F33" si="14">IFERROR((C32-D32)/D32,"-")</f>
        <v>-</v>
      </c>
      <c r="G32" s="59" t="str">
        <f t="shared" ref="G32:G33" si="15">IFERROR((D32-E32)/E32,"-")</f>
        <v>-</v>
      </c>
    </row>
    <row r="33" spans="1:10">
      <c r="A33" s="60" t="s">
        <v>739</v>
      </c>
      <c r="B33" s="55"/>
      <c r="C33" s="55">
        <f>'CSV1'!Y6+'CSV1'!AC6+'CSV1'!AD6</f>
        <v>0</v>
      </c>
      <c r="D33" s="55">
        <f>'CSV1'!Y5+'CSV1'!AC5+'CSV1'!AD5</f>
        <v>0</v>
      </c>
      <c r="E33" s="55">
        <f>'CSV1'!Y4+'CSV1'!AC4+'CSV1'!AD4</f>
        <v>0</v>
      </c>
      <c r="F33" s="56" t="str">
        <f t="shared" si="14"/>
        <v>-</v>
      </c>
      <c r="G33" s="56" t="str">
        <f t="shared" si="15"/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si="3"/>
        <v>-</v>
      </c>
      <c r="G34" s="56" t="str">
        <f t="shared" si="3"/>
        <v>-</v>
      </c>
    </row>
    <row r="35" spans="1:10">
      <c r="A35" s="48" t="s">
        <v>741</v>
      </c>
      <c r="B35" s="58">
        <f>B32+B33-B34</f>
        <v>0</v>
      </c>
      <c r="C35" s="58">
        <f t="shared" ref="C35:E35" si="16">C32+C33-C34</f>
        <v>0</v>
      </c>
      <c r="D35" s="58">
        <f t="shared" si="16"/>
        <v>0</v>
      </c>
      <c r="E35" s="58">
        <f t="shared" si="16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SUM('CSV1'!DS6:DT6)</f>
        <v>0</v>
      </c>
      <c r="D36" s="55">
        <f>SUM('CSV1'!DS5:DT5)</f>
        <v>0</v>
      </c>
      <c r="E36" s="55">
        <f>SUM('CSV1'!DS4:DT4)</f>
        <v>0</v>
      </c>
      <c r="F36" s="56" t="str">
        <f t="shared" si="3"/>
        <v>-</v>
      </c>
      <c r="G36" s="56" t="str">
        <f t="shared" si="3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3"/>
        <v>-</v>
      </c>
      <c r="G37" s="59" t="str">
        <f t="shared" si="3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7">C37+C29+C26</f>
        <v>0</v>
      </c>
      <c r="D38" s="58">
        <f t="shared" si="17"/>
        <v>0</v>
      </c>
      <c r="E38" s="58">
        <f t="shared" si="17"/>
        <v>0</v>
      </c>
      <c r="F38" s="59"/>
      <c r="G38" s="59"/>
    </row>
    <row r="39" spans="1:10">
      <c r="A39" s="62" t="s">
        <v>745</v>
      </c>
      <c r="B39" s="55"/>
      <c r="C39" s="55">
        <f>SUM('CSV1'!DY6:DZ6)</f>
        <v>0</v>
      </c>
      <c r="D39" s="55">
        <f>SUM('CSV1'!DY5:DZ5)</f>
        <v>0</v>
      </c>
      <c r="E39" s="55">
        <f>SUM('CSV1'!DY4:DZ4)</f>
        <v>0</v>
      </c>
      <c r="F39" s="56" t="str">
        <f t="shared" ref="F39:G41" si="18">IFERROR((C39-D39)/D39,"-")</f>
        <v>-</v>
      </c>
      <c r="G39" s="56" t="str">
        <f t="shared" si="18"/>
        <v>-</v>
      </c>
    </row>
    <row r="40" spans="1:10">
      <c r="A40" s="60" t="s">
        <v>746</v>
      </c>
      <c r="B40" s="55"/>
      <c r="C40" s="55">
        <f>'CSV1'!DC6</f>
        <v>0</v>
      </c>
      <c r="D40" s="55">
        <f>'CSV1'!DC5</f>
        <v>0</v>
      </c>
      <c r="E40" s="55">
        <f>'CSV1'!DC4</f>
        <v>0</v>
      </c>
      <c r="F40" s="56" t="str">
        <f t="shared" si="18"/>
        <v>-</v>
      </c>
      <c r="G40" s="56" t="str">
        <f t="shared" si="18"/>
        <v>-</v>
      </c>
    </row>
    <row r="41" spans="1:10">
      <c r="A41" s="60" t="s">
        <v>747</v>
      </c>
      <c r="B41" s="55"/>
      <c r="C41" s="55">
        <f>'CSV1'!DL6+'CSV1'!DN6</f>
        <v>0</v>
      </c>
      <c r="D41" s="55">
        <f>'CSV1'!DL5+'CSV1'!DN5</f>
        <v>0</v>
      </c>
      <c r="E41" s="55">
        <f>'CSV1'!DL4+'CSV1'!DN4</f>
        <v>0</v>
      </c>
      <c r="F41" s="56" t="str">
        <f t="shared" si="18"/>
        <v>-</v>
      </c>
      <c r="G41" s="56" t="str">
        <f t="shared" si="18"/>
        <v>-</v>
      </c>
    </row>
    <row r="42" spans="1:10">
      <c r="A42" s="62" t="s">
        <v>748</v>
      </c>
      <c r="B42" s="55"/>
      <c r="C42" s="55">
        <f>'CSV1'!DX6</f>
        <v>0</v>
      </c>
      <c r="D42" s="55">
        <f>'CSV1'!DX5</f>
        <v>0</v>
      </c>
      <c r="E42" s="55">
        <f>'CSV1'!DX4</f>
        <v>0</v>
      </c>
      <c r="F42" s="56" t="str">
        <f t="shared" si="3"/>
        <v>-</v>
      </c>
      <c r="G42" s="56" t="str">
        <f t="shared" si="3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9">C38-C39-C40-C41</f>
        <v>0</v>
      </c>
      <c r="D43" s="58">
        <f t="shared" si="19"/>
        <v>0</v>
      </c>
      <c r="E43" s="58">
        <f t="shared" si="19"/>
        <v>0</v>
      </c>
      <c r="F43" s="59" t="str">
        <f t="shared" si="3"/>
        <v>-</v>
      </c>
      <c r="G43" s="59" t="str">
        <f t="shared" si="3"/>
        <v>-</v>
      </c>
    </row>
    <row r="44" spans="1:10">
      <c r="A44" s="63"/>
      <c r="B44" s="534" t="s">
        <v>833</v>
      </c>
      <c r="C44" s="534"/>
      <c r="D44" s="534"/>
      <c r="E44" s="534"/>
      <c r="F44" s="64"/>
      <c r="G44" s="64"/>
    </row>
    <row r="45" spans="1:10" ht="38.25">
      <c r="A45" s="48" t="s">
        <v>750</v>
      </c>
      <c r="B45" s="344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3" t="s">
        <v>751</v>
      </c>
      <c r="B46" s="535"/>
      <c r="C46" s="536"/>
      <c r="D46" s="536"/>
      <c r="E46" s="537"/>
      <c r="F46" s="154"/>
      <c r="G46" s="154"/>
      <c r="H46" s="1"/>
      <c r="I46" s="1"/>
      <c r="J46" s="1"/>
    </row>
    <row r="47" spans="1:10">
      <c r="A47" s="60" t="s">
        <v>752</v>
      </c>
      <c r="B47" s="54"/>
      <c r="C47" s="55">
        <v>0</v>
      </c>
      <c r="D47" s="55">
        <v>0</v>
      </c>
      <c r="E47" s="55">
        <f>'CSV1'!I23+'CSV1'!J23+'CSV1'!H17+'CSV1'!H11+'CSV1'!H34+SUM('CSV1'!O34:U34)-SUM('CSV1'!H34:M34)</f>
        <v>0</v>
      </c>
      <c r="F47" s="56" t="str">
        <f t="shared" ref="F47:G87" si="20">IFERROR((C47-D47)/D47,"-")</f>
        <v>-</v>
      </c>
      <c r="G47" s="56" t="str">
        <f t="shared" si="20"/>
        <v>-</v>
      </c>
    </row>
    <row r="48" spans="1:10">
      <c r="A48" s="60" t="s">
        <v>753</v>
      </c>
      <c r="B48" s="54"/>
      <c r="C48" s="55">
        <f>'CSV1'!AK25+'CSV1'!BC25+'CSV1'!AC19+'CSV1'!AC31+'CSV1'!AD31+'CSV1'!AF31+'CSV1'!AG31+'CSV1'!AO31+SUM('CSV1'!AV31:AX31)+'CSV1'!BM31-('CSV1'!DB25+'CSV1'!EP25+'CSV1'!DG31)</f>
        <v>0</v>
      </c>
      <c r="D48" s="55">
        <f>'CSV1'!AK24+'CSV1'!BC24+'CSV1'!AC18-('CSV1'!DB24+'CSV1'!EP24)</f>
        <v>0</v>
      </c>
      <c r="E48" s="55">
        <f>'CSV1'!AK23+'CSV1'!BC23+'CSV1'!AC17-('CSV1'!DB23+'CSV1'!EP23)</f>
        <v>0</v>
      </c>
      <c r="F48" s="56" t="str">
        <f t="shared" si="20"/>
        <v>-</v>
      </c>
      <c r="G48" s="56" t="str">
        <f t="shared" si="20"/>
        <v>-</v>
      </c>
    </row>
    <row r="49" spans="1:10">
      <c r="A49" s="60" t="s">
        <v>754</v>
      </c>
      <c r="B49" s="54"/>
      <c r="C49" s="55">
        <f>SUM('CSV1'!I13:L13)-'CSV1'!BQ13+SUM('CSV1'!I19:M19)-'CSV1'!CU19+SUM('CSV1'!L25:S25)+'CSV1'!U25+SUM('CSV1'!W25:X25)+SUM('CSV1'!L31:O31)+'CSV1'!Q31</f>
        <v>0</v>
      </c>
      <c r="D49" s="55">
        <f>SUM('CSV1'!I12:L12)-'CSV1'!BQ12+SUM('CSV1'!I18:M18)-'CSV1'!CU18+SUM('CSV1'!L24:S24)+'CSV1'!U24+SUM('CSV1'!W24:X24)</f>
        <v>0</v>
      </c>
      <c r="E49" s="55">
        <f>SUM('CSV1'!I11:L11)-'CSV1'!BQ11+SUM('CSV1'!I17:M17)-'CSV1'!CU17+SUM('CSV1'!L23:S23)+'CSV1'!U23+SUM('CSV1'!W23:X23)</f>
        <v>0</v>
      </c>
      <c r="F49" s="56" t="str">
        <f t="shared" si="20"/>
        <v>-</v>
      </c>
      <c r="G49" s="56" t="str">
        <f t="shared" si="20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21">SUM(C47:C49)</f>
        <v>0</v>
      </c>
      <c r="D50" s="58">
        <f t="shared" si="21"/>
        <v>0</v>
      </c>
      <c r="E50" s="58">
        <f t="shared" si="21"/>
        <v>0</v>
      </c>
      <c r="F50" s="59" t="str">
        <f t="shared" ref="F50:G52" si="22">IFERROR((C50-D50)/D50,"-")</f>
        <v>-</v>
      </c>
      <c r="G50" s="59" t="str">
        <f t="shared" si="22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22"/>
        <v>-</v>
      </c>
      <c r="G51" s="56" t="str">
        <f t="shared" si="22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22"/>
        <v>-</v>
      </c>
      <c r="G52" s="56" t="str">
        <f t="shared" si="22"/>
        <v>-</v>
      </c>
    </row>
    <row r="53" spans="1:10">
      <c r="A53" s="60" t="s">
        <v>758</v>
      </c>
      <c r="B53" s="54"/>
      <c r="C53" s="55">
        <f>'CSV1'!CS19+'CSV1'!BO13</f>
        <v>0</v>
      </c>
      <c r="D53" s="55">
        <f>'CSV1'!CS18+'CSV1'!BO12</f>
        <v>0</v>
      </c>
      <c r="E53" s="55">
        <f>'CSV1'!CS17+'CSV1'!BO11</f>
        <v>0</v>
      </c>
      <c r="F53" s="56" t="str">
        <f t="shared" si="20"/>
        <v>-</v>
      </c>
      <c r="G53" s="56" t="str">
        <f t="shared" si="20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23">C50-C51-C52-C53</f>
        <v>0</v>
      </c>
      <c r="D54" s="58">
        <f t="shared" si="23"/>
        <v>0</v>
      </c>
      <c r="E54" s="58">
        <f t="shared" si="23"/>
        <v>0</v>
      </c>
      <c r="F54" s="59" t="str">
        <f t="shared" si="20"/>
        <v>-</v>
      </c>
      <c r="G54" s="59" t="str">
        <f t="shared" si="20"/>
        <v>-</v>
      </c>
    </row>
    <row r="55" spans="1:10">
      <c r="A55" s="153" t="s">
        <v>760</v>
      </c>
      <c r="B55" s="535"/>
      <c r="C55" s="536"/>
      <c r="D55" s="536"/>
      <c r="E55" s="537"/>
      <c r="F55" s="154"/>
      <c r="G55" s="154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v>0</v>
      </c>
      <c r="D57" s="55">
        <v>0</v>
      </c>
      <c r="E57" s="55">
        <f>'CSV1'!AL23+'CSV1'!BD23+SUM('CSV1'!U17:X17)+SUM('CSV1'!T11:U11)+'CSV1'!J34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SUM('CSV1'!Z25:AA25)+SUM('CSV1'!AC25:AE25)+SUM('CSV1'!P19:R19)+SUM('CSV1'!O13:Q13)+'CSV1'!I36+SUM('CSV1'!T31:U31)+SUM('CSV1'!W31:Y31)</f>
        <v>0</v>
      </c>
      <c r="D58" s="55">
        <f>SUM('CSV1'!Z24:AA24)+SUM('CSV1'!AC24:AE24)+SUM('CSV1'!P18:R18)+SUM('CSV1'!O12:Q12)+'CSV1'!I35</f>
        <v>0</v>
      </c>
      <c r="E58" s="55">
        <f>SUM('CSV1'!Z23:AA23)+SUM('CSV1'!AC23:AE23)+SUM('CSV1'!P17:R17)+SUM('CSV1'!O11:Q11)+'CSV1'!I34</f>
        <v>0</v>
      </c>
      <c r="F58" s="56" t="str">
        <f t="shared" si="20"/>
        <v>-</v>
      </c>
      <c r="G58" s="56" t="str">
        <f t="shared" si="20"/>
        <v>-</v>
      </c>
    </row>
    <row r="59" spans="1:10">
      <c r="A59" s="60" t="s">
        <v>764</v>
      </c>
      <c r="B59" s="54"/>
      <c r="C59" s="55">
        <v>0</v>
      </c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24">SUM(C56:C59)</f>
        <v>0</v>
      </c>
      <c r="D60" s="58">
        <f t="shared" si="24"/>
        <v>0</v>
      </c>
      <c r="E60" s="58">
        <f t="shared" si="24"/>
        <v>0</v>
      </c>
      <c r="F60" s="59" t="str">
        <f t="shared" si="20"/>
        <v>-</v>
      </c>
      <c r="G60" s="59" t="str">
        <f t="shared" si="20"/>
        <v>-</v>
      </c>
    </row>
    <row r="61" spans="1:10">
      <c r="A61" s="153" t="s">
        <v>766</v>
      </c>
      <c r="B61" s="535"/>
      <c r="C61" s="536"/>
      <c r="D61" s="536"/>
      <c r="E61" s="537"/>
      <c r="F61" s="154"/>
      <c r="G61" s="154"/>
      <c r="H61" s="1"/>
      <c r="I61" s="1"/>
      <c r="J61" s="1"/>
    </row>
    <row r="62" spans="1:10">
      <c r="A62" s="60" t="s">
        <v>767</v>
      </c>
      <c r="B62" s="54"/>
      <c r="C62" s="55">
        <v>0</v>
      </c>
      <c r="D62" s="55">
        <v>0</v>
      </c>
      <c r="E62" s="55"/>
      <c r="F62" s="56" t="str">
        <f t="shared" ref="F62:G66" si="25">IFERROR((C62-D62)/D62,"-")</f>
        <v>-</v>
      </c>
      <c r="G62" s="56" t="str">
        <f t="shared" si="25"/>
        <v>-</v>
      </c>
    </row>
    <row r="63" spans="1:10">
      <c r="A63" s="60" t="s">
        <v>768</v>
      </c>
      <c r="B63" s="54"/>
      <c r="C63" s="55">
        <f>'CSV1'!AP25+SUM('CSV1'!BG25:BH25)+SUM('CSV1'!CD19:CE19)+'CSV1'!BC13+'CSV1'!BU13+'CSV1'!L36+'CSV1'!AI31+'CSV1'!AZ31+'CSV1'!AQ25+'CSV1'!BN25+'CSV1'!AD19+'CSV1'!CJ19+'CSV1'!AJ31+'CSV1'!BL31</f>
        <v>0</v>
      </c>
      <c r="D63" s="55">
        <f>'CSV1'!AP24+SUM('CSV1'!BG24:BH24)+SUM('CSV1'!CD18:CE18)+'CSV1'!BC12+'CSV1'!BU12+'CSV1'!L35+'CSV1'!AQ24+'CSV1'!BN24+'CSV1'!AD18+'CSV1'!CJ18</f>
        <v>0</v>
      </c>
      <c r="E63" s="55">
        <f>'CSV1'!AP23+SUM('CSV1'!BG23:BH23)+SUM('CSV1'!CD17:CE17)+'CSV1'!BC11+'CSV1'!BU11+'CSV1'!L34+'CSV1'!AQ23+'CSV1'!BN23+'CSV1'!AD17+'CSV1'!CJ17</f>
        <v>0</v>
      </c>
      <c r="F63" s="56" t="str">
        <f t="shared" si="25"/>
        <v>-</v>
      </c>
      <c r="G63" s="56" t="str">
        <f t="shared" si="25"/>
        <v>-</v>
      </c>
    </row>
    <row r="64" spans="1:10">
      <c r="A64" s="60" t="s">
        <v>769</v>
      </c>
      <c r="B64" s="54"/>
      <c r="C64" s="55">
        <f>'CSV1'!AW25+'CSV1'!AS31</f>
        <v>0</v>
      </c>
      <c r="D64" s="55">
        <f>'CSV1'!AW24</f>
        <v>0</v>
      </c>
      <c r="E64" s="55">
        <f>'CSV1'!AW23</f>
        <v>0</v>
      </c>
      <c r="F64" s="56" t="str">
        <f t="shared" si="25"/>
        <v>-</v>
      </c>
      <c r="G64" s="56" t="str">
        <f t="shared" si="25"/>
        <v>-</v>
      </c>
    </row>
    <row r="65" spans="1:7">
      <c r="A65" s="60" t="s">
        <v>770</v>
      </c>
      <c r="B65" s="54"/>
      <c r="C65" s="55">
        <f>SUM('CSV1'!AS25:AT25)+SUM('CSV1'!BK25:BM25)+SUM('CSV1'!BU25:BY25)+SUM('CSV1'!CH19:CI19)+SUM('CSV1'!CM19:CO19)+SUM('CSV1'!BE13:BF13)+SUM('CSV1'!BH13:BK13)+SUM('CSV1'!AK31:AL31)+SUM('CSV1'!BB31:BC31)+SUM('CSV1'!BP31:BQ31)+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65" s="55">
        <f>SUM('CSV1'!AS24:AT24)+SUM('CSV1'!BK24:BM24)+SUM('CSV1'!BU24:BY24)+SUM('CSV1'!CH18:CI18)+SUM('CSV1'!CM18:CO18)+SUM('CSV1'!BE12:BF12)+SUM('CSV1'!BH12:BK12)+SUM('CSV1'!AI24:AJ24)+'CSV1'!AM24+'CSV1'!BB24+'CSV1'!BE24+'CSV1'!BJ24+'CSV1'!BO24+'CSV1'!BP24+'CSV1'!BQ24+'CSV1'!BR24+'CSV1'!BS24+'CSV1'!CG18+'CSV1'!CK18+'CSV1'!BD12+'CSV1'!K35+'CSV1'!M35</f>
        <v>0</v>
      </c>
      <c r="E65" s="55">
        <f>SUM('CSV1'!AS23:AT23)+SUM('CSV1'!BK23:BM23)+SUM('CSV1'!BU23:BY23)+SUM('CSV1'!CH17:CI17)+SUM('CSV1'!CM17:CO17)+SUM('CSV1'!BE11:BF11)+SUM('CSV1'!BH11:BK11)+SUM('CSV1'!AI23:AJ23)+'CSV1'!AM23+'CSV1'!BB23+'CSV1'!BE23+'CSV1'!BJ23+'CSV1'!BO23+'CSV1'!BP23+'CSV1'!BQ23+'CSV1'!BR23+'CSV1'!BS23+'CSV1'!CG17+'CSV1'!CK17+'CSV1'!BD11+'CSV1'!K34+'CSV1'!M34</f>
        <v>0</v>
      </c>
      <c r="F65" s="56" t="str">
        <f t="shared" si="25"/>
        <v>-</v>
      </c>
      <c r="G65" s="56" t="str">
        <f t="shared" si="25"/>
        <v>-</v>
      </c>
    </row>
    <row r="66" spans="1:7">
      <c r="A66" s="60" t="s">
        <v>771</v>
      </c>
      <c r="B66" s="54"/>
      <c r="C66" s="55">
        <v>0</v>
      </c>
      <c r="D66" s="55">
        <v>0</v>
      </c>
      <c r="E66" s="55">
        <f>SUM('CSV1'!AX23:AZ23)</f>
        <v>0</v>
      </c>
      <c r="F66" s="56" t="str">
        <f t="shared" si="25"/>
        <v>-</v>
      </c>
      <c r="G66" s="56" t="str">
        <f t="shared" si="25"/>
        <v>-</v>
      </c>
    </row>
    <row r="67" spans="1:7">
      <c r="A67" s="48" t="s">
        <v>772</v>
      </c>
      <c r="B67" s="58">
        <f>SUM(B62:B66)</f>
        <v>0</v>
      </c>
      <c r="C67" s="58">
        <f t="shared" ref="C67:E67" si="26">SUM(C62:C66)</f>
        <v>0</v>
      </c>
      <c r="D67" s="58">
        <f t="shared" si="26"/>
        <v>0</v>
      </c>
      <c r="E67" s="58">
        <f t="shared" si="26"/>
        <v>0</v>
      </c>
      <c r="F67" s="59" t="str">
        <f t="shared" ref="F67" si="27">IFERROR((C67-D67)/D67,"-")</f>
        <v>-</v>
      </c>
      <c r="G67" s="59" t="str">
        <f t="shared" ref="G67" si="28">IFERROR((D67-E67)/E67,"-")</f>
        <v>-</v>
      </c>
    </row>
    <row r="68" spans="1:7">
      <c r="A68" s="48" t="s">
        <v>773</v>
      </c>
      <c r="B68" s="58">
        <f>B60+B67</f>
        <v>0</v>
      </c>
      <c r="C68" s="58">
        <f t="shared" ref="C68:E68" si="29">C60+C67</f>
        <v>0</v>
      </c>
      <c r="D68" s="58">
        <f t="shared" si="29"/>
        <v>0</v>
      </c>
      <c r="E68" s="58">
        <f t="shared" si="29"/>
        <v>0</v>
      </c>
      <c r="F68" s="59" t="str">
        <f t="shared" ref="F68" si="30">IFERROR((C68-D68)/D68,"-")</f>
        <v>-</v>
      </c>
      <c r="G68" s="59" t="str">
        <f t="shared" ref="G68" si="31">IFERROR((D68-E68)/E68,"-")</f>
        <v>-</v>
      </c>
    </row>
    <row r="69" spans="1:7">
      <c r="A69" s="48" t="s">
        <v>774</v>
      </c>
      <c r="B69" s="116">
        <f>B54+B68</f>
        <v>0</v>
      </c>
      <c r="C69" s="116">
        <f t="shared" ref="C69:E69" si="32">C54+C68</f>
        <v>0</v>
      </c>
      <c r="D69" s="116">
        <f t="shared" si="32"/>
        <v>0</v>
      </c>
      <c r="E69" s="116">
        <f t="shared" si="32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'CSV1'!CC25+'CSV1'!CG25+'CSV1'!AG19+'CSV1'!Z13+SUM('CSV1'!CK25:CL25)+'CSV1'!AC13+'CSV1'!AJ19+'CSV1'!BV31+'CSV1'!BZ31+'CSV1'!CE31+'CSV1'!CI31+'CSV1'!CM31+'CSV1'!CN31</f>
        <v>0</v>
      </c>
      <c r="D71" s="55">
        <f>'CSV1'!CC24+'CSV1'!CG24+'CSV1'!AG18+'CSV1'!Z12+SUM('CSV1'!CK24:CL24)+'CSV1'!AC12+'CSV1'!AJ18</f>
        <v>0</v>
      </c>
      <c r="E71" s="55">
        <f>'CSV1'!CC23+'CSV1'!CG23+'CSV1'!AG17+'CSV1'!Z11+SUM('CSV1'!CK23:CL23)+'CSV1'!AC11+'CSV1'!AJ17</f>
        <v>0</v>
      </c>
      <c r="F71" s="56" t="str">
        <f t="shared" si="20"/>
        <v>-</v>
      </c>
      <c r="G71" s="56" t="str">
        <f t="shared" si="20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ref="F72" si="33">IFERROR((C72-D72)/D72,"-")</f>
        <v>-</v>
      </c>
      <c r="G72" s="56" t="str">
        <f t="shared" ref="G72" si="34">IFERROR((D72-E72)/E72,"-")</f>
        <v>-</v>
      </c>
    </row>
    <row r="73" spans="1:7">
      <c r="A73" s="60" t="s">
        <v>777</v>
      </c>
      <c r="B73" s="55"/>
      <c r="C73" s="55">
        <v>0</v>
      </c>
      <c r="D73" s="55">
        <v>0</v>
      </c>
      <c r="E73" s="55">
        <f>'CSV1'!CF23+'CSV1'!CJ23+'CSV1'!AI17+'CSV1'!AB11+SUM('CSV1'!CK23:CL23)+'CSV1'!AC11+'CSV1'!AJ17+'CSV1'!O34</f>
        <v>0</v>
      </c>
      <c r="F73" s="56" t="str">
        <f t="shared" si="20"/>
        <v>-</v>
      </c>
      <c r="G73" s="56" t="str">
        <f t="shared" si="20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ref="F74:F75" si="35">IFERROR((C74-D74)/D74,"-")</f>
        <v>-</v>
      </c>
      <c r="G74" s="56" t="str">
        <f t="shared" ref="G74:G75" si="36">IFERROR((D74-E74)/E74,"-")</f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35"/>
        <v>-</v>
      </c>
      <c r="G75" s="56" t="str">
        <f t="shared" si="36"/>
        <v>-</v>
      </c>
    </row>
    <row r="76" spans="1:7">
      <c r="A76" s="60" t="s">
        <v>780</v>
      </c>
      <c r="B76" s="55"/>
      <c r="C76" s="55">
        <v>0</v>
      </c>
      <c r="D76" s="55">
        <v>0</v>
      </c>
      <c r="E76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6" s="56" t="str">
        <f t="shared" si="20"/>
        <v>-</v>
      </c>
      <c r="G76" s="56" t="str">
        <f t="shared" si="20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37">C78+C79+C80+C83+C84</f>
        <v>0</v>
      </c>
      <c r="D77" s="58">
        <f t="shared" si="37"/>
        <v>0</v>
      </c>
      <c r="E77" s="58">
        <f t="shared" si="37"/>
        <v>0</v>
      </c>
      <c r="F77" s="59" t="str">
        <f t="shared" si="20"/>
        <v>-</v>
      </c>
      <c r="G77" s="59" t="str">
        <f t="shared" si="20"/>
        <v>-</v>
      </c>
    </row>
    <row r="78" spans="1:7">
      <c r="A78" s="60" t="s">
        <v>782</v>
      </c>
      <c r="B78" s="54"/>
      <c r="C78" s="55">
        <v>0</v>
      </c>
      <c r="D78" s="55">
        <f>-'CSV1'!AH24-'CSV1'!AO24+'CSV1'!CY24-'CSV1'!AB18+'CSV1'!CT18-'CSV1'!X12+'CSV1'!BP12</f>
        <v>0</v>
      </c>
      <c r="E78" s="55">
        <f>-'CSV1'!AH23-'CSV1'!AO23+'CSV1'!CY23-'CSV1'!AB17+'CSV1'!CT17-'CSV1'!X11+'CSV1'!BP11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5" t="s">
        <v>783</v>
      </c>
      <c r="B79" s="54"/>
      <c r="C79" s="55">
        <v>0</v>
      </c>
      <c r="D79" s="55">
        <v>0</v>
      </c>
      <c r="E79" s="55">
        <f>'CSV1'!DZ23+'CSV1'!BF17+'CSV1'!AN11+SUM('CSV1'!ED23:EE23)+SUM('CSV1'!BJ17:BK17)+'CSV1'!AM11+'CSV1'!EA23+'CSV1'!BG17+'CSV1'!AO11+SUM('CSV1'!EB23:EC23)+'CSV1'!EF23+SUM('CSV1'!BH17:BI17)+'CSV1'!BL17+'CSV1'!AP11+'CSV1'!P34</f>
        <v>0</v>
      </c>
      <c r="F79" s="56" t="str">
        <f t="shared" si="20"/>
        <v>-</v>
      </c>
      <c r="G79" s="56" t="str">
        <f t="shared" si="20"/>
        <v>-</v>
      </c>
    </row>
    <row r="80" spans="1:7">
      <c r="A80" s="60" t="s">
        <v>784</v>
      </c>
      <c r="B80" s="70">
        <f>SUM(B81:B82)</f>
        <v>0</v>
      </c>
      <c r="C80" s="70">
        <f t="shared" ref="C80:E80" si="38">SUM(C81:C82)</f>
        <v>0</v>
      </c>
      <c r="D80" s="70">
        <f t="shared" si="38"/>
        <v>0</v>
      </c>
      <c r="E80" s="70">
        <f t="shared" si="38"/>
        <v>0</v>
      </c>
      <c r="F80" s="56" t="str">
        <f t="shared" si="20"/>
        <v>-</v>
      </c>
      <c r="G80" s="56" t="str">
        <f t="shared" si="20"/>
        <v>-</v>
      </c>
    </row>
    <row r="81" spans="1:7">
      <c r="A81" s="345" t="s">
        <v>785</v>
      </c>
      <c r="B81" s="54"/>
      <c r="C81" s="55">
        <v>0</v>
      </c>
      <c r="D81" s="55">
        <v>0</v>
      </c>
      <c r="E81" s="55">
        <f>'CSV1'!DJ23+'CSV1'!DL23+'CSV1'!EH23+'CSV1'!BN17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5" t="s">
        <v>786</v>
      </c>
      <c r="B82" s="54"/>
      <c r="C82" s="55">
        <f>SUM('CSV1'!DH25:DI25)+'CSV1'!EI25+'CSV1'!BO19+'CSV1'!AR13+'CSV1'!Q36+SUM('CSV1'!DB31:DC31)+SUM('CSV1'!DM31:DN31)+SUM('CSV1'!EQ31:ER31)</f>
        <v>0</v>
      </c>
      <c r="D82" s="55">
        <f>SUM('CSV1'!DH24:DI24)+'CSV1'!EI24+'CSV1'!BO18+'CSV1'!AR12+'CSV1'!Q35</f>
        <v>0</v>
      </c>
      <c r="E82" s="55">
        <f>SUM('CSV1'!DH23:DI23)+'CSV1'!EI23+'CSV1'!BO17+'CSV1'!AR11+'CSV1'!Q34</f>
        <v>0</v>
      </c>
      <c r="F82" s="56" t="str">
        <f t="shared" si="20"/>
        <v>-</v>
      </c>
      <c r="G82" s="56" t="str">
        <f t="shared" si="20"/>
        <v>-</v>
      </c>
    </row>
    <row r="83" spans="1:7">
      <c r="A83" s="60" t="s">
        <v>787</v>
      </c>
      <c r="B83" s="54"/>
      <c r="C83" s="55">
        <v>0</v>
      </c>
      <c r="D83" s="55">
        <v>0</v>
      </c>
      <c r="E83" s="55">
        <f>SUM('CSV1'!EK23:EN23)+SUM('CSV1'!BQ17:BS17)+SUM('CSV1'!AS11:AT11)+'CSV1'!BW11+'CSV1'!S34+'CSV1'!R34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" si="39">SUM(C85:C86)</f>
        <v>0</v>
      </c>
      <c r="D84" s="70">
        <f t="shared" ref="D84" si="40">SUM(D85:D86)</f>
        <v>0</v>
      </c>
      <c r="E84" s="70">
        <f t="shared" ref="E84" si="41">SUM(E85:E86)</f>
        <v>0</v>
      </c>
      <c r="F84" s="56" t="str">
        <f t="shared" ref="F84" si="42">IFERROR((C84-D84)/D84,"-")</f>
        <v>-</v>
      </c>
      <c r="G84" s="56" t="str">
        <f t="shared" ref="G84" si="43">IFERROR((D84-E84)/E84,"-")</f>
        <v>-</v>
      </c>
    </row>
    <row r="85" spans="1:7">
      <c r="A85" s="60" t="s">
        <v>789</v>
      </c>
      <c r="B85" s="54"/>
      <c r="C85" s="55">
        <v>0</v>
      </c>
      <c r="D85" s="55">
        <v>0</v>
      </c>
      <c r="E85" s="55">
        <f>'CSV1'!CZ23+'CSV1'!DC23+'CSV1'!EQ23+'CSV1'!EV23+'CSV1'!BU17+'CSV1'!BW17+'CSV1'!AV11+'CSV1'!AX11+'CSV1'!T34+'CSV1'!U34</f>
        <v>0</v>
      </c>
      <c r="F85" s="56" t="str">
        <f t="shared" si="20"/>
        <v>-</v>
      </c>
      <c r="G85" s="56" t="str">
        <f t="shared" si="20"/>
        <v>-</v>
      </c>
    </row>
    <row r="86" spans="1:7">
      <c r="A86" s="60" t="s">
        <v>790</v>
      </c>
      <c r="B86" s="54"/>
      <c r="C86" s="55">
        <v>0</v>
      </c>
      <c r="D86" s="55">
        <v>0</v>
      </c>
      <c r="E86" s="55">
        <f>'CSV1'!BY17+'CSV1'!AZ11</f>
        <v>0</v>
      </c>
      <c r="F86" s="56" t="str">
        <f t="shared" si="20"/>
        <v>-</v>
      </c>
      <c r="G86" s="56" t="str">
        <f t="shared" si="20"/>
        <v>-</v>
      </c>
    </row>
    <row r="87" spans="1:7">
      <c r="A87" s="48" t="s">
        <v>774</v>
      </c>
      <c r="B87" s="58">
        <f>SUM(B73:B77)</f>
        <v>0</v>
      </c>
      <c r="C87" s="58">
        <f t="shared" ref="C87:F87" si="44">SUM(C73:C77)</f>
        <v>0</v>
      </c>
      <c r="D87" s="58">
        <f t="shared" si="44"/>
        <v>0</v>
      </c>
      <c r="E87" s="58">
        <f t="shared" si="44"/>
        <v>0</v>
      </c>
      <c r="F87" s="58">
        <f t="shared" si="44"/>
        <v>0</v>
      </c>
      <c r="G87" s="59" t="str">
        <f t="shared" si="20"/>
        <v>-</v>
      </c>
    </row>
    <row r="88" spans="1:7">
      <c r="A88" s="73"/>
      <c r="B88" s="74">
        <f>B87-B69</f>
        <v>0</v>
      </c>
      <c r="C88" s="84">
        <f>C87-C69</f>
        <v>0</v>
      </c>
      <c r="D88" s="84">
        <f>D87-D69</f>
        <v>0</v>
      </c>
      <c r="E88" s="74">
        <f t="shared" ref="E88" si="45">E87-E69</f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4" t="str">
        <f>IFERROR(B68/B54,"-")</f>
        <v>-</v>
      </c>
      <c r="C90" s="164" t="str">
        <f>IFERROR(C68/C54,"-")</f>
        <v>-</v>
      </c>
      <c r="D90" s="164" t="str">
        <f>IFERROR(D68/D54,"-")</f>
        <v>-</v>
      </c>
      <c r="E90" s="164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4" t="str">
        <f>IFERROR(B28/B31,"-")</f>
        <v>-</v>
      </c>
      <c r="C93" s="164" t="str">
        <f>IFERROR(C28/C31,"-")</f>
        <v>-</v>
      </c>
      <c r="D93" s="164" t="str">
        <f>IFERROR(D28/D31,"-")</f>
        <v>-</v>
      </c>
      <c r="E93" s="164" t="str">
        <f>IFERROR(E28/E31,"-")</f>
        <v>-</v>
      </c>
      <c r="F93" s="78"/>
      <c r="G93" s="78"/>
    </row>
    <row r="94" spans="1:7">
      <c r="A94" s="76" t="s">
        <v>796</v>
      </c>
      <c r="B94" s="165" t="str">
        <f>IFERROR(B17/B73,"-")</f>
        <v>-</v>
      </c>
      <c r="C94" s="165" t="str">
        <f>IFERROR(C17/C73,"-")</f>
        <v>-</v>
      </c>
      <c r="D94" s="165" t="str">
        <f>IFERROR(D17/D73,"-")</f>
        <v>-</v>
      </c>
      <c r="E94" s="165" t="str">
        <f>IFERROR(E17/E73,"-")</f>
        <v>-</v>
      </c>
      <c r="F94" s="78"/>
      <c r="G94" s="78"/>
    </row>
    <row r="95" spans="1:7">
      <c r="A95" s="76" t="s">
        <v>797</v>
      </c>
      <c r="B95" s="165" t="str">
        <f>IFERROR(B63/B23*365,"-")</f>
        <v>-</v>
      </c>
      <c r="C95" s="165" t="str">
        <f>IFERROR(C63/C23*365,"-")</f>
        <v>-</v>
      </c>
      <c r="D95" s="165" t="str">
        <f>IFERROR(D63/D23*365,"-")</f>
        <v>-</v>
      </c>
      <c r="E95" s="165" t="str">
        <f>IFERROR(E63/E23*365,"-")</f>
        <v>-</v>
      </c>
      <c r="F95" s="78"/>
      <c r="G95" s="78"/>
    </row>
    <row r="96" spans="1:7">
      <c r="A96" s="76" t="s">
        <v>798</v>
      </c>
      <c r="B96" s="165">
        <f>IFERROR(B77-B67+B57,"-")</f>
        <v>0</v>
      </c>
      <c r="C96" s="165">
        <f>IFERROR(C77-C67+C57,"-")</f>
        <v>0</v>
      </c>
      <c r="D96" s="165">
        <f>IFERROR(D77-D67+D57,"-")</f>
        <v>0</v>
      </c>
      <c r="E96" s="165">
        <f>IFERROR(E77-E67+E57,"-")</f>
        <v>0</v>
      </c>
      <c r="F96" s="78"/>
      <c r="G96" s="78"/>
    </row>
    <row r="97" spans="1:7">
      <c r="A97" s="76" t="s">
        <v>799</v>
      </c>
      <c r="B97" s="165" t="str">
        <f>IFERROR(B80/B15*365,"-")</f>
        <v>-</v>
      </c>
      <c r="C97" s="165" t="str">
        <f>IFERROR(C80/C15*365,"-")</f>
        <v>-</v>
      </c>
      <c r="D97" s="165" t="str">
        <f>IFERROR(D80/D15*365,"-")</f>
        <v>-</v>
      </c>
      <c r="E97" s="165" t="str">
        <f>IFERROR(E80/E15*365,"-")</f>
        <v>-</v>
      </c>
      <c r="F97" s="78"/>
      <c r="G97" s="78"/>
    </row>
    <row r="98" spans="1:7">
      <c r="A98" s="76" t="s">
        <v>800</v>
      </c>
      <c r="B98" s="165" t="str">
        <f>IFERROR(B79*365/B17,"-")</f>
        <v>-</v>
      </c>
      <c r="C98" s="165" t="str">
        <f>IFERROR(C79*365/C17,"-")</f>
        <v>-</v>
      </c>
      <c r="D98" s="165" t="str">
        <f>IFERROR(D79*365/D17,"-")</f>
        <v>-</v>
      </c>
      <c r="E98" s="165" t="str">
        <f>IFERROR(E79*365/E17,"-")</f>
        <v>-</v>
      </c>
      <c r="F98" s="78"/>
      <c r="G98" s="78"/>
    </row>
    <row r="99" spans="1:7">
      <c r="A99" s="76" t="s">
        <v>801</v>
      </c>
      <c r="B99" s="165" t="str">
        <f>IFERROR(B79/B23,"-")</f>
        <v>-</v>
      </c>
      <c r="C99" s="165" t="str">
        <f>IFERROR(C79/C23,"-")</f>
        <v>-</v>
      </c>
      <c r="D99" s="165" t="str">
        <f>IFERROR(D79/D23,"-")</f>
        <v>-</v>
      </c>
      <c r="E99" s="165" t="str">
        <f>IFERROR(E79/E23,"-")</f>
        <v>-</v>
      </c>
      <c r="F99" s="78"/>
      <c r="G99" s="78"/>
    </row>
    <row r="100" spans="1:7">
      <c r="A100" s="76" t="s">
        <v>802</v>
      </c>
      <c r="B100" s="165" t="str">
        <f>IFERROR(B77/B67,"-")</f>
        <v>-</v>
      </c>
      <c r="C100" s="165" t="str">
        <f>IFERROR(C77/C67,"-")</f>
        <v>-</v>
      </c>
      <c r="D100" s="165" t="str">
        <f>IFERROR(D77/D67,"-")</f>
        <v>-</v>
      </c>
      <c r="E100" s="165" t="str">
        <f>IFERROR(E77/E67,"-")</f>
        <v>-</v>
      </c>
      <c r="F100" s="78"/>
      <c r="G100" s="78"/>
    </row>
    <row r="101" spans="1:7">
      <c r="A101" s="76" t="s">
        <v>803</v>
      </c>
      <c r="B101" s="165" t="str">
        <f>IFERROR((B77-73)/(B63+B64),"-")</f>
        <v>-</v>
      </c>
      <c r="C101" s="165" t="str">
        <f>IFERROR((C77-73)/(C63+C64),"-")</f>
        <v>-</v>
      </c>
      <c r="D101" s="165" t="str">
        <f>IFERROR((D77-73)/(D63+D64),"-")</f>
        <v>-</v>
      </c>
      <c r="E101" s="165" t="str">
        <f>IFERROR((E77-73)/(E63+E64),"-")</f>
        <v>-</v>
      </c>
      <c r="F101" s="78"/>
      <c r="G101" s="78"/>
    </row>
    <row r="102" spans="1:7">
      <c r="A102" s="76" t="s">
        <v>804</v>
      </c>
      <c r="B102" s="165" t="str">
        <f>IFERROR(B60/B54,"-")</f>
        <v>-</v>
      </c>
      <c r="C102" s="165" t="str">
        <f>IFERROR(C60/C54,"-")</f>
        <v>-</v>
      </c>
      <c r="D102" s="165" t="str">
        <f>IFERROR(D60/D54,"-")</f>
        <v>-</v>
      </c>
      <c r="E102" s="165" t="str">
        <f>IFERROR(E60/E54,"-")</f>
        <v>-</v>
      </c>
      <c r="F102" s="78"/>
      <c r="G102" s="78"/>
    </row>
    <row r="103" spans="1:7">
      <c r="A103" s="76" t="s">
        <v>805</v>
      </c>
      <c r="B103" s="165" t="str">
        <f>IFERROR((B28+B33-B34)/B31,"-")</f>
        <v>-</v>
      </c>
      <c r="C103" s="165" t="str">
        <f>IFERROR((C28+C33-C34)/C31,"-")</f>
        <v>-</v>
      </c>
      <c r="D103" s="165" t="str">
        <f>IFERROR((D28+D33-D34)/D31,"-")</f>
        <v>-</v>
      </c>
      <c r="E103" s="165" t="str">
        <f>IFERROR((E28+E33-E34)/E31,"-")</f>
        <v>-</v>
      </c>
      <c r="F103" s="78"/>
      <c r="G103" s="78"/>
    </row>
    <row r="104" spans="1:7">
      <c r="A104" s="76" t="s">
        <v>806</v>
      </c>
      <c r="B104" s="165" t="str">
        <f>IFERROR((B28+B33-B34)/(B31+B57),"-")</f>
        <v>-</v>
      </c>
      <c r="C104" s="165" t="str">
        <f>IFERROR((C28+C33-C34)/(C31+C57),"-")</f>
        <v>-</v>
      </c>
      <c r="D104" s="165" t="str">
        <f>IFERROR((D28+D33-D34)/(D31+D57),"-")</f>
        <v>-</v>
      </c>
      <c r="E104" s="165" t="str">
        <f>IFERROR((E28+E33-E34)/(E31+E57),"-")</f>
        <v>-</v>
      </c>
      <c r="F104" s="78"/>
      <c r="G104" s="78"/>
    </row>
    <row r="105" spans="1:7">
      <c r="A105" s="76" t="s">
        <v>807</v>
      </c>
      <c r="B105" s="166" t="str">
        <f>IFERROR((B19-B23)/B15,"-")</f>
        <v>-</v>
      </c>
      <c r="C105" s="166" t="str">
        <f>IFERROR((C19-C23)/C15,"-")</f>
        <v>-</v>
      </c>
      <c r="D105" s="166" t="str">
        <f>IFERROR((D19-D23)/D15,"-")</f>
        <v>-</v>
      </c>
      <c r="E105" s="166" t="str">
        <f>IFERROR((E19-E23)/E15,"-")</f>
        <v>-</v>
      </c>
      <c r="F105" s="78"/>
      <c r="G105" s="78"/>
    </row>
    <row r="106" spans="1:7">
      <c r="A106" s="76" t="s">
        <v>808</v>
      </c>
      <c r="B106" s="166" t="str">
        <f>IFERROR(B37/B17,"-")</f>
        <v>-</v>
      </c>
      <c r="C106" s="166" t="str">
        <f>IFERROR(C37/C17,"-")</f>
        <v>-</v>
      </c>
      <c r="D106" s="166" t="str">
        <f>IFERROR(D37/D17,"-")</f>
        <v>-</v>
      </c>
      <c r="E106" s="166" t="str">
        <f>IFERROR(E37/E17,"-")</f>
        <v>-</v>
      </c>
      <c r="F106" s="78"/>
      <c r="G106" s="78"/>
    </row>
    <row r="107" spans="1:7">
      <c r="A107" s="76" t="s">
        <v>809</v>
      </c>
      <c r="B107" s="166" t="str">
        <f>IFERROR(B38/B17,"-")</f>
        <v>-</v>
      </c>
      <c r="C107" s="166" t="str">
        <f>IFERROR(C38/C17,"-")</f>
        <v>-</v>
      </c>
      <c r="D107" s="166" t="str">
        <f>IFERROR(D38/D17,"-")</f>
        <v>-</v>
      </c>
      <c r="E107" s="166" t="str">
        <f>IFERROR(E38/E17,"-")</f>
        <v>-</v>
      </c>
      <c r="F107" s="78"/>
      <c r="G107" s="78"/>
    </row>
    <row r="108" spans="1:7">
      <c r="A108" s="76" t="s">
        <v>810</v>
      </c>
      <c r="B108" s="166" t="str">
        <f>IFERROR((B17-C17)/C17,"-")</f>
        <v>-</v>
      </c>
      <c r="C108" s="166" t="str">
        <f>IFERROR((C17-D17)/D17,"-")</f>
        <v>-</v>
      </c>
      <c r="D108" s="166" t="str">
        <f>IFERROR((D17-E17)/E17,"-")</f>
        <v>-</v>
      </c>
      <c r="E108" s="166"/>
      <c r="F108" s="78"/>
      <c r="G108" s="78"/>
    </row>
    <row r="109" spans="1:7">
      <c r="A109" s="76" t="s">
        <v>811</v>
      </c>
      <c r="B109" s="166" t="str">
        <f>IFERROR((B37-C37)/C37,"-")</f>
        <v>-</v>
      </c>
      <c r="C109" s="166" t="str">
        <f>IFERROR((C37-D37)/D37,"-")</f>
        <v>-</v>
      </c>
      <c r="D109" s="166" t="str">
        <f>IFERROR((D37-E37)/E37,"-")</f>
        <v>-</v>
      </c>
      <c r="E109" s="166"/>
      <c r="F109" s="78"/>
      <c r="G109" s="78"/>
    </row>
    <row r="110" spans="1:7">
      <c r="A110" s="76" t="s">
        <v>812</v>
      </c>
      <c r="B110" s="165">
        <f>IFERROR(B37+B29,"-")</f>
        <v>0</v>
      </c>
      <c r="C110" s="165">
        <f>IFERROR(C37+C29,"-")</f>
        <v>0</v>
      </c>
      <c r="D110" s="165">
        <f>IFERROR(D37+D29,"-")</f>
        <v>0</v>
      </c>
      <c r="E110" s="165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7" t="s">
        <v>813</v>
      </c>
      <c r="B112" s="168" t="str">
        <f>B89</f>
        <v>Provisionals</v>
      </c>
      <c r="C112" s="168" t="str">
        <f t="shared" ref="C112:E112" si="46">C89</f>
        <v>31/03/2024</v>
      </c>
      <c r="D112" s="168" t="str">
        <f t="shared" si="46"/>
        <v>31/03/2023</v>
      </c>
      <c r="E112" s="168" t="str">
        <f t="shared" si="46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47">B40</f>
        <v>0</v>
      </c>
      <c r="C117" s="3">
        <f t="shared" si="47"/>
        <v>0</v>
      </c>
      <c r="D117" s="3">
        <f t="shared" si="47"/>
        <v>0</v>
      </c>
      <c r="E117" s="3"/>
    </row>
    <row r="118" spans="1:5">
      <c r="A118" s="3" t="s">
        <v>818</v>
      </c>
      <c r="B118" s="3">
        <f t="shared" si="47"/>
        <v>0</v>
      </c>
      <c r="C118" s="3">
        <f t="shared" si="47"/>
        <v>0</v>
      </c>
      <c r="D118" s="3">
        <f t="shared" si="47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9" t="s">
        <v>822</v>
      </c>
      <c r="B122" s="169">
        <f>SUM(B113:B121)</f>
        <v>0</v>
      </c>
      <c r="C122" s="169">
        <f>SUM(C113:C121)</f>
        <v>0</v>
      </c>
      <c r="D122" s="169">
        <f>SUM(D113:D121)</f>
        <v>0</v>
      </c>
      <c r="E122" s="169">
        <f>SUM(E113:E121)</f>
        <v>0</v>
      </c>
    </row>
    <row r="123" spans="1:5">
      <c r="A123" s="3" t="s">
        <v>823</v>
      </c>
      <c r="B123" s="170">
        <f>C80-B80</f>
        <v>0</v>
      </c>
      <c r="C123" s="170">
        <f>D80-C80</f>
        <v>0</v>
      </c>
      <c r="D123" s="170">
        <f>E80-D80</f>
        <v>0</v>
      </c>
      <c r="E123" s="170"/>
    </row>
    <row r="124" spans="1:5">
      <c r="A124" s="3" t="s">
        <v>783</v>
      </c>
      <c r="B124" s="170">
        <f>C79-B79</f>
        <v>0</v>
      </c>
      <c r="C124" s="170">
        <f>D79-C79</f>
        <v>0</v>
      </c>
      <c r="D124" s="170">
        <f>E79-D79</f>
        <v>0</v>
      </c>
      <c r="E124" s="170"/>
    </row>
    <row r="125" spans="1:5">
      <c r="A125" s="3" t="s">
        <v>788</v>
      </c>
      <c r="B125" s="170">
        <f>C84-B84</f>
        <v>0</v>
      </c>
      <c r="C125" s="170">
        <f>D84-C84</f>
        <v>0</v>
      </c>
      <c r="D125" s="170">
        <f>E84-D84</f>
        <v>0</v>
      </c>
      <c r="E125" s="170"/>
    </row>
    <row r="126" spans="1:5">
      <c r="A126" s="3" t="s">
        <v>824</v>
      </c>
      <c r="B126" s="170">
        <f>B67-C67</f>
        <v>0</v>
      </c>
      <c r="C126" s="170">
        <f>C67-D67</f>
        <v>0</v>
      </c>
      <c r="D126" s="170">
        <f>D67-E67</f>
        <v>0</v>
      </c>
      <c r="E126" s="170"/>
    </row>
    <row r="127" spans="1:5">
      <c r="A127" s="171" t="s">
        <v>39</v>
      </c>
      <c r="B127" s="171">
        <f>SUM(B123:B126)</f>
        <v>0</v>
      </c>
      <c r="C127" s="171">
        <f>SUM(C123:C126)</f>
        <v>0</v>
      </c>
      <c r="D127" s="171">
        <f>SUM(D123:D126)</f>
        <v>0</v>
      </c>
      <c r="E127" s="171"/>
    </row>
    <row r="128" spans="1:5">
      <c r="A128" s="169" t="s">
        <v>825</v>
      </c>
      <c r="B128" s="169">
        <f>B122+B127</f>
        <v>0</v>
      </c>
      <c r="C128" s="169">
        <f>C122+C127</f>
        <v>0</v>
      </c>
      <c r="D128" s="169">
        <f>D122+D127</f>
        <v>0</v>
      </c>
      <c r="E128" s="169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9" t="s">
        <v>827</v>
      </c>
      <c r="B130" s="169">
        <f>B128-B129</f>
        <v>0</v>
      </c>
      <c r="C130" s="169">
        <f>C128-C129</f>
        <v>0</v>
      </c>
      <c r="D130" s="169">
        <f>D128-D129</f>
        <v>0</v>
      </c>
      <c r="E130" s="169">
        <f>E128-E129</f>
        <v>0</v>
      </c>
    </row>
  </sheetData>
  <sheetProtection algorithmName="SHA-512" hashValue="ABAKKOSy0yzgY8Z2m04FBpDdEzarVk5TNCq+BPEhdpEUfLGYCoBiNSHVXAHgWO2icV88gNqnwzodvE77c8ioSQ==" saltValue="xG5BOd10/YVmOdmXwfP5Eg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106" priority="10" stopIfTrue="1" operator="lessThan">
      <formula>-0.2</formula>
    </cfRule>
    <cfRule type="cellIs" dxfId="105" priority="11" stopIfTrue="1" operator="lessThan">
      <formula>0</formula>
    </cfRule>
    <cfRule type="cellIs" dxfId="104" priority="12" stopIfTrue="1" operator="greaterThan">
      <formula>0.4</formula>
    </cfRule>
  </conditionalFormatting>
  <conditionalFormatting sqref="F33:G45 F57:G58 G87">
    <cfRule type="cellIs" dxfId="103" priority="43" stopIfTrue="1" operator="lessThan">
      <formula>-0.2</formula>
    </cfRule>
    <cfRule type="cellIs" dxfId="102" priority="44" stopIfTrue="1" operator="lessThan">
      <formula>0</formula>
    </cfRule>
    <cfRule type="cellIs" dxfId="101" priority="45" stopIfTrue="1" operator="greaterThan">
      <formula>0.4</formula>
    </cfRule>
  </conditionalFormatting>
  <conditionalFormatting sqref="F46:G57">
    <cfRule type="cellIs" dxfId="100" priority="4" stopIfTrue="1" operator="lessThan">
      <formula>-0.2</formula>
    </cfRule>
    <cfRule type="cellIs" dxfId="99" priority="5" stopIfTrue="1" operator="lessThan">
      <formula>0</formula>
    </cfRule>
    <cfRule type="cellIs" dxfId="98" priority="6" stopIfTrue="1" operator="greaterThan">
      <formula>0.4</formula>
    </cfRule>
  </conditionalFormatting>
  <conditionalFormatting sqref="F59:G86">
    <cfRule type="cellIs" dxfId="97" priority="1" stopIfTrue="1" operator="lessThan">
      <formula>-0.2</formula>
    </cfRule>
    <cfRule type="cellIs" dxfId="96" priority="2" stopIfTrue="1" operator="lessThan">
      <formula>0</formula>
    </cfRule>
    <cfRule type="cellIs" dxfId="95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1" t="s">
        <v>21</v>
      </c>
      <c r="C1" s="501"/>
      <c r="D1" s="501"/>
      <c r="E1" s="501"/>
      <c r="F1" s="501"/>
      <c r="G1" s="501"/>
    </row>
    <row r="2" spans="1:10">
      <c r="A2" s="45" t="s">
        <v>591</v>
      </c>
      <c r="B2" s="503">
        <v>30078</v>
      </c>
      <c r="C2" s="503"/>
      <c r="D2" s="503"/>
      <c r="E2" s="503"/>
      <c r="F2" s="503"/>
      <c r="G2" s="503"/>
    </row>
    <row r="3" spans="1:10">
      <c r="A3" s="45" t="s">
        <v>595</v>
      </c>
      <c r="B3" s="538" t="s">
        <v>17</v>
      </c>
      <c r="C3" s="538"/>
      <c r="D3" s="538"/>
      <c r="E3" s="538"/>
      <c r="F3" s="538"/>
      <c r="G3" s="538"/>
    </row>
    <row r="4" spans="1:10">
      <c r="A4" s="45" t="s">
        <v>597</v>
      </c>
      <c r="B4" s="538" t="s">
        <v>828</v>
      </c>
      <c r="C4" s="538"/>
      <c r="D4" s="538"/>
      <c r="E4" s="538"/>
      <c r="F4" s="538"/>
      <c r="G4" s="538"/>
    </row>
    <row r="5" spans="1:10">
      <c r="A5" s="45" t="s">
        <v>599</v>
      </c>
      <c r="B5" s="538" t="s">
        <v>829</v>
      </c>
      <c r="C5" s="538"/>
      <c r="D5" s="538"/>
      <c r="E5" s="538"/>
      <c r="F5" s="538"/>
      <c r="G5" s="538"/>
    </row>
    <row r="6" spans="1:10">
      <c r="A6" s="45" t="s">
        <v>601</v>
      </c>
      <c r="B6" s="538" t="s">
        <v>830</v>
      </c>
      <c r="C6" s="538"/>
      <c r="D6" s="538"/>
      <c r="E6" s="538"/>
      <c r="F6" s="538"/>
      <c r="G6" s="538"/>
    </row>
    <row r="7" spans="1:10" ht="25.5">
      <c r="A7" s="45" t="s">
        <v>603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831</v>
      </c>
      <c r="B8" s="538" t="s">
        <v>24</v>
      </c>
      <c r="C8" s="538"/>
      <c r="D8" s="538"/>
      <c r="E8" s="538"/>
      <c r="F8" s="538"/>
      <c r="G8" s="538"/>
    </row>
    <row r="9" spans="1:10">
      <c r="A9" s="45" t="s">
        <v>832</v>
      </c>
      <c r="B9" s="540">
        <v>1</v>
      </c>
      <c r="C9" s="540"/>
      <c r="D9" s="540"/>
      <c r="E9" s="540"/>
      <c r="F9" s="540"/>
      <c r="G9" s="540"/>
    </row>
    <row r="11" spans="1:10">
      <c r="A11" s="533" t="str">
        <f>CONCATENATE("Financial Details: ",B1)</f>
        <v>Financial Details: SANDHYA BHARTI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833</v>
      </c>
      <c r="C12" s="534"/>
      <c r="D12" s="534"/>
      <c r="E12" s="534"/>
      <c r="F12" s="1"/>
      <c r="G12" s="1"/>
    </row>
    <row r="13" spans="1:10" ht="38.25">
      <c r="A13" s="48" t="s">
        <v>717</v>
      </c>
      <c r="B13" s="150" t="s">
        <v>834</v>
      </c>
      <c r="C13" s="151" t="str">
        <f>IF($B$7&lt;&gt;"",CONCATENATE("FY ",$B$7-1,"-",$B$7-2000),"FY 2019-20")</f>
        <v>FY 2023-24</v>
      </c>
      <c r="D13" s="151" t="str">
        <f>IF($B$7&lt;&gt;"",CONCATENATE("FY ",$B$7-2,"-",$B$7-2001),"FY 2018-19")</f>
        <v>FY 2022-23</v>
      </c>
      <c r="E13" s="152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3" t="s">
        <v>720</v>
      </c>
      <c r="B14" s="535"/>
      <c r="C14" s="536"/>
      <c r="D14" s="536"/>
      <c r="E14" s="537"/>
      <c r="F14" s="154"/>
      <c r="G14" s="154"/>
      <c r="H14" s="1"/>
      <c r="I14" s="1"/>
      <c r="J14" s="1"/>
    </row>
    <row r="15" spans="1:10" ht="15">
      <c r="A15" s="155" t="s">
        <v>721</v>
      </c>
      <c r="B15" s="156"/>
      <c r="C15" s="157">
        <v>0</v>
      </c>
      <c r="D15" s="157">
        <v>0</v>
      </c>
      <c r="E15" s="157">
        <f>'CSV2'!H4+'CSV2'!O4+'CSV2'!Q4+SUM('CSV2'!EM4:EN4)+SUM('CSV2'!GE4:GG4)+'CSV2'!V4+'CSV2'!ED4+'CSV2'!N4+'CSV2'!EH4+'CSV2'!EO4+'CSV2'!I4+'CSV2'!P4+'CSV2'!R4+'CSV2'!GH4</f>
        <v>0</v>
      </c>
      <c r="F15" s="158" t="str">
        <f>IFERROR((C15-D15)/D15,"-")</f>
        <v>-</v>
      </c>
      <c r="G15" s="158" t="str">
        <f>IFERROR((D15-E15)/E15,"-")</f>
        <v>-</v>
      </c>
    </row>
    <row r="16" spans="1:10" ht="15">
      <c r="A16" s="159" t="s">
        <v>722</v>
      </c>
      <c r="B16" s="80"/>
      <c r="C16" s="160"/>
      <c r="D16" s="160"/>
      <c r="E16" s="160"/>
      <c r="F16" s="158" t="str">
        <f>IFERROR((C16-D16)/D16,"-")</f>
        <v>-</v>
      </c>
      <c r="G16" s="158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1" t="s">
        <v>724</v>
      </c>
      <c r="B18" s="162"/>
      <c r="C18" s="162">
        <f>'CSV2'!U6+'CSV2'!K6+'CSV2'!L6+'CSV2'!W6+'CSV2'!X6+'CSV2'!Z6+'CSV2'!AA6+'CSV2'!AB6+'CSV2'!J6</f>
        <v>0</v>
      </c>
      <c r="D18" s="162">
        <f>'CSV2'!U5+'CSV2'!K5+'CSV2'!L5+'CSV2'!W5+'CSV2'!X5+'CSV2'!Z5+'CSV2'!AA5+'CSV2'!AB5+'CSV2'!J5</f>
        <v>0</v>
      </c>
      <c r="E18" s="162">
        <f>'CSV2'!U4+'CSV2'!K4+'CSV2'!L4+'CSV2'!W4+'CSV2'!X4+'CSV2'!Z4+'CSV2'!AA4+'CSV2'!AB4+'CSV2'!J4</f>
        <v>0</v>
      </c>
      <c r="F18" s="163" t="str">
        <f t="shared" si="1"/>
        <v>-</v>
      </c>
      <c r="G18" s="163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3" t="s">
        <v>726</v>
      </c>
      <c r="B20" s="535"/>
      <c r="C20" s="536"/>
      <c r="D20" s="536"/>
      <c r="E20" s="537"/>
      <c r="F20" s="154"/>
      <c r="G20" s="154"/>
    </row>
    <row r="21" spans="1:7">
      <c r="A21" s="60" t="s">
        <v>727</v>
      </c>
      <c r="B21" s="55"/>
      <c r="C21" s="55">
        <v>0</v>
      </c>
      <c r="D21" s="55">
        <v>0</v>
      </c>
      <c r="E21" s="55">
        <f>'CSV2'!AK4+'CSV2'!AL4+'CSV2'!AM4+'CSV2'!AO4+'CSV2'!AP4+'CSV2'!AQ4+'CSV2'!AR4+'CSV2'!AS4+'CSV2'!AT4+'CSV2'!AU4+'CSV2'!AV4-('CSV2'!AF4+'CSV2'!AG4+'CSV2'!AH4)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SUM('CSV2'!AX6:AZ6)+'CSV2'!BC6+'CSV2'!ED6-'CSV2'!EE6+'CSV2'!EH6-'CSV2'!EI6+'CSV2'!FN6+'CSV2'!FO6+SUM('CSV2'!FS6:FW6)</f>
        <v>0</v>
      </c>
      <c r="D22" s="55">
        <f>SUM('CSV2'!AX5:AZ5)+'CSV2'!BC5+'CSV2'!ED5-'CSV2'!EE5+'CSV2'!EH5-'CSV2'!EI5</f>
        <v>0</v>
      </c>
      <c r="E22" s="55">
        <f>SUM('CSV2'!AX4:AZ4)+'CSV2'!BC4+'CSV2'!ED4-'CSV2'!EE4+'CSV2'!EH4-'CSV2'!EI4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3" t="s">
        <v>730</v>
      </c>
      <c r="B24" s="535"/>
      <c r="C24" s="536"/>
      <c r="D24" s="536"/>
      <c r="E24" s="537"/>
      <c r="F24" s="154"/>
      <c r="G24" s="154"/>
    </row>
    <row r="25" spans="1:7">
      <c r="A25" s="60" t="s">
        <v>731</v>
      </c>
      <c r="B25" s="55"/>
      <c r="C25" s="55">
        <v>0</v>
      </c>
      <c r="D25" s="55">
        <v>0</v>
      </c>
      <c r="E25" s="55">
        <f>SUM('CSV2'!BD4:BM4)+'CSV2'!BV4+SUM('CSV2'!BA4:BB4)+'CSV2'!BQ4+'CSV2'!BR4+'CSV2'!BS4+'CSV2'!BT4+SUM('CSV2'!BW4:BY4)+SUM('CSV2'!CH4:CI4)+SUM('CSV2'!CK4:CU4)+'CSV2'!DB4+'CSV2'!DD4+'CSV2'!DJ4+'CSV2'!EF4+'CSV2'!EJ4+SUM('CSV2'!EM4:EO4)-'CSV2'!EP4+SUM('CSV2'!BZ4:CA4)+SUM('CSV2'!CB4,'CSV2'!CC4,'CSV2'!CE4,'CSV2'!CF4)+SUM('CSV2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SUM('CSV2'!DE6:DG6)+'CSV2'!DI6</f>
        <v>0</v>
      </c>
      <c r="D26" s="55">
        <f>SUM('CSV2'!DE5:DG5)+'CSV2'!DI5</f>
        <v>0</v>
      </c>
      <c r="E26" s="55">
        <f>SUM('CSV2'!DE4:DG4)+'CSV2'!DI4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v>0</v>
      </c>
      <c r="D29" s="55">
        <v>0</v>
      </c>
      <c r="E29" s="55">
        <f>'CSV2'!DQ4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'CSV2'!DM6+'CSV2'!DO6</f>
        <v>0</v>
      </c>
      <c r="D31" s="55">
        <f>'CSV2'!DM5+'CSV2'!DO5</f>
        <v>0</v>
      </c>
      <c r="E31" s="55">
        <f>'CSV2'!DM4+'CSV2'!DO4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'CSV2'!Y6+'CSV2'!AC6+'CSV2'!AD6</f>
        <v>0</v>
      </c>
      <c r="D33" s="55">
        <f>'CSV2'!Y5+'CSV2'!AC5+'CSV2'!AD5</f>
        <v>0</v>
      </c>
      <c r="E33" s="55">
        <f>'CSV2'!Y4+'CSV2'!AC4+'CSV2'!AD4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SUM('CSV2'!DS6:DT6)</f>
        <v>0</v>
      </c>
      <c r="D36" s="55">
        <f>SUM('CSV2'!DS5:DT5)</f>
        <v>0</v>
      </c>
      <c r="E36" s="55">
        <f>SUM('CSV2'!DS4:DT4)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SUM('CSV2'!DY6:DZ6)</f>
        <v>0</v>
      </c>
      <c r="D39" s="55">
        <f>SUM('CSV2'!DY5:DZ5)</f>
        <v>0</v>
      </c>
      <c r="E39" s="55">
        <f>SUM('CSV2'!DY4:DZ4)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'CSV2'!DC6</f>
        <v>0</v>
      </c>
      <c r="D40" s="55">
        <f>'CSV2'!DC5</f>
        <v>0</v>
      </c>
      <c r="E40" s="55">
        <f>'CSV2'!DC4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'CSV2'!DL6+'CSV2'!DN6</f>
        <v>0</v>
      </c>
      <c r="D41" s="55">
        <f>'CSV2'!DL5+'CSV2'!DN5</f>
        <v>0</v>
      </c>
      <c r="E41" s="55">
        <f>'CSV2'!DL4+'CSV2'!DN4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'CSV2'!DX6</f>
        <v>0</v>
      </c>
      <c r="D42" s="55">
        <f>'CSV2'!DX5</f>
        <v>0</v>
      </c>
      <c r="E42" s="55">
        <f>'CSV2'!DX4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833</v>
      </c>
      <c r="C44" s="534"/>
      <c r="D44" s="534"/>
      <c r="E44" s="534"/>
      <c r="F44" s="64"/>
      <c r="G44" s="64"/>
    </row>
    <row r="45" spans="1:10" ht="38.25">
      <c r="A45" s="48" t="s">
        <v>750</v>
      </c>
      <c r="B45" s="344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3" t="s">
        <v>751</v>
      </c>
      <c r="B46" s="535"/>
      <c r="C46" s="536"/>
      <c r="D46" s="536"/>
      <c r="E46" s="537"/>
      <c r="F46" s="154"/>
      <c r="G46" s="154"/>
      <c r="H46" s="1"/>
      <c r="I46" s="1"/>
      <c r="J46" s="1"/>
    </row>
    <row r="47" spans="1:10">
      <c r="A47" s="60" t="s">
        <v>752</v>
      </c>
      <c r="B47" s="54"/>
      <c r="C47" s="55">
        <v>0</v>
      </c>
      <c r="D47" s="55">
        <v>0</v>
      </c>
      <c r="E47" s="55">
        <f>'CSV2'!I23+'CSV2'!J23+'CSV2'!H17+'CSV2'!H11+'CSV2'!H34+SUM('CSV2'!O34:U34)-SUM('CSV2'!H34:M34)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'CSV2'!AK25+'CSV2'!BC25+'CSV2'!AC19+'CSV2'!AC31+'CSV2'!AD31+'CSV2'!AF31+'CSV2'!AG31+'CSV2'!AO31+SUM('CSV2'!AV31:AX31)+'CSV2'!BM31-('CSV2'!DB25+'CSV2'!EP25+'CSV2'!DG31)</f>
        <v>0</v>
      </c>
      <c r="D48" s="55">
        <f>'CSV2'!AK24+'CSV2'!BC24+'CSV2'!AC18-('CSV2'!DB24+'CSV2'!EP24)</f>
        <v>0</v>
      </c>
      <c r="E48" s="55">
        <f>'CSV2'!AK23+'CSV2'!BC23+'CSV2'!AC17-('CSV2'!DB23+'CSV2'!EP23)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SUM('CSV2'!I13:L13)-'CSV2'!BQ13+SUM('CSV2'!I19:M19)-'CSV2'!CU19+SUM('CSV2'!L25:S25)+'CSV2'!U25+SUM('CSV2'!W25:X25)+SUM('CSV2'!L31:O31)+'CSV2'!Q31</f>
        <v>0</v>
      </c>
      <c r="D49" s="55">
        <f>SUM('CSV2'!I12:L12)-'CSV2'!BQ12+SUM('CSV2'!I18:M18)-'CSV2'!CU18+SUM('CSV2'!L24:S24)+'CSV2'!U24+SUM('CSV2'!W24:X24)</f>
        <v>0</v>
      </c>
      <c r="E49" s="55">
        <f>SUM('CSV2'!I11:L11)-'CSV2'!BQ11+SUM('CSV2'!I17:M17)-'CSV2'!CU17+SUM('CSV2'!L23:S23)+'CSV2'!U23+SUM('CSV2'!W23:X23)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'CSV2'!CS19+'CSV2'!BO13</f>
        <v>0</v>
      </c>
      <c r="D53" s="55">
        <f>'CSV2'!CS18+'CSV2'!BO12</f>
        <v>0</v>
      </c>
      <c r="E53" s="55">
        <f>'CSV2'!CS17+'CSV2'!BO11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3" t="s">
        <v>760</v>
      </c>
      <c r="B55" s="535"/>
      <c r="C55" s="536"/>
      <c r="D55" s="536"/>
      <c r="E55" s="537"/>
      <c r="F55" s="154"/>
      <c r="G55" s="154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v>0</v>
      </c>
      <c r="D57" s="55">
        <v>0</v>
      </c>
      <c r="E57" s="55">
        <f>'CSV2'!AL23+'CSV2'!BD23+SUM('CSV2'!U17:X17)+SUM('CSV2'!T11:U11)+'CSV2'!J34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SUM('CSV2'!Z25:AA25)+SUM('CSV2'!AC25:AE25)+SUM('CSV2'!P19:R19)+SUM('CSV2'!O13:Q13)+'CSV2'!I36+SUM('CSV2'!T31:U31)+SUM('CSV2'!W31:Y31)</f>
        <v>0</v>
      </c>
      <c r="D58" s="55">
        <f>SUM('CSV2'!Z24:AA24)+SUM('CSV2'!AC24:AE24)+SUM('CSV2'!P18:R18)+SUM('CSV2'!O12:Q12)+'CSV2'!I35</f>
        <v>0</v>
      </c>
      <c r="E58" s="55">
        <f>SUM('CSV2'!Z23:AA23)+SUM('CSV2'!AC23:AE23)+SUM('CSV2'!P17:R17)+SUM('CSV2'!O11:Q11)+'CSV2'!I34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>
        <v>0</v>
      </c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3" t="s">
        <v>766</v>
      </c>
      <c r="B61" s="535"/>
      <c r="C61" s="536"/>
      <c r="D61" s="536"/>
      <c r="E61" s="537"/>
      <c r="F61" s="154"/>
      <c r="G61" s="154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'CSV2'!AP25+SUM('CSV2'!BG25:BH25)+SUM('CSV2'!CD19:CE19)+'CSV2'!BC13+'CSV2'!BU13+'CSV2'!L36+'CSV2'!AI31+'CSV2'!AZ31+'CSV2'!AQ25+'CSV2'!BN25+'CSV2'!AD19+'CSV2'!CJ19+'CSV2'!AJ31+'CSV2'!BL31</f>
        <v>0</v>
      </c>
      <c r="D63" s="55">
        <f>'CSV2'!AP24+SUM('CSV2'!BG24:BH24)+SUM('CSV2'!CD18:CE18)+'CSV2'!BC12+'CSV2'!BU12+'CSV2'!L35+'CSV2'!AQ24+'CSV2'!BN24+'CSV2'!AD18+'CSV2'!CJ18</f>
        <v>0</v>
      </c>
      <c r="E63" s="55">
        <f>'CSV2'!AP23+SUM('CSV2'!BG23:BH23)+SUM('CSV2'!CD17:CE17)+'CSV2'!BC11+'CSV2'!BU11+'CSV2'!L34+'CSV2'!AQ23+'CSV2'!BN23+'CSV2'!AD17+'CSV2'!CJ17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'CSV2'!AW25+'CSV2'!AS31</f>
        <v>0</v>
      </c>
      <c r="D64" s="55">
        <f>'CSV2'!AW24</f>
        <v>0</v>
      </c>
      <c r="E64" s="55">
        <f>'CSV2'!AW23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2'!AS25:AT25)+SUM('CSV2'!BK25:BM25)+SUM('CSV2'!BU25:BY25)+SUM('CSV2'!CH19:CI19)+SUM('CSV2'!CM19:CO19)+SUM('CSV2'!BE13:BF13)+SUM('CSV2'!BH13:BK13)+SUM('CSV2'!AK31:AL31)+SUM('CSV2'!BB31:BC31)+SUM('CSV2'!BP31:BQ31)+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65" s="55">
        <f>SUM('CSV2'!AS24:AT24)+SUM('CSV2'!BK24:BM24)+SUM('CSV2'!BU24:BY24)+SUM('CSV2'!CH18:CI18)+SUM('CSV2'!CM18:CO18)+SUM('CSV2'!BE12:BF12)+SUM('CSV2'!BH12:BK12)+SUM('CSV2'!AI24:AJ24)+'CSV2'!AM24+'CSV2'!BB24+'CSV2'!BE24+'CSV2'!BJ24+'CSV2'!BO24+'CSV2'!BP24+'CSV2'!BQ24+'CSV2'!BR24+'CSV2'!BS24+'CSV2'!CG18+'CSV2'!CK18+'CSV2'!BD12+'CSV2'!K35+'CSV2'!M35</f>
        <v>0</v>
      </c>
      <c r="E65" s="55">
        <f>SUM('CSV2'!AS23:AT23)+SUM('CSV2'!BK23:BM23)+SUM('CSV2'!BU23:BY23)+SUM('CSV2'!CH17:CI17)+SUM('CSV2'!CM17:CO17)+SUM('CSV2'!BE11:BF11)+SUM('CSV2'!BH11:BK11)+SUM('CSV2'!AI23:AJ23)+'CSV2'!AM23+'CSV2'!BB23+'CSV2'!BE23+'CSV2'!BJ23+'CSV2'!BO23+'CSV2'!BP23+'CSV2'!BQ23+'CSV2'!BR23+'CSV2'!BS23+'CSV2'!CG17+'CSV2'!CK17+'CSV2'!BD11+'CSV2'!K34+'CSV2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SUM('CSV2'!AX25:AZ25)+'CSV2'!AT31</f>
        <v>0</v>
      </c>
      <c r="D66" s="55">
        <f>SUM('CSV2'!AX24:AZ24)</f>
        <v>0</v>
      </c>
      <c r="E66" s="55">
        <f>SUM('CSV2'!AX23:AZ23)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6">
        <f>B54+B68</f>
        <v>0</v>
      </c>
      <c r="C69" s="116">
        <f t="shared" ref="C69:E69" si="20">C54+C68</f>
        <v>0</v>
      </c>
      <c r="D69" s="116">
        <f t="shared" si="20"/>
        <v>0</v>
      </c>
      <c r="E69" s="116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v>0</v>
      </c>
      <c r="D73" s="55">
        <v>0</v>
      </c>
      <c r="E73" s="55">
        <f>'CSV2'!CF23+'CSV2'!CJ23+'CSV2'!AI17+'CSV2'!AB11+SUM('CSV2'!CK23:CL23)+'CSV2'!AC11+'CSV2'!AJ17+'CSV2'!O34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v>0</v>
      </c>
      <c r="D76" s="55">
        <v>0</v>
      </c>
      <c r="E76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-'CSV2'!AH25-'CSV2'!AO25+'CSV2'!CY25-'CSV2'!AB19+'CSV2'!CT19-'CSV2'!X13+'CSV2'!BP13-'CSV2'!AB31-'CSV2'!AN31+'CSV2'!DP31</f>
        <v>0</v>
      </c>
      <c r="D78" s="55">
        <f>-'CSV2'!AH24-'CSV2'!AO24+'CSV2'!CY24-'CSV2'!AB18+'CSV2'!CT18-'CSV2'!X12+'CSV2'!BP12</f>
        <v>0</v>
      </c>
      <c r="E78" s="55">
        <f>-'CSV2'!AH23-'CSV2'!AO23+'CSV2'!CY23-'CSV2'!AB17+'CSV2'!CT17-'CSV2'!X11+'CSV2'!BP11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5" t="s">
        <v>783</v>
      </c>
      <c r="B79" s="54"/>
      <c r="C79" s="55">
        <v>0</v>
      </c>
      <c r="D79" s="55">
        <v>0</v>
      </c>
      <c r="E79" s="55">
        <f>'CSV2'!DZ23+'CSV2'!BF17+'CSV2'!AN11+SUM('CSV2'!ED23:EE23)+SUM('CSV2'!BJ17:BK17)+'CSV2'!AM11+'CSV2'!EA23+'CSV2'!BG17+'CSV2'!AO11+SUM('CSV2'!EB23:EC23)+'CSV2'!EF23+SUM('CSV2'!BH17:BI17)+'CSV2'!BL17+'CSV2'!AP11+'CSV2'!P34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5" t="s">
        <v>785</v>
      </c>
      <c r="B81" s="54"/>
      <c r="C81" s="55">
        <v>0</v>
      </c>
      <c r="D81" s="55">
        <v>0</v>
      </c>
      <c r="E81" s="55">
        <f>'CSV2'!DJ23+'CSV2'!DL23+'CSV2'!EH23+'CSV2'!BN17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5" t="s">
        <v>786</v>
      </c>
      <c r="B82" s="54"/>
      <c r="C82" s="55">
        <v>0</v>
      </c>
      <c r="D82" s="55">
        <v>0</v>
      </c>
      <c r="E82" s="55">
        <f>SUM('CSV2'!DH23:DI23)+'CSV2'!EI23+'CSV2'!BO17+'CSV2'!AR11+'CSV2'!Q34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v>0</v>
      </c>
      <c r="D83" s="55">
        <v>0</v>
      </c>
      <c r="E83" s="55">
        <f>SUM('CSV2'!EK23:EN23)+SUM('CSV2'!BQ17:BS17)+SUM('CSV2'!AS11:AT11)+'CSV2'!BW11+'CSV2'!S34+'CSV2'!R34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v>0</v>
      </c>
      <c r="D85" s="55"/>
      <c r="E85" s="55">
        <f>'CSV2'!CZ23+'CSV2'!DC23+'CSV2'!EQ23+'CSV2'!EV23+'CSV2'!BU17+'CSV2'!BW17+'CSV2'!AV11+'CSV2'!AX11+'CSV2'!T34+'CSV2'!U34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'CSV2'!BY19+'CSV2'!AZ13</f>
        <v>0</v>
      </c>
      <c r="D86" s="55">
        <f>'CSV2'!BY18+'CSV2'!AZ12</f>
        <v>0</v>
      </c>
      <c r="E86" s="55">
        <f>'CSV2'!BY17+'CSV2'!AZ11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4" t="str">
        <f>IFERROR(B68/B54,"-")</f>
        <v>-</v>
      </c>
      <c r="C90" s="164" t="str">
        <f>IFERROR(C68/C54,"-")</f>
        <v>-</v>
      </c>
      <c r="D90" s="164" t="str">
        <f>IFERROR(D68/D54,"-")</f>
        <v>-</v>
      </c>
      <c r="E90" s="164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4" t="str">
        <f>IFERROR(B28/B31,"-")</f>
        <v>-</v>
      </c>
      <c r="C93" s="164" t="str">
        <f>IFERROR(C28/C31,"-")</f>
        <v>-</v>
      </c>
      <c r="D93" s="164" t="str">
        <f>IFERROR(D28/D31,"-")</f>
        <v>-</v>
      </c>
      <c r="E93" s="164" t="str">
        <f>IFERROR(E28/E31,"-")</f>
        <v>-</v>
      </c>
      <c r="F93" s="78"/>
      <c r="G93" s="78"/>
    </row>
    <row r="94" spans="1:7">
      <c r="A94" s="76" t="s">
        <v>796</v>
      </c>
      <c r="B94" s="165" t="str">
        <f>IFERROR(B17/B73,"-")</f>
        <v>-</v>
      </c>
      <c r="C94" s="165" t="str">
        <f>IFERROR(C17/C73,"-")</f>
        <v>-</v>
      </c>
      <c r="D94" s="165" t="str">
        <f>IFERROR(D17/D73,"-")</f>
        <v>-</v>
      </c>
      <c r="E94" s="165" t="str">
        <f>IFERROR(E17/E73,"-")</f>
        <v>-</v>
      </c>
      <c r="F94" s="78"/>
      <c r="G94" s="78"/>
    </row>
    <row r="95" spans="1:7">
      <c r="A95" s="76" t="s">
        <v>797</v>
      </c>
      <c r="B95" s="165" t="str">
        <f>IFERROR(B63/B23*365,"-")</f>
        <v>-</v>
      </c>
      <c r="C95" s="165" t="str">
        <f>IFERROR(C63/C23*365,"-")</f>
        <v>-</v>
      </c>
      <c r="D95" s="165" t="str">
        <f>IFERROR(D63/D23*365,"-")</f>
        <v>-</v>
      </c>
      <c r="E95" s="165" t="str">
        <f>IFERROR(E63/E23*365,"-")</f>
        <v>-</v>
      </c>
      <c r="F95" s="78"/>
      <c r="G95" s="78"/>
    </row>
    <row r="96" spans="1:7">
      <c r="A96" s="76" t="s">
        <v>798</v>
      </c>
      <c r="B96" s="165">
        <f>IFERROR(B77-B67+B57,"-")</f>
        <v>0</v>
      </c>
      <c r="C96" s="165">
        <f>IFERROR(C77-C67+C57,"-")</f>
        <v>0</v>
      </c>
      <c r="D96" s="165">
        <f>IFERROR(D77-D67+D57,"-")</f>
        <v>0</v>
      </c>
      <c r="E96" s="165">
        <f>IFERROR(E77-E67+E57,"-")</f>
        <v>0</v>
      </c>
      <c r="F96" s="78"/>
      <c r="G96" s="78"/>
    </row>
    <row r="97" spans="1:7">
      <c r="A97" s="76" t="s">
        <v>799</v>
      </c>
      <c r="B97" s="165" t="str">
        <f>IFERROR(B80/B15*365,"-")</f>
        <v>-</v>
      </c>
      <c r="C97" s="165" t="str">
        <f>IFERROR(C80/C15*365,"-")</f>
        <v>-</v>
      </c>
      <c r="D97" s="165" t="str">
        <f>IFERROR(D80/D15*365,"-")</f>
        <v>-</v>
      </c>
      <c r="E97" s="165" t="str">
        <f>IFERROR(E80/E15*365,"-")</f>
        <v>-</v>
      </c>
      <c r="F97" s="78"/>
      <c r="G97" s="78"/>
    </row>
    <row r="98" spans="1:7">
      <c r="A98" s="76" t="s">
        <v>800</v>
      </c>
      <c r="B98" s="165" t="str">
        <f>IFERROR(B79*365/B17,"-")</f>
        <v>-</v>
      </c>
      <c r="C98" s="165" t="str">
        <f>IFERROR(C79*365/C17,"-")</f>
        <v>-</v>
      </c>
      <c r="D98" s="165" t="str">
        <f>IFERROR(D79*365/D17,"-")</f>
        <v>-</v>
      </c>
      <c r="E98" s="165" t="str">
        <f>IFERROR(E79*365/E17,"-")</f>
        <v>-</v>
      </c>
      <c r="F98" s="78"/>
      <c r="G98" s="78"/>
    </row>
    <row r="99" spans="1:7">
      <c r="A99" s="76" t="s">
        <v>801</v>
      </c>
      <c r="B99" s="165" t="str">
        <f>IFERROR(B79/B23,"-")</f>
        <v>-</v>
      </c>
      <c r="C99" s="165" t="str">
        <f>IFERROR(C79/C23,"-")</f>
        <v>-</v>
      </c>
      <c r="D99" s="165" t="str">
        <f>IFERROR(D79/D23,"-")</f>
        <v>-</v>
      </c>
      <c r="E99" s="165" t="str">
        <f>IFERROR(E79/E23,"-")</f>
        <v>-</v>
      </c>
      <c r="F99" s="78"/>
      <c r="G99" s="78"/>
    </row>
    <row r="100" spans="1:7">
      <c r="A100" s="76" t="s">
        <v>802</v>
      </c>
      <c r="B100" s="165" t="str">
        <f>IFERROR(B77/B67,"-")</f>
        <v>-</v>
      </c>
      <c r="C100" s="165" t="str">
        <f>IFERROR(C77/C67,"-")</f>
        <v>-</v>
      </c>
      <c r="D100" s="165" t="str">
        <f>IFERROR(D77/D67,"-")</f>
        <v>-</v>
      </c>
      <c r="E100" s="165" t="str">
        <f>IFERROR(E77/E67,"-")</f>
        <v>-</v>
      </c>
      <c r="F100" s="78"/>
      <c r="G100" s="78"/>
    </row>
    <row r="101" spans="1:7">
      <c r="A101" s="76" t="s">
        <v>803</v>
      </c>
      <c r="B101" s="165" t="str">
        <f>IFERROR((B77-73)/(B63+B64),"-")</f>
        <v>-</v>
      </c>
      <c r="C101" s="165" t="str">
        <f>IFERROR((C77-73)/(C63+C64),"-")</f>
        <v>-</v>
      </c>
      <c r="D101" s="165" t="str">
        <f>IFERROR((D77-73)/(D63+D64),"-")</f>
        <v>-</v>
      </c>
      <c r="E101" s="165" t="str">
        <f>IFERROR((E77-73)/(E63+E64),"-")</f>
        <v>-</v>
      </c>
      <c r="F101" s="78"/>
      <c r="G101" s="78"/>
    </row>
    <row r="102" spans="1:7">
      <c r="A102" s="76" t="s">
        <v>804</v>
      </c>
      <c r="B102" s="165" t="str">
        <f>IFERROR(B60/B54,"-")</f>
        <v>-</v>
      </c>
      <c r="C102" s="165" t="str">
        <f>IFERROR(C60/C54,"-")</f>
        <v>-</v>
      </c>
      <c r="D102" s="165" t="str">
        <f>IFERROR(D60/D54,"-")</f>
        <v>-</v>
      </c>
      <c r="E102" s="165" t="str">
        <f>IFERROR(E60/E54,"-")</f>
        <v>-</v>
      </c>
      <c r="F102" s="78"/>
      <c r="G102" s="78"/>
    </row>
    <row r="103" spans="1:7">
      <c r="A103" s="76" t="s">
        <v>805</v>
      </c>
      <c r="B103" s="165" t="str">
        <f>IFERROR((B28+B33-B34)/B31,"-")</f>
        <v>-</v>
      </c>
      <c r="C103" s="165" t="str">
        <f>IFERROR((C28+C33-C34)/C31,"-")</f>
        <v>-</v>
      </c>
      <c r="D103" s="165" t="str">
        <f>IFERROR((D28+D33-D34)/D31,"-")</f>
        <v>-</v>
      </c>
      <c r="E103" s="165" t="str">
        <f>IFERROR((E28+E33-E34)/E31,"-")</f>
        <v>-</v>
      </c>
      <c r="F103" s="78"/>
      <c r="G103" s="78"/>
    </row>
    <row r="104" spans="1:7">
      <c r="A104" s="76" t="s">
        <v>806</v>
      </c>
      <c r="B104" s="165" t="str">
        <f>IFERROR((B28+B33-B34)/(B31+B57),"-")</f>
        <v>-</v>
      </c>
      <c r="C104" s="165" t="str">
        <f>IFERROR((C28+C33-C34)/(C31+C57),"-")</f>
        <v>-</v>
      </c>
      <c r="D104" s="165" t="str">
        <f>IFERROR((D28+D33-D34)/(D31+D57),"-")</f>
        <v>-</v>
      </c>
      <c r="E104" s="165" t="str">
        <f>IFERROR((E28+E33-E34)/(E31+E57),"-")</f>
        <v>-</v>
      </c>
      <c r="F104" s="78"/>
      <c r="G104" s="78"/>
    </row>
    <row r="105" spans="1:7">
      <c r="A105" s="76" t="s">
        <v>807</v>
      </c>
      <c r="B105" s="166" t="str">
        <f>IFERROR((B19-B23)/B15,"-")</f>
        <v>-</v>
      </c>
      <c r="C105" s="166" t="str">
        <f>IFERROR((C19-C23)/C15,"-")</f>
        <v>-</v>
      </c>
      <c r="D105" s="166" t="str">
        <f>IFERROR((D19-D23)/D15,"-")</f>
        <v>-</v>
      </c>
      <c r="E105" s="166" t="str">
        <f>IFERROR((E19-E23)/E15,"-")</f>
        <v>-</v>
      </c>
      <c r="F105" s="78"/>
      <c r="G105" s="78"/>
    </row>
    <row r="106" spans="1:7">
      <c r="A106" s="76" t="s">
        <v>808</v>
      </c>
      <c r="B106" s="166" t="str">
        <f>IFERROR(B37/B17,"-")</f>
        <v>-</v>
      </c>
      <c r="C106" s="166" t="str">
        <f>IFERROR(C37/C17,"-")</f>
        <v>-</v>
      </c>
      <c r="D106" s="166" t="str">
        <f>IFERROR(D37/D17,"-")</f>
        <v>-</v>
      </c>
      <c r="E106" s="166" t="str">
        <f>IFERROR(E37/E17,"-")</f>
        <v>-</v>
      </c>
      <c r="F106" s="78"/>
      <c r="G106" s="78"/>
    </row>
    <row r="107" spans="1:7">
      <c r="A107" s="76" t="s">
        <v>809</v>
      </c>
      <c r="B107" s="166" t="str">
        <f>IFERROR(B38/B17,"-")</f>
        <v>-</v>
      </c>
      <c r="C107" s="166" t="str">
        <f>IFERROR(C38/C17,"-")</f>
        <v>-</v>
      </c>
      <c r="D107" s="166" t="str">
        <f>IFERROR(D38/D17,"-")</f>
        <v>-</v>
      </c>
      <c r="E107" s="166" t="str">
        <f>IFERROR(E38/E17,"-")</f>
        <v>-</v>
      </c>
      <c r="F107" s="78"/>
      <c r="G107" s="78"/>
    </row>
    <row r="108" spans="1:7">
      <c r="A108" s="76" t="s">
        <v>810</v>
      </c>
      <c r="B108" s="166" t="str">
        <f>IFERROR((B17-C17)/C17,"-")</f>
        <v>-</v>
      </c>
      <c r="C108" s="166" t="str">
        <f>IFERROR((C17-D17)/D17,"-")</f>
        <v>-</v>
      </c>
      <c r="D108" s="166" t="str">
        <f>IFERROR((D17-E17)/E17,"-")</f>
        <v>-</v>
      </c>
      <c r="E108" s="166"/>
      <c r="F108" s="78"/>
      <c r="G108" s="78"/>
    </row>
    <row r="109" spans="1:7">
      <c r="A109" s="76" t="s">
        <v>811</v>
      </c>
      <c r="B109" s="166" t="str">
        <f>IFERROR((B37-C37)/C37,"-")</f>
        <v>-</v>
      </c>
      <c r="C109" s="166" t="str">
        <f>IFERROR((C37-D37)/D37,"-")</f>
        <v>-</v>
      </c>
      <c r="D109" s="166" t="str">
        <f>IFERROR((D37-E37)/E37,"-")</f>
        <v>-</v>
      </c>
      <c r="E109" s="166"/>
      <c r="F109" s="78"/>
      <c r="G109" s="78"/>
    </row>
    <row r="110" spans="1:7">
      <c r="A110" s="76" t="s">
        <v>812</v>
      </c>
      <c r="B110" s="165">
        <f>IFERROR(B37+B29,"-")</f>
        <v>0</v>
      </c>
      <c r="C110" s="165">
        <f>IFERROR(C37+C29,"-")</f>
        <v>0</v>
      </c>
      <c r="D110" s="165">
        <f>IFERROR(D37+D29,"-")</f>
        <v>0</v>
      </c>
      <c r="E110" s="165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7" t="s">
        <v>813</v>
      </c>
      <c r="B112" s="168" t="str">
        <f>B89</f>
        <v>Provisionals</v>
      </c>
      <c r="C112" s="168" t="str">
        <f t="shared" ref="C112:E112" si="27">C89</f>
        <v>31/03/2024</v>
      </c>
      <c r="D112" s="168" t="str">
        <f t="shared" si="27"/>
        <v>31/03/2023</v>
      </c>
      <c r="E112" s="168" t="str">
        <f t="shared" si="27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9" t="s">
        <v>822</v>
      </c>
      <c r="B122" s="169">
        <f>SUM(B113:B121)</f>
        <v>0</v>
      </c>
      <c r="C122" s="169">
        <f>SUM(C113:C121)</f>
        <v>0</v>
      </c>
      <c r="D122" s="169">
        <f>SUM(D113:D121)</f>
        <v>0</v>
      </c>
      <c r="E122" s="169">
        <f>SUM(E113:E121)</f>
        <v>0</v>
      </c>
    </row>
    <row r="123" spans="1:5">
      <c r="A123" s="3" t="s">
        <v>823</v>
      </c>
      <c r="B123" s="170">
        <f>C80-B80</f>
        <v>0</v>
      </c>
      <c r="C123" s="170">
        <f>D80-C80</f>
        <v>0</v>
      </c>
      <c r="D123" s="170">
        <f>E80-D80</f>
        <v>0</v>
      </c>
      <c r="E123" s="170"/>
    </row>
    <row r="124" spans="1:5">
      <c r="A124" s="3" t="s">
        <v>783</v>
      </c>
      <c r="B124" s="170">
        <f>C79-B79</f>
        <v>0</v>
      </c>
      <c r="C124" s="170">
        <f>D79-C79</f>
        <v>0</v>
      </c>
      <c r="D124" s="170">
        <f>E79-D79</f>
        <v>0</v>
      </c>
      <c r="E124" s="170"/>
    </row>
    <row r="125" spans="1:5">
      <c r="A125" s="3" t="s">
        <v>788</v>
      </c>
      <c r="B125" s="170">
        <f>C84-B84</f>
        <v>0</v>
      </c>
      <c r="C125" s="170">
        <f>D84-C84</f>
        <v>0</v>
      </c>
      <c r="D125" s="170">
        <f>E84-D84</f>
        <v>0</v>
      </c>
      <c r="E125" s="170"/>
    </row>
    <row r="126" spans="1:5">
      <c r="A126" s="3" t="s">
        <v>824</v>
      </c>
      <c r="B126" s="170">
        <f>B67-C67</f>
        <v>0</v>
      </c>
      <c r="C126" s="170">
        <f>C67-D67</f>
        <v>0</v>
      </c>
      <c r="D126" s="170">
        <f>D67-E67</f>
        <v>0</v>
      </c>
      <c r="E126" s="170"/>
    </row>
    <row r="127" spans="1:5">
      <c r="A127" s="171" t="s">
        <v>39</v>
      </c>
      <c r="B127" s="171">
        <f>SUM(B123:B126)</f>
        <v>0</v>
      </c>
      <c r="C127" s="171">
        <f>SUM(C123:C126)</f>
        <v>0</v>
      </c>
      <c r="D127" s="171">
        <f>SUM(D123:D126)</f>
        <v>0</v>
      </c>
      <c r="E127" s="171"/>
    </row>
    <row r="128" spans="1:5">
      <c r="A128" s="169" t="s">
        <v>825</v>
      </c>
      <c r="B128" s="169">
        <f>B122+B127</f>
        <v>0</v>
      </c>
      <c r="C128" s="169">
        <f>C122+C127</f>
        <v>0</v>
      </c>
      <c r="D128" s="169">
        <f>D122+D127</f>
        <v>0</v>
      </c>
      <c r="E128" s="169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9" t="s">
        <v>827</v>
      </c>
      <c r="B130" s="169">
        <f>B128-B129</f>
        <v>0</v>
      </c>
      <c r="C130" s="169">
        <f>C128-C129</f>
        <v>0</v>
      </c>
      <c r="D130" s="169">
        <f>D128-D129</f>
        <v>0</v>
      </c>
      <c r="E130" s="169">
        <f>E128-E129</f>
        <v>0</v>
      </c>
    </row>
  </sheetData>
  <sheetProtection algorithmName="SHA-512" hashValue="B+/90FQNKjNcEXW9tMFlKxpCaxiV0xc92toGl1YPaC83o/vlyLsvZDACRmACq1HrmECgVzO9bhFAjTxUdC+MDQ==" saltValue="fUumaDNR8q9MlS+1lbsDJg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94" priority="10" stopIfTrue="1" operator="lessThan">
      <formula>-0.2</formula>
    </cfRule>
    <cfRule type="cellIs" dxfId="93" priority="11" stopIfTrue="1" operator="lessThan">
      <formula>0</formula>
    </cfRule>
    <cfRule type="cellIs" dxfId="92" priority="12" stopIfTrue="1" operator="greaterThan">
      <formula>0.4</formula>
    </cfRule>
  </conditionalFormatting>
  <conditionalFormatting sqref="F33:G45 F57:G58 G87">
    <cfRule type="cellIs" dxfId="91" priority="40" stopIfTrue="1" operator="lessThan">
      <formula>-0.2</formula>
    </cfRule>
    <cfRule type="cellIs" dxfId="90" priority="41" stopIfTrue="1" operator="lessThan">
      <formula>0</formula>
    </cfRule>
    <cfRule type="cellIs" dxfId="89" priority="42" stopIfTrue="1" operator="greaterThan">
      <formula>0.4</formula>
    </cfRule>
  </conditionalFormatting>
  <conditionalFormatting sqref="F46:G57">
    <cfRule type="cellIs" dxfId="88" priority="4" stopIfTrue="1" operator="lessThan">
      <formula>-0.2</formula>
    </cfRule>
    <cfRule type="cellIs" dxfId="87" priority="5" stopIfTrue="1" operator="lessThan">
      <formula>0</formula>
    </cfRule>
    <cfRule type="cellIs" dxfId="86" priority="6" stopIfTrue="1" operator="greaterThan">
      <formula>0.4</formula>
    </cfRule>
  </conditionalFormatting>
  <conditionalFormatting sqref="F59:G86">
    <cfRule type="cellIs" dxfId="85" priority="1" stopIfTrue="1" operator="lessThan">
      <formula>-0.2</formula>
    </cfRule>
    <cfRule type="cellIs" dxfId="84" priority="2" stopIfTrue="1" operator="lessThan">
      <formula>0</formula>
    </cfRule>
    <cfRule type="cellIs" dxfId="83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1"/>
      <c r="C1" s="501"/>
      <c r="D1" s="501"/>
      <c r="E1" s="501"/>
      <c r="F1" s="501"/>
      <c r="G1" s="501"/>
    </row>
    <row r="2" spans="1:10">
      <c r="A2" s="45" t="s">
        <v>591</v>
      </c>
      <c r="B2" s="503"/>
      <c r="C2" s="503"/>
      <c r="D2" s="503"/>
      <c r="E2" s="503"/>
      <c r="F2" s="503"/>
      <c r="G2" s="503"/>
    </row>
    <row r="3" spans="1:10">
      <c r="A3" s="45" t="s">
        <v>595</v>
      </c>
      <c r="B3" s="538" t="s">
        <v>17</v>
      </c>
      <c r="C3" s="538"/>
      <c r="D3" s="538"/>
      <c r="E3" s="538"/>
      <c r="F3" s="538"/>
      <c r="G3" s="538"/>
    </row>
    <row r="4" spans="1:10">
      <c r="A4" s="45" t="s">
        <v>597</v>
      </c>
      <c r="B4" s="538" t="s">
        <v>828</v>
      </c>
      <c r="C4" s="538"/>
      <c r="D4" s="538"/>
      <c r="E4" s="538"/>
      <c r="F4" s="538"/>
      <c r="G4" s="538"/>
    </row>
    <row r="5" spans="1:10">
      <c r="A5" s="45" t="s">
        <v>599</v>
      </c>
      <c r="B5" s="538" t="s">
        <v>829</v>
      </c>
      <c r="C5" s="538"/>
      <c r="D5" s="538"/>
      <c r="E5" s="538"/>
      <c r="F5" s="538"/>
      <c r="G5" s="538"/>
    </row>
    <row r="6" spans="1:10">
      <c r="A6" s="45" t="s">
        <v>601</v>
      </c>
      <c r="B6" s="538" t="s">
        <v>830</v>
      </c>
      <c r="C6" s="538"/>
      <c r="D6" s="538"/>
      <c r="E6" s="538"/>
      <c r="F6" s="538"/>
      <c r="G6" s="538"/>
    </row>
    <row r="7" spans="1:10" ht="25.5">
      <c r="A7" s="45" t="s">
        <v>603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831</v>
      </c>
      <c r="B8" s="538" t="s">
        <v>24</v>
      </c>
      <c r="C8" s="538"/>
      <c r="D8" s="538"/>
      <c r="E8" s="538"/>
      <c r="F8" s="538"/>
      <c r="G8" s="538"/>
    </row>
    <row r="9" spans="1:10">
      <c r="A9" s="45" t="s">
        <v>832</v>
      </c>
      <c r="B9" s="540">
        <v>1</v>
      </c>
      <c r="C9" s="540"/>
      <c r="D9" s="540"/>
      <c r="E9" s="540"/>
      <c r="F9" s="540"/>
      <c r="G9" s="540"/>
    </row>
    <row r="11" spans="1:10">
      <c r="A11" s="533" t="str">
        <f>CONCATENATE("Financial Details: ",B1)</f>
        <v xml:space="preserve">Financial Details: 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833</v>
      </c>
      <c r="C12" s="534"/>
      <c r="D12" s="534"/>
      <c r="E12" s="534"/>
      <c r="F12" s="1"/>
      <c r="G12" s="1"/>
    </row>
    <row r="13" spans="1:10" ht="38.25">
      <c r="A13" s="48" t="s">
        <v>717</v>
      </c>
      <c r="B13" s="150" t="s">
        <v>834</v>
      </c>
      <c r="C13" s="151" t="str">
        <f>IF($B$7&lt;&gt;"",CONCATENATE("FY ",$B$7-1,"-",$B$7-2000),"FY 2019-20")</f>
        <v>FY 2023-24</v>
      </c>
      <c r="D13" s="151" t="str">
        <f>IF($B$7&lt;&gt;"",CONCATENATE("FY ",$B$7-2,"-",$B$7-2001),"FY 2018-19")</f>
        <v>FY 2022-23</v>
      </c>
      <c r="E13" s="152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3" t="s">
        <v>720</v>
      </c>
      <c r="B14" s="535"/>
      <c r="C14" s="536"/>
      <c r="D14" s="536"/>
      <c r="E14" s="537"/>
      <c r="F14" s="154"/>
      <c r="G14" s="154"/>
      <c r="H14" s="1"/>
      <c r="I14" s="1"/>
      <c r="J14" s="1"/>
    </row>
    <row r="15" spans="1:10" ht="15">
      <c r="A15" s="155" t="s">
        <v>721</v>
      </c>
      <c r="B15" s="156"/>
      <c r="C15" s="157">
        <f>'CSV3'!H6+'CSV3'!O6+'CSV3'!Q6+SUM('CSV3'!EM6:EN6)+SUM('CSV3'!GE6:GG6)+'CSV3'!V6+'CSV3'!ED6++'CSV3'!N6+'CSV3'!EH6+'CSV3'!EO6+'CSV3'!I6+'CSV3'!P6+'CSV3'!R6+'CSV3'!GH6</f>
        <v>0</v>
      </c>
      <c r="D15" s="157">
        <f>'CSV3'!H5+'CSV3'!O5+'CSV3'!Q5+SUM('CSV3'!EM5:EN5)+SUM('CSV3'!GE5:GG5)+'CSV3'!V5+'CSV3'!ED5+'CSV3'!N5+'CSV3'!EH5+'CSV3'!EO5+'CSV3'!I5+'CSV3'!P5+'CSV3'!R5+'CSV3'!GH5</f>
        <v>0</v>
      </c>
      <c r="E15" s="157">
        <f>'CSV3'!H4+'CSV3'!O4+'CSV3'!Q4+SUM('CSV3'!EM4:EN4)+SUM('CSV3'!GE4:GG4)+'CSV3'!V4+'CSV3'!ED4+'CSV3'!N4+'CSV3'!EH4+'CSV3'!EO4+'CSV3'!I4+'CSV3'!P4+'CSV3'!R4+'CSV3'!GH4</f>
        <v>0</v>
      </c>
      <c r="F15" s="158" t="str">
        <f>IFERROR((C15-D15)/D15,"-")</f>
        <v>-</v>
      </c>
      <c r="G15" s="158" t="str">
        <f>IFERROR((D15-E15)/E15,"-")</f>
        <v>-</v>
      </c>
    </row>
    <row r="16" spans="1:10" ht="15">
      <c r="A16" s="159" t="s">
        <v>722</v>
      </c>
      <c r="B16" s="80"/>
      <c r="C16" s="160"/>
      <c r="D16" s="160"/>
      <c r="E16" s="160"/>
      <c r="F16" s="158" t="str">
        <f>IFERROR((C16-D16)/D16,"-")</f>
        <v>-</v>
      </c>
      <c r="G16" s="158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1" t="s">
        <v>724</v>
      </c>
      <c r="B18" s="162"/>
      <c r="C18" s="162">
        <f>'CSV3'!U6+'CSV3'!K6+'CSV3'!L6+'CSV3'!W6+'CSV3'!X6+'CSV3'!Z6+'CSV3'!AA6+'CSV3'!AB6+'CSV3'!J6</f>
        <v>0</v>
      </c>
      <c r="D18" s="162">
        <f>'CSV3'!U5+'CSV3'!K5+'CSV3'!L5+'CSV3'!W5+'CSV3'!X5+'CSV3'!Z5+'CSV3'!AA5+'CSV3'!AB5+'CSV3'!J5</f>
        <v>0</v>
      </c>
      <c r="E18" s="162">
        <f>'CSV3'!U4+'CSV3'!K4+'CSV3'!L4+'CSV3'!W4+'CSV3'!X4+'CSV3'!Z4+'CSV3'!AA4+'CSV3'!AB4+'CSV3'!J4</f>
        <v>0</v>
      </c>
      <c r="F18" s="163" t="str">
        <f t="shared" si="1"/>
        <v>-</v>
      </c>
      <c r="G18" s="163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3" t="s">
        <v>726</v>
      </c>
      <c r="B20" s="535"/>
      <c r="C20" s="536"/>
      <c r="D20" s="536"/>
      <c r="E20" s="537"/>
      <c r="F20" s="154"/>
      <c r="G20" s="154"/>
    </row>
    <row r="21" spans="1:7">
      <c r="A21" s="60" t="s">
        <v>727</v>
      </c>
      <c r="B21" s="55"/>
      <c r="C21" s="55">
        <f>'CSV3'!AK6+'CSV3'!AL6+'CSV3'!AM6+'CSV3'!AO6+'CSV3'!AP6+'CSV3'!AQ6+'CSV3'!AR6+'CSV3'!AS6+'CSV3'!AT6+'CSV3'!AU6+'CSV3'!AV6-('CSV3'!AF6+'CSV3'!AG6+'CSV3'!AH6)</f>
        <v>0</v>
      </c>
      <c r="D21" s="55">
        <f>'CSV3'!AK5+'CSV3'!AL5+'CSV3'!AM5+'CSV3'!AO5+'CSV3'!AP5+'CSV3'!AQ5+'CSV3'!AR5+'CSV3'!AS5+'CSV3'!AT5+'CSV3'!AU5+'CSV3'!AV5-('CSV3'!AF5+'CSV3'!AG5+'CSV3'!AH5)</f>
        <v>0</v>
      </c>
      <c r="E21" s="55">
        <f>'CSV3'!AK4+'CSV3'!AL4+'CSV3'!AM4+'CSV3'!AO4+'CSV3'!AP4+'CSV3'!AQ4+'CSV3'!AR4+'CSV3'!AS4+'CSV3'!AT4+'CSV3'!AU4+'CSV3'!AV4-('CSV3'!AF4+'CSV3'!AG4+'CSV3'!AH4)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SUM('CSV3'!AX6:AZ6)+'CSV3'!BC6+'CSV3'!ED6-'CSV3'!EE6+'CSV3'!EH6-'CSV3'!EI6+'CSV3'!FN6+'CSV3'!FO6+SUM('CSV3'!FS6:FW6)</f>
        <v>0</v>
      </c>
      <c r="D22" s="55">
        <f>SUM('CSV3'!AX5:AZ5)+'CSV3'!BC5+'CSV3'!ED5-'CSV3'!EE5+'CSV3'!EH5-'CSV3'!EI5</f>
        <v>0</v>
      </c>
      <c r="E22" s="55">
        <f>SUM('CSV3'!AX4:AZ4)+'CSV3'!BC4+'CSV3'!ED4-'CSV3'!EE4+'CSV3'!EH4-'CSV3'!EI4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3" t="s">
        <v>730</v>
      </c>
      <c r="B24" s="535"/>
      <c r="C24" s="536"/>
      <c r="D24" s="536"/>
      <c r="E24" s="537"/>
      <c r="F24" s="154"/>
      <c r="G24" s="154"/>
    </row>
    <row r="25" spans="1:7">
      <c r="A25" s="60" t="s">
        <v>731</v>
      </c>
      <c r="B25" s="55"/>
      <c r="C25" s="55">
        <f>SUM('CSV3'!BD6:BM6)+'CSV3'!BV6+SUM('CSV3'!BA6:BB6)+'CSV3'!BQ6+'CSV3'!BR6+'CSV3'!BS6+'CSV3'!BT6+SUM('CSV3'!BW6:BY6)+SUM('CSV3'!CH6:CI6)+SUM('CSV3'!CK6:CU6)+'CSV3'!DB6+'CSV3'!DD6+'CSV3'!DJ6+'CSV3'!EF6+'CSV3'!EJ6+SUM('CSV3'!EM6:EO6)-'CSV3'!EP6+'CSV3'!GA6+SUM('CSV3'!BZ6:CA6)+SUM('CSV3'!CB6,'CSV3'!CC6,'CSV3'!CE6,'CSV3'!CF6)+SUM('CSV3'!CV6:CZ6)</f>
        <v>0</v>
      </c>
      <c r="D25" s="55">
        <f>SUM('CSV3'!BD5:BM5)+'CSV3'!BV5+SUM('CSV3'!BA5:BB5)+'CSV3'!BQ5+'CSV3'!BR5+'CSV3'!BS5+'CSV3'!BT5+SUM('CSV3'!BW5:BY5)+SUM('CSV3'!CH5:CI5)+SUM('CSV3'!CK5:CU5)+'CSV3'!DB5+'CSV3'!DD5+'CSV3'!DJ5+'CSV3'!EF5+'CSV3'!EJ5+SUM('CSV3'!EM5:EO5)-'CSV3'!EP5+SUM('CSV3'!BZ5:CA5)+SUM('CSV3'!CB5,'CSV3'!CC5,'CSV3'!CE5,'CSV3'!CF5)+SUM('CSV3'!CV5:CZ5)</f>
        <v>0</v>
      </c>
      <c r="E25" s="55">
        <f>SUM('CSV3'!BD4:BM4)+'CSV3'!BV4+SUM('CSV3'!BA4:BB4)+'CSV3'!BQ4+'CSV3'!BR4+'CSV3'!BS4+'CSV3'!BT4+SUM('CSV3'!BW4:BY4)+SUM('CSV3'!CH4:CI4)+SUM('CSV3'!CK4:CU4)+'CSV3'!DB4+'CSV3'!DD4+'CSV3'!DJ4+'CSV3'!EF4+'CSV3'!EJ4+SUM('CSV3'!EM4:EO4)-'CSV3'!EP4+SUM('CSV3'!BZ4:CA4)+SUM('CSV3'!CB4,'CSV3'!CC4,'CSV3'!CE4,'CSV3'!CF4)+SUM('CSV3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SUM('CSV3'!DE6:DG6)+'CSV3'!DI6</f>
        <v>0</v>
      </c>
      <c r="D26" s="55">
        <f>SUM('CSV3'!DE5:DG5)+'CSV3'!DI5</f>
        <v>0</v>
      </c>
      <c r="E26" s="55">
        <f>SUM('CSV3'!DE4:DG4)+'CSV3'!DI4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f>'CSV3'!DQ6+'CSV3'!FX6</f>
        <v>0</v>
      </c>
      <c r="D29" s="55">
        <f>'CSV3'!DQ5</f>
        <v>0</v>
      </c>
      <c r="E29" s="55">
        <f>'CSV3'!DQ4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'CSV3'!DM6+'CSV3'!DO6</f>
        <v>0</v>
      </c>
      <c r="D31" s="55">
        <f>'CSV3'!DM5+'CSV3'!DO5</f>
        <v>0</v>
      </c>
      <c r="E31" s="55">
        <f>'CSV3'!DM4+'CSV3'!DO4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'CSV3'!Y6+'CSV3'!AC6+'CSV3'!AD6</f>
        <v>0</v>
      </c>
      <c r="D33" s="55">
        <f>'CSV3'!Y5+'CSV3'!AC5+'CSV3'!AD5</f>
        <v>0</v>
      </c>
      <c r="E33" s="55">
        <f>'CSV3'!Y4+'CSV3'!AC4+'CSV3'!AD4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SUM('CSV3'!DS6:DT6)</f>
        <v>0</v>
      </c>
      <c r="D36" s="55">
        <f>SUM('CSV3'!DS5:DT5)</f>
        <v>0</v>
      </c>
      <c r="E36" s="55">
        <f>SUM('CSV3'!DS4:DT4)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SUM('CSV3'!DY6:DZ6)</f>
        <v>0</v>
      </c>
      <c r="D39" s="55">
        <f>SUM('CSV3'!DY5:DZ5)</f>
        <v>0</v>
      </c>
      <c r="E39" s="55">
        <f>SUM('CSV3'!DY4:DZ4)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'CSV3'!DC6</f>
        <v>0</v>
      </c>
      <c r="D40" s="55">
        <f>'CSV3'!DC5</f>
        <v>0</v>
      </c>
      <c r="E40" s="55">
        <f>'CSV3'!DC4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'CSV3'!DL6+'CSV3'!DN6</f>
        <v>0</v>
      </c>
      <c r="D41" s="55">
        <f>'CSV3'!DL5+'CSV3'!DN5</f>
        <v>0</v>
      </c>
      <c r="E41" s="55">
        <f>'CSV3'!DL4+'CSV3'!DN4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'CSV3'!DX6</f>
        <v>0</v>
      </c>
      <c r="D42" s="55">
        <f>'CSV3'!DX5</f>
        <v>0</v>
      </c>
      <c r="E42" s="55">
        <f>'CSV3'!DX4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833</v>
      </c>
      <c r="C44" s="534"/>
      <c r="D44" s="534"/>
      <c r="E44" s="534"/>
      <c r="F44" s="64"/>
      <c r="G44" s="64"/>
    </row>
    <row r="45" spans="1:10" ht="38.25">
      <c r="A45" s="48" t="s">
        <v>750</v>
      </c>
      <c r="B45" s="344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3" t="s">
        <v>751</v>
      </c>
      <c r="B46" s="535"/>
      <c r="C46" s="536"/>
      <c r="D46" s="536"/>
      <c r="E46" s="537"/>
      <c r="F46" s="154"/>
      <c r="G46" s="154"/>
      <c r="H46" s="1"/>
      <c r="I46" s="1"/>
      <c r="J46" s="1"/>
    </row>
    <row r="47" spans="1:10">
      <c r="A47" s="60" t="s">
        <v>752</v>
      </c>
      <c r="B47" s="54"/>
      <c r="C47" s="55">
        <f>'CSV3'!I25+'CSV3'!J25+'CSV3'!I31+'CSV3'!J31+'CSV3'!H19+'CSV3'!H13+'CSV3'!H36+SUM('CSV3'!O36:U36)-SUM('CSV3'!H36:M36)</f>
        <v>0</v>
      </c>
      <c r="D47" s="55">
        <f>'CSV3'!I24+'CSV3'!J24+'CSV3'!H18+'CSV3'!H12+'CSV3'!H35+SUM('CSV3'!O35:U35)-SUM('CSV3'!H35:M35)</f>
        <v>0</v>
      </c>
      <c r="E47" s="55">
        <f>'CSV3'!I23+'CSV3'!J23+'CSV3'!H17+'CSV3'!H11+'CSV3'!H34+SUM('CSV3'!O34:U34)-SUM('CSV3'!H34:M34)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'CSV3'!AK25+'CSV3'!BC25+'CSV3'!AC19+'CSV3'!AC31+'CSV3'!AD31+'CSV3'!AF31+'CSV3'!AG31+'CSV3'!AO31+SUM('CSV3'!AV31:AX31)+'CSV3'!BM31-('CSV3'!DB25+'CSV3'!EP25+'CSV3'!DG31)</f>
        <v>0</v>
      </c>
      <c r="D48" s="55">
        <f>'CSV3'!AK24+'CSV3'!BC24+'CSV3'!AC18-('CSV3'!DB24+'CSV3'!EP24)</f>
        <v>0</v>
      </c>
      <c r="E48" s="55">
        <f>'CSV3'!AK23+'CSV3'!BC23+'CSV3'!AC17-('CSV3'!DB23+'CSV3'!EP23)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SUM('CSV3'!I13:L13)-'CSV3'!BQ13+SUM('CSV3'!I19:M19)-'CSV3'!CU19+SUM('CSV3'!L25:S25)+'CSV3'!U25+SUM('CSV3'!W25:X25)+SUM('CSV3'!L31:O31)+'CSV3'!Q31</f>
        <v>0</v>
      </c>
      <c r="D49" s="55">
        <f>SUM('CSV3'!I12:L12)-'CSV3'!BQ12+SUM('CSV3'!I18:M18)-'CSV3'!CU18+SUM('CSV3'!L24:S24)+'CSV3'!U24+SUM('CSV3'!W24:X24)</f>
        <v>0</v>
      </c>
      <c r="E49" s="55">
        <f>SUM('CSV3'!I11:L11)-'CSV3'!BQ11+SUM('CSV3'!I17:M17)-'CSV3'!CU17+SUM('CSV3'!L23:S23)+'CSV3'!U23+SUM('CSV3'!W23:X23)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'CSV3'!CS19+'CSV3'!BO13</f>
        <v>0</v>
      </c>
      <c r="D53" s="55">
        <f>'CSV3'!CS18+'CSV3'!BO12</f>
        <v>0</v>
      </c>
      <c r="E53" s="55">
        <f>'CSV3'!CS17+'CSV3'!BO11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3" t="s">
        <v>760</v>
      </c>
      <c r="B55" s="535"/>
      <c r="C55" s="536"/>
      <c r="D55" s="536"/>
      <c r="E55" s="537"/>
      <c r="F55" s="154"/>
      <c r="G55" s="154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f>'CSV3'!AL25+'CSV3'!BD25+SUM('CSV3'!U19:X19)+SUM('CSV3'!T13:U13)+'CSV3'!J36</f>
        <v>0</v>
      </c>
      <c r="D57" s="55">
        <f>'CSV3'!AL24+'CSV3'!BD24+SUM('CSV3'!U18:X18)+SUM('CSV3'!T12:U12)+'CSV3'!J35</f>
        <v>0</v>
      </c>
      <c r="E57" s="55">
        <f>'CSV3'!AL23+'CSV3'!BD23+SUM('CSV3'!U17:X17)+SUM('CSV3'!T11:U11)+'CSV3'!J34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SUM('CSV3'!Z25:AA25)+SUM('CSV3'!AC25:AE25)+SUM('CSV3'!P19:R19)+SUM('CSV3'!O13:Q13)+'CSV3'!I36+SUM('CSV3'!T31:U31)+SUM('CSV3'!W31:Y31)</f>
        <v>0</v>
      </c>
      <c r="D58" s="55">
        <f>SUM('CSV3'!Z24:AA24)+SUM('CSV3'!AC24:AE24)+SUM('CSV3'!P18:R18)+SUM('CSV3'!O12:Q12)+'CSV3'!I35</f>
        <v>0</v>
      </c>
      <c r="E58" s="55">
        <f>SUM('CSV3'!Z23:AA23)+SUM('CSV3'!AC23:AE23)+SUM('CSV3'!P17:R17)+SUM('CSV3'!O11:Q11)+'CSV3'!I34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3" t="s">
        <v>766</v>
      </c>
      <c r="B61" s="535"/>
      <c r="C61" s="536"/>
      <c r="D61" s="536"/>
      <c r="E61" s="537"/>
      <c r="F61" s="154"/>
      <c r="G61" s="154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'CSV3'!AP25+SUM('CSV3'!BG25:BH25)+SUM('CSV3'!CD19:CE19)+'CSV3'!BC13+'CSV3'!BU13+'CSV3'!L36+'CSV3'!AI31+'CSV3'!AZ31+'CSV3'!AQ25+'CSV3'!BN25+'CSV3'!AD19+'CSV3'!CJ19+'CSV3'!AJ31+'CSV3'!BL31</f>
        <v>0</v>
      </c>
      <c r="D63" s="55">
        <f>'CSV3'!AP24+SUM('CSV3'!BG24:BH24)+SUM('CSV3'!CD18:CE18)+'CSV3'!BC12+'CSV3'!BU12+'CSV3'!L35+'CSV3'!AQ24+'CSV3'!BN24+'CSV3'!AD18+'CSV3'!CJ18</f>
        <v>0</v>
      </c>
      <c r="E63" s="55">
        <f>'CSV3'!AP23+SUM('CSV3'!BG23:BH23)+SUM('CSV3'!CD17:CE17)+'CSV3'!BC11+'CSV3'!BU11+'CSV3'!L34+'CSV3'!AQ23+'CSV3'!BN23+'CSV3'!AD17+'CSV3'!CJ17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'CSV3'!AW25+'CSV3'!AS31</f>
        <v>0</v>
      </c>
      <c r="D64" s="55">
        <f>'CSV3'!AW24</f>
        <v>0</v>
      </c>
      <c r="E64" s="55">
        <f>'CSV3'!AW23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3'!AS25:AT25)+SUM('CSV3'!BK25:BM25)+SUM('CSV3'!BU25:BY25)+SUM('CSV3'!CH19:CI19)+SUM('CSV3'!CM19:CO19)+SUM('CSV3'!BE13:BF13)+SUM('CSV3'!BH13:BK13)+SUM('CSV3'!AK31:AL31)+SUM('CSV3'!BB31:BC31)+SUM('CSV3'!BP31:BQ31)+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65" s="55">
        <f>SUM('CSV3'!AS24:AT24)+SUM('CSV3'!BK24:BM24)+SUM('CSV3'!BU24:BY24)+SUM('CSV3'!CH18:CI18)+SUM('CSV3'!CM18:CO18)+SUM('CSV3'!BE12:BF12)+SUM('CSV3'!BH12:BK12)+SUM('CSV3'!AI24:AJ24)+'CSV3'!AM24+'CSV3'!BB24+'CSV3'!BE24+'CSV3'!BJ24+'CSV3'!BO24+'CSV3'!BP24+'CSV3'!BQ24+'CSV3'!BR24+'CSV3'!BS24+'CSV3'!CG18+'CSV3'!CK18+'CSV3'!BD12+'CSV3'!K35+'CSV3'!M35</f>
        <v>0</v>
      </c>
      <c r="E65" s="55">
        <f>SUM('CSV3'!AS23:AT23)+SUM('CSV3'!BK23:BM23)+SUM('CSV3'!BU23:BY23)+SUM('CSV3'!CH17:CI17)+SUM('CSV3'!CM17:CO17)+SUM('CSV3'!BE11:BF11)+SUM('CSV3'!BH11:BK11)+SUM('CSV3'!AI23:AJ23)+'CSV3'!AM23+'CSV3'!BB23+'CSV3'!BE23+'CSV3'!BJ23+'CSV3'!BO23+'CSV3'!BP23+'CSV3'!BQ23+'CSV3'!BR23+'CSV3'!BS23+'CSV3'!CG17+'CSV3'!CK17+'CSV3'!BD11+'CSV3'!K34+'CSV3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SUM('CSV3'!AX25:AZ25)+'CSV3'!AT31</f>
        <v>0</v>
      </c>
      <c r="D66" s="55">
        <f>SUM('CSV3'!AX24:AZ24)</f>
        <v>0</v>
      </c>
      <c r="E66" s="55">
        <f>SUM('CSV3'!AX23:AZ23)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6">
        <f>B54+B68</f>
        <v>0</v>
      </c>
      <c r="C69" s="116">
        <f t="shared" ref="C69:E69" si="20">C54+C68</f>
        <v>0</v>
      </c>
      <c r="D69" s="116">
        <f t="shared" si="20"/>
        <v>0</v>
      </c>
      <c r="E69" s="116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f>'CSV3'!CF25+'CSV3'!CJ25+'CSV3'!AI19+'CSV3'!AB13+SUM('CSV3'!CK25:CL25)+'CSV3'!AC13+'CSV3'!AJ19+'CSV3'!O36+'CSV3'!BY31+'CSV3'!BZ31+'CSV3'!CG31+'CSV3'!CL31+'CSV3'!CM31+'CSV3'!CP31</f>
        <v>0</v>
      </c>
      <c r="D73" s="55">
        <f>'CSV3'!CF24+'CSV3'!CJ24+'CSV3'!AI18+'CSV3'!AB12+SUM('CSV3'!CK24:CL24)+'CSV3'!AC12+'CSV3'!AJ18+'CSV3'!O35</f>
        <v>0</v>
      </c>
      <c r="E73" s="55">
        <f>'CSV3'!CF23+'CSV3'!CJ23+'CSV3'!AI17+'CSV3'!AB11+SUM('CSV3'!CK23:CL23)+'CSV3'!AC11+'CSV3'!AJ17+'CSV3'!O34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6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6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-'CSV3'!AH25-'CSV3'!AO25+'CSV3'!CY25-'CSV3'!AB19+'CSV3'!CT19-'CSV3'!X13+'CSV3'!BP13-'CSV3'!AB31-'CSV3'!AN31+'CSV3'!DP31</f>
        <v>0</v>
      </c>
      <c r="D78" s="55">
        <f>-'CSV3'!AH24-'CSV3'!AO24+'CSV3'!CY24-'CSV3'!AB18+'CSV3'!CT18-'CSV3'!X12+'CSV3'!BP12</f>
        <v>0</v>
      </c>
      <c r="E78" s="55">
        <f>-'CSV3'!AH23-'CSV3'!AO23+'CSV3'!CY23-'CSV3'!AB17+'CSV3'!CT17-'CSV3'!X11+'CSV3'!BP11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5" t="s">
        <v>783</v>
      </c>
      <c r="B79" s="54"/>
      <c r="C79" s="55">
        <f>'CSV3'!DZ25+'CSV3'!BF19+'CSV3'!AN13+'CSV3'!DX31+SUM('CSV3'!ED25:EE25)+SUM('CSV3'!BJ19:BK19)+'CSV3'!AM13+SUM('CSV3'!EB31:EC31)+'CSV3'!EA25+'CSV3'!BG19+'CSV3'!AO13+'CSV3'!DY31+SUM('CSV3'!EB25:EC25)+'CSV3'!EF25+SUM('CSV3'!BH19:BI19)+'CSV3'!BL19+'CSV3'!AP13+'CSV3'!P36+SUM('CSV3'!DZ31:EA31)+'CSV3'!EE31</f>
        <v>0</v>
      </c>
      <c r="D79" s="55">
        <f>'CSV3'!DZ24+'CSV3'!BF18+'CSV3'!AN12+SUM('CSV3'!ED24:EE24)+SUM('CSV3'!BJ18:BK18)+'CSV3'!AM12+'CSV3'!EA24+'CSV3'!BG18+'CSV3'!AO12+SUM('CSV3'!EB24:EC24)+'CSV3'!EF24+SUM('CSV3'!BH18:BI18)+'CSV3'!BL18+'CSV3'!AP12+'CSV3'!P35</f>
        <v>0</v>
      </c>
      <c r="E79" s="55">
        <f>'CSV3'!DZ23+'CSV3'!BF17+'CSV3'!AN11+SUM('CSV3'!ED23:EE23)+SUM('CSV3'!BJ17:BK17)+'CSV3'!AM11+'CSV3'!EA23+'CSV3'!BG17+'CSV3'!AO11+SUM('CSV3'!EB23:EC23)+'CSV3'!EF23+SUM('CSV3'!BH17:BI17)+'CSV3'!BL17+'CSV3'!AP11+'CSV3'!P34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5" t="s">
        <v>785</v>
      </c>
      <c r="B81" s="54"/>
      <c r="C81" s="55">
        <f>'CSV3'!DJ25+'CSV3'!DL25+'CSV3'!EH25+'CSV3'!BN19+'CSV3'!DD31+'CSV3'!ES31</f>
        <v>0</v>
      </c>
      <c r="D81" s="55">
        <f>'CSV3'!DJ24+'CSV3'!DL24+'CSV3'!EH24+'CSV3'!BN18</f>
        <v>0</v>
      </c>
      <c r="E81" s="55">
        <f>'CSV3'!DJ23+'CSV3'!DL23+'CSV3'!EH23+'CSV3'!BN17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5" t="s">
        <v>786</v>
      </c>
      <c r="B82" s="54"/>
      <c r="C82" s="55">
        <f>SUM('CSV3'!DH25:DI25)+'CSV3'!EI25+'CSV3'!BO19+'CSV3'!AR13+'CSV3'!Q36+SUM('CSV3'!DB31:DC31)+SUM('CSV3'!DM31:DN31)+SUM('CSV3'!EQ31:ER31)</f>
        <v>0</v>
      </c>
      <c r="D82" s="55">
        <f>SUM('CSV3'!DH24:DI24)+'CSV3'!EI24+'CSV3'!BO18+'CSV3'!AR12+'CSV3'!Q35</f>
        <v>0</v>
      </c>
      <c r="E82" s="55">
        <f>SUM('CSV3'!DH23:DI23)+'CSV3'!EI23+'CSV3'!BO17+'CSV3'!AR11+'CSV3'!Q34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f>SUM('CSV3'!EK25:EN25)+SUM('CSV3'!BQ19:BS19)+SUM('CSV3'!AS13:AT13)+'CSV3'!BW13+'CSV3'!S36+'CSV3'!R36+SUM('CSV3'!EV31:EY31)+'CSV3'!FA31</f>
        <v>0</v>
      </c>
      <c r="D83" s="55">
        <f>SUM('CSV3'!EK24:EN24)+SUM('CSV3'!BQ18:BS18)+SUM('CSV3'!AS12:AT12)+'CSV3'!BW12+'CSV3'!S35+'CSV3'!R35</f>
        <v>0</v>
      </c>
      <c r="E83" s="55">
        <f>SUM('CSV3'!EK23:EN23)+SUM('CSV3'!BQ17:BS17)+SUM('CSV3'!AS11:AT11)+'CSV3'!BW11+'CSV3'!S34+'CSV3'!R34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5" s="55">
        <f>'CSV3'!CZ24+'CSV3'!DC24+'CSV3'!EQ24+'CSV3'!EV24+'CSV3'!BU18+'CSV3'!BW18+'CSV3'!AV12+'CSV3'!AX12+'CSV3'!T35+'CSV3'!U35</f>
        <v>0</v>
      </c>
      <c r="E85" s="55">
        <f>'CSV3'!CZ23+'CSV3'!DC23+'CSV3'!EQ23+'CSV3'!EV23+'CSV3'!BU17+'CSV3'!BW17+'CSV3'!AV11+'CSV3'!AX11+'CSV3'!T34+'CSV3'!U34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'CSV3'!BY19+'CSV3'!AZ13</f>
        <v>0</v>
      </c>
      <c r="D86" s="55">
        <f>'CSV3'!BY18+'CSV3'!AZ12</f>
        <v>0</v>
      </c>
      <c r="E86" s="55">
        <f>'CSV3'!BY17+'CSV3'!AZ11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4" t="str">
        <f>IFERROR(B68/B54,"-")</f>
        <v>-</v>
      </c>
      <c r="C90" s="164" t="str">
        <f>IFERROR(C68/C54,"-")</f>
        <v>-</v>
      </c>
      <c r="D90" s="164" t="str">
        <f>IFERROR(D68/D54,"-")</f>
        <v>-</v>
      </c>
      <c r="E90" s="164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4" t="str">
        <f>IFERROR(B28/B31,"-")</f>
        <v>-</v>
      </c>
      <c r="C93" s="164" t="str">
        <f>IFERROR(C28/C31,"-")</f>
        <v>-</v>
      </c>
      <c r="D93" s="164" t="str">
        <f>IFERROR(D28/D31,"-")</f>
        <v>-</v>
      </c>
      <c r="E93" s="164" t="str">
        <f>IFERROR(E28/E31,"-")</f>
        <v>-</v>
      </c>
      <c r="F93" s="78"/>
      <c r="G93" s="78"/>
    </row>
    <row r="94" spans="1:7">
      <c r="A94" s="76" t="s">
        <v>796</v>
      </c>
      <c r="B94" s="165" t="str">
        <f>IFERROR(B17/B73,"-")</f>
        <v>-</v>
      </c>
      <c r="C94" s="165" t="str">
        <f>IFERROR(C17/C73,"-")</f>
        <v>-</v>
      </c>
      <c r="D94" s="165" t="str">
        <f>IFERROR(D17/D73,"-")</f>
        <v>-</v>
      </c>
      <c r="E94" s="165" t="str">
        <f>IFERROR(E17/E73,"-")</f>
        <v>-</v>
      </c>
      <c r="F94" s="78"/>
      <c r="G94" s="78"/>
    </row>
    <row r="95" spans="1:7">
      <c r="A95" s="76" t="s">
        <v>797</v>
      </c>
      <c r="B95" s="165" t="str">
        <f>IFERROR(B63/B23*365,"-")</f>
        <v>-</v>
      </c>
      <c r="C95" s="165" t="str">
        <f>IFERROR(C63/C23*365,"-")</f>
        <v>-</v>
      </c>
      <c r="D95" s="165" t="str">
        <f>IFERROR(D63/D23*365,"-")</f>
        <v>-</v>
      </c>
      <c r="E95" s="165" t="str">
        <f>IFERROR(E63/E23*365,"-")</f>
        <v>-</v>
      </c>
      <c r="F95" s="78"/>
      <c r="G95" s="78"/>
    </row>
    <row r="96" spans="1:7">
      <c r="A96" s="76" t="s">
        <v>798</v>
      </c>
      <c r="B96" s="165">
        <f>IFERROR(B77-B67+B57,"-")</f>
        <v>0</v>
      </c>
      <c r="C96" s="165">
        <f>IFERROR(C77-C67+C57,"-")</f>
        <v>0</v>
      </c>
      <c r="D96" s="165">
        <f>IFERROR(D77-D67+D57,"-")</f>
        <v>0</v>
      </c>
      <c r="E96" s="165">
        <f>IFERROR(E77-E67+E57,"-")</f>
        <v>0</v>
      </c>
      <c r="F96" s="78"/>
      <c r="G96" s="78"/>
    </row>
    <row r="97" spans="1:7">
      <c r="A97" s="76" t="s">
        <v>799</v>
      </c>
      <c r="B97" s="165" t="str">
        <f>IFERROR(B80/B15*365,"-")</f>
        <v>-</v>
      </c>
      <c r="C97" s="165" t="str">
        <f>IFERROR(C80/C15*365,"-")</f>
        <v>-</v>
      </c>
      <c r="D97" s="165" t="str">
        <f>IFERROR(D80/D15*365,"-")</f>
        <v>-</v>
      </c>
      <c r="E97" s="165" t="str">
        <f>IFERROR(E80/E15*365,"-")</f>
        <v>-</v>
      </c>
      <c r="F97" s="78"/>
      <c r="G97" s="78"/>
    </row>
    <row r="98" spans="1:7">
      <c r="A98" s="76" t="s">
        <v>800</v>
      </c>
      <c r="B98" s="165" t="str">
        <f>IFERROR(B79*365/B17,"-")</f>
        <v>-</v>
      </c>
      <c r="C98" s="165" t="str">
        <f>IFERROR(C79*365/C17,"-")</f>
        <v>-</v>
      </c>
      <c r="D98" s="165" t="str">
        <f>IFERROR(D79*365/D17,"-")</f>
        <v>-</v>
      </c>
      <c r="E98" s="165" t="str">
        <f>IFERROR(E79*365/E17,"-")</f>
        <v>-</v>
      </c>
      <c r="F98" s="78"/>
      <c r="G98" s="78"/>
    </row>
    <row r="99" spans="1:7">
      <c r="A99" s="76" t="s">
        <v>801</v>
      </c>
      <c r="B99" s="165" t="str">
        <f>IFERROR(B79/B23,"-")</f>
        <v>-</v>
      </c>
      <c r="C99" s="165" t="str">
        <f>IFERROR(C79/C23,"-")</f>
        <v>-</v>
      </c>
      <c r="D99" s="165" t="str">
        <f>IFERROR(D79/D23,"-")</f>
        <v>-</v>
      </c>
      <c r="E99" s="165" t="str">
        <f>IFERROR(E79/E23,"-")</f>
        <v>-</v>
      </c>
      <c r="F99" s="78"/>
      <c r="G99" s="78"/>
    </row>
    <row r="100" spans="1:7">
      <c r="A100" s="76" t="s">
        <v>802</v>
      </c>
      <c r="B100" s="165" t="str">
        <f>IFERROR(B77/B67,"-")</f>
        <v>-</v>
      </c>
      <c r="C100" s="165" t="str">
        <f>IFERROR(C77/C67,"-")</f>
        <v>-</v>
      </c>
      <c r="D100" s="165" t="str">
        <f>IFERROR(D77/D67,"-")</f>
        <v>-</v>
      </c>
      <c r="E100" s="165" t="str">
        <f>IFERROR(E77/E67,"-")</f>
        <v>-</v>
      </c>
      <c r="F100" s="78"/>
      <c r="G100" s="78"/>
    </row>
    <row r="101" spans="1:7">
      <c r="A101" s="76" t="s">
        <v>803</v>
      </c>
      <c r="B101" s="165" t="str">
        <f>IFERROR((B77-73)/(B63+B64),"-")</f>
        <v>-</v>
      </c>
      <c r="C101" s="165" t="str">
        <f>IFERROR((C77-73)/(C63+C64),"-")</f>
        <v>-</v>
      </c>
      <c r="D101" s="165" t="str">
        <f>IFERROR((D77-73)/(D63+D64),"-")</f>
        <v>-</v>
      </c>
      <c r="E101" s="165" t="str">
        <f>IFERROR((E77-73)/(E63+E64),"-")</f>
        <v>-</v>
      </c>
      <c r="F101" s="78"/>
      <c r="G101" s="78"/>
    </row>
    <row r="102" spans="1:7">
      <c r="A102" s="76" t="s">
        <v>804</v>
      </c>
      <c r="B102" s="165" t="str">
        <f>IFERROR(B60/B54,"-")</f>
        <v>-</v>
      </c>
      <c r="C102" s="165" t="str">
        <f>IFERROR(C60/C54,"-")</f>
        <v>-</v>
      </c>
      <c r="D102" s="165" t="str">
        <f>IFERROR(D60/D54,"-")</f>
        <v>-</v>
      </c>
      <c r="E102" s="165" t="str">
        <f>IFERROR(E60/E54,"-")</f>
        <v>-</v>
      </c>
      <c r="F102" s="78"/>
      <c r="G102" s="78"/>
    </row>
    <row r="103" spans="1:7">
      <c r="A103" s="76" t="s">
        <v>805</v>
      </c>
      <c r="B103" s="165" t="str">
        <f>IFERROR((B28+B33-B34)/B31,"-")</f>
        <v>-</v>
      </c>
      <c r="C103" s="165" t="str">
        <f>IFERROR((C28+C33-C34)/C31,"-")</f>
        <v>-</v>
      </c>
      <c r="D103" s="165" t="str">
        <f>IFERROR((D28+D33-D34)/D31,"-")</f>
        <v>-</v>
      </c>
      <c r="E103" s="165" t="str">
        <f>IFERROR((E28+E33-E34)/E31,"-")</f>
        <v>-</v>
      </c>
      <c r="F103" s="78"/>
      <c r="G103" s="78"/>
    </row>
    <row r="104" spans="1:7">
      <c r="A104" s="76" t="s">
        <v>806</v>
      </c>
      <c r="B104" s="165" t="str">
        <f>IFERROR((B28+B33-B34)/(B31+B57),"-")</f>
        <v>-</v>
      </c>
      <c r="C104" s="165" t="str">
        <f>IFERROR((C28+C33-C34)/(C31+C57),"-")</f>
        <v>-</v>
      </c>
      <c r="D104" s="165" t="str">
        <f>IFERROR((D28+D33-D34)/(D31+D57),"-")</f>
        <v>-</v>
      </c>
      <c r="E104" s="165" t="str">
        <f>IFERROR((E28+E33-E34)/(E31+E57),"-")</f>
        <v>-</v>
      </c>
      <c r="F104" s="78"/>
      <c r="G104" s="78"/>
    </row>
    <row r="105" spans="1:7">
      <c r="A105" s="76" t="s">
        <v>807</v>
      </c>
      <c r="B105" s="166" t="str">
        <f>IFERROR((B19-B23)/B15,"-")</f>
        <v>-</v>
      </c>
      <c r="C105" s="166" t="str">
        <f>IFERROR((C19-C23)/C15,"-")</f>
        <v>-</v>
      </c>
      <c r="D105" s="166" t="str">
        <f>IFERROR((D19-D23)/D15,"-")</f>
        <v>-</v>
      </c>
      <c r="E105" s="166" t="str">
        <f>IFERROR((E19-E23)/E15,"-")</f>
        <v>-</v>
      </c>
      <c r="F105" s="78"/>
      <c r="G105" s="78"/>
    </row>
    <row r="106" spans="1:7">
      <c r="A106" s="76" t="s">
        <v>808</v>
      </c>
      <c r="B106" s="166" t="str">
        <f>IFERROR(B37/B17,"-")</f>
        <v>-</v>
      </c>
      <c r="C106" s="166" t="str">
        <f>IFERROR(C37/C17,"-")</f>
        <v>-</v>
      </c>
      <c r="D106" s="166" t="str">
        <f>IFERROR(D37/D17,"-")</f>
        <v>-</v>
      </c>
      <c r="E106" s="166" t="str">
        <f>IFERROR(E37/E17,"-")</f>
        <v>-</v>
      </c>
      <c r="F106" s="78"/>
      <c r="G106" s="78"/>
    </row>
    <row r="107" spans="1:7">
      <c r="A107" s="76" t="s">
        <v>809</v>
      </c>
      <c r="B107" s="166" t="str">
        <f>IFERROR(B38/B17,"-")</f>
        <v>-</v>
      </c>
      <c r="C107" s="166" t="str">
        <f>IFERROR(C38/C17,"-")</f>
        <v>-</v>
      </c>
      <c r="D107" s="166" t="str">
        <f>IFERROR(D38/D17,"-")</f>
        <v>-</v>
      </c>
      <c r="E107" s="166" t="str">
        <f>IFERROR(E38/E17,"-")</f>
        <v>-</v>
      </c>
      <c r="F107" s="78"/>
      <c r="G107" s="78"/>
    </row>
    <row r="108" spans="1:7">
      <c r="A108" s="76" t="s">
        <v>810</v>
      </c>
      <c r="B108" s="166" t="str">
        <f>IFERROR((B17-C17)/C17,"-")</f>
        <v>-</v>
      </c>
      <c r="C108" s="166" t="str">
        <f>IFERROR((C17-D17)/D17,"-")</f>
        <v>-</v>
      </c>
      <c r="D108" s="166" t="str">
        <f>IFERROR((D17-E17)/E17,"-")</f>
        <v>-</v>
      </c>
      <c r="E108" s="166"/>
      <c r="F108" s="78"/>
      <c r="G108" s="78"/>
    </row>
    <row r="109" spans="1:7">
      <c r="A109" s="76" t="s">
        <v>811</v>
      </c>
      <c r="B109" s="166" t="str">
        <f>IFERROR((B37-C37)/C37,"-")</f>
        <v>-</v>
      </c>
      <c r="C109" s="166" t="str">
        <f>IFERROR((C37-D37)/D37,"-")</f>
        <v>-</v>
      </c>
      <c r="D109" s="166" t="str">
        <f>IFERROR((D37-E37)/E37,"-")</f>
        <v>-</v>
      </c>
      <c r="E109" s="166"/>
      <c r="F109" s="78"/>
      <c r="G109" s="78"/>
    </row>
    <row r="110" spans="1:7">
      <c r="A110" s="76" t="s">
        <v>812</v>
      </c>
      <c r="B110" s="165">
        <f>IFERROR(B37+B29,"-")</f>
        <v>0</v>
      </c>
      <c r="C110" s="165">
        <f>IFERROR(C37+C29,"-")</f>
        <v>0</v>
      </c>
      <c r="D110" s="165">
        <f>IFERROR(D37+D29,"-")</f>
        <v>0</v>
      </c>
      <c r="E110" s="165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7" t="s">
        <v>813</v>
      </c>
      <c r="B112" s="168" t="str">
        <f>B89</f>
        <v>Provisionals</v>
      </c>
      <c r="C112" s="168" t="str">
        <f t="shared" ref="C112:E112" si="27">C89</f>
        <v>31/03/2024</v>
      </c>
      <c r="D112" s="168" t="str">
        <f t="shared" si="27"/>
        <v>31/03/2023</v>
      </c>
      <c r="E112" s="168" t="str">
        <f t="shared" si="27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9" t="s">
        <v>822</v>
      </c>
      <c r="B122" s="169">
        <f>SUM(B113:B121)</f>
        <v>0</v>
      </c>
      <c r="C122" s="169">
        <f>SUM(C113:C121)</f>
        <v>0</v>
      </c>
      <c r="D122" s="169">
        <f>SUM(D113:D121)</f>
        <v>0</v>
      </c>
      <c r="E122" s="169">
        <f>SUM(E113:E121)</f>
        <v>0</v>
      </c>
    </row>
    <row r="123" spans="1:5">
      <c r="A123" s="3" t="s">
        <v>823</v>
      </c>
      <c r="B123" s="170">
        <f>C80-B80</f>
        <v>0</v>
      </c>
      <c r="C123" s="170">
        <f>D80-C80</f>
        <v>0</v>
      </c>
      <c r="D123" s="170">
        <f>E80-D80</f>
        <v>0</v>
      </c>
      <c r="E123" s="170"/>
    </row>
    <row r="124" spans="1:5">
      <c r="A124" s="3" t="s">
        <v>783</v>
      </c>
      <c r="B124" s="170">
        <f>C79-B79</f>
        <v>0</v>
      </c>
      <c r="C124" s="170">
        <f>D79-C79</f>
        <v>0</v>
      </c>
      <c r="D124" s="170">
        <f>E79-D79</f>
        <v>0</v>
      </c>
      <c r="E124" s="170"/>
    </row>
    <row r="125" spans="1:5">
      <c r="A125" s="3" t="s">
        <v>788</v>
      </c>
      <c r="B125" s="170">
        <f>C84-B84</f>
        <v>0</v>
      </c>
      <c r="C125" s="170">
        <f>D84-C84</f>
        <v>0</v>
      </c>
      <c r="D125" s="170">
        <f>E84-D84</f>
        <v>0</v>
      </c>
      <c r="E125" s="170"/>
    </row>
    <row r="126" spans="1:5">
      <c r="A126" s="3" t="s">
        <v>824</v>
      </c>
      <c r="B126" s="170">
        <f>B67-C67</f>
        <v>0</v>
      </c>
      <c r="C126" s="170">
        <f>C67-D67</f>
        <v>0</v>
      </c>
      <c r="D126" s="170">
        <f>D67-E67</f>
        <v>0</v>
      </c>
      <c r="E126" s="170"/>
    </row>
    <row r="127" spans="1:5">
      <c r="A127" s="171" t="s">
        <v>39</v>
      </c>
      <c r="B127" s="171">
        <f>SUM(B123:B126)</f>
        <v>0</v>
      </c>
      <c r="C127" s="171">
        <f>SUM(C123:C126)</f>
        <v>0</v>
      </c>
      <c r="D127" s="171">
        <f>SUM(D123:D126)</f>
        <v>0</v>
      </c>
      <c r="E127" s="171"/>
    </row>
    <row r="128" spans="1:5">
      <c r="A128" s="169" t="s">
        <v>825</v>
      </c>
      <c r="B128" s="169">
        <f>B122+B127</f>
        <v>0</v>
      </c>
      <c r="C128" s="169">
        <f>C122+C127</f>
        <v>0</v>
      </c>
      <c r="D128" s="169">
        <f>D122+D127</f>
        <v>0</v>
      </c>
      <c r="E128" s="169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9" t="s">
        <v>827</v>
      </c>
      <c r="B130" s="169">
        <f>B128-B129</f>
        <v>0</v>
      </c>
      <c r="C130" s="169">
        <f>C128-C129</f>
        <v>0</v>
      </c>
      <c r="D130" s="169">
        <f>D128-D129</f>
        <v>0</v>
      </c>
      <c r="E130" s="169">
        <f>E128-E129</f>
        <v>0</v>
      </c>
    </row>
  </sheetData>
  <sheetProtection algorithmName="SHA-512" hashValue="zZBalBDu3XGHhyTA3bMko3wU+vUfRdn1LmXr1e2i+oZh20myLY1bEu6XmU69ax2nHyZqA9+NMUUxlt2y5PvqYA==" saltValue="j1yXipjMMBIeRX+v7RrFW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82" priority="10" stopIfTrue="1" operator="lessThan">
      <formula>-0.2</formula>
    </cfRule>
    <cfRule type="cellIs" dxfId="81" priority="11" stopIfTrue="1" operator="lessThan">
      <formula>0</formula>
    </cfRule>
    <cfRule type="cellIs" dxfId="80" priority="12" stopIfTrue="1" operator="greaterThan">
      <formula>0.4</formula>
    </cfRule>
  </conditionalFormatting>
  <conditionalFormatting sqref="F33:G45 F57:G58 G87">
    <cfRule type="cellIs" dxfId="79" priority="40" stopIfTrue="1" operator="lessThan">
      <formula>-0.2</formula>
    </cfRule>
    <cfRule type="cellIs" dxfId="78" priority="41" stopIfTrue="1" operator="lessThan">
      <formula>0</formula>
    </cfRule>
    <cfRule type="cellIs" dxfId="77" priority="42" stopIfTrue="1" operator="greaterThan">
      <formula>0.4</formula>
    </cfRule>
  </conditionalFormatting>
  <conditionalFormatting sqref="F46:G57">
    <cfRule type="cellIs" dxfId="76" priority="4" stopIfTrue="1" operator="lessThan">
      <formula>-0.2</formula>
    </cfRule>
    <cfRule type="cellIs" dxfId="75" priority="5" stopIfTrue="1" operator="lessThan">
      <formula>0</formula>
    </cfRule>
    <cfRule type="cellIs" dxfId="74" priority="6" stopIfTrue="1" operator="greaterThan">
      <formula>0.4</formula>
    </cfRule>
  </conditionalFormatting>
  <conditionalFormatting sqref="F59:G86">
    <cfRule type="cellIs" dxfId="73" priority="1" stopIfTrue="1" operator="lessThan">
      <formula>-0.2</formula>
    </cfRule>
    <cfRule type="cellIs" dxfId="72" priority="2" stopIfTrue="1" operator="lessThan">
      <formula>0</formula>
    </cfRule>
    <cfRule type="cellIs" dxfId="71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1"/>
      <c r="C1" s="501"/>
      <c r="D1" s="501"/>
      <c r="E1" s="501"/>
      <c r="F1" s="501"/>
      <c r="G1" s="501"/>
    </row>
    <row r="2" spans="1:10">
      <c r="A2" s="45" t="s">
        <v>591</v>
      </c>
      <c r="B2" s="503"/>
      <c r="C2" s="503"/>
      <c r="D2" s="503"/>
      <c r="E2" s="503"/>
      <c r="F2" s="503"/>
      <c r="G2" s="503"/>
    </row>
    <row r="3" spans="1:10">
      <c r="A3" s="45" t="s">
        <v>595</v>
      </c>
      <c r="B3" s="538" t="s">
        <v>17</v>
      </c>
      <c r="C3" s="538"/>
      <c r="D3" s="538"/>
      <c r="E3" s="538"/>
      <c r="F3" s="538"/>
      <c r="G3" s="538"/>
    </row>
    <row r="4" spans="1:10">
      <c r="A4" s="45" t="s">
        <v>597</v>
      </c>
      <c r="B4" s="538" t="s">
        <v>828</v>
      </c>
      <c r="C4" s="538"/>
      <c r="D4" s="538"/>
      <c r="E4" s="538"/>
      <c r="F4" s="538"/>
      <c r="G4" s="538"/>
    </row>
    <row r="5" spans="1:10">
      <c r="A5" s="45" t="s">
        <v>599</v>
      </c>
      <c r="B5" s="538" t="s">
        <v>829</v>
      </c>
      <c r="C5" s="538"/>
      <c r="D5" s="538"/>
      <c r="E5" s="538"/>
      <c r="F5" s="538"/>
      <c r="G5" s="538"/>
    </row>
    <row r="6" spans="1:10">
      <c r="A6" s="45" t="s">
        <v>601</v>
      </c>
      <c r="B6" s="538" t="s">
        <v>830</v>
      </c>
      <c r="C6" s="538"/>
      <c r="D6" s="538"/>
      <c r="E6" s="538"/>
      <c r="F6" s="538"/>
      <c r="G6" s="538"/>
    </row>
    <row r="7" spans="1:10" ht="25.5">
      <c r="A7" s="45" t="s">
        <v>603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831</v>
      </c>
      <c r="B8" s="538" t="s">
        <v>20</v>
      </c>
      <c r="C8" s="538"/>
      <c r="D8" s="538"/>
      <c r="E8" s="538"/>
      <c r="F8" s="538"/>
      <c r="G8" s="538"/>
    </row>
    <row r="9" spans="1:10">
      <c r="A9" s="45" t="s">
        <v>832</v>
      </c>
      <c r="B9" s="540">
        <v>1</v>
      </c>
      <c r="C9" s="540"/>
      <c r="D9" s="540"/>
      <c r="E9" s="540"/>
      <c r="F9" s="540"/>
      <c r="G9" s="540"/>
    </row>
    <row r="11" spans="1:10">
      <c r="A11" s="533" t="str">
        <f>CONCATENATE("Financial Details: ",B1)</f>
        <v xml:space="preserve">Financial Details: 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833</v>
      </c>
      <c r="C12" s="534"/>
      <c r="D12" s="534"/>
      <c r="E12" s="534"/>
      <c r="F12" s="1"/>
      <c r="G12" s="1"/>
    </row>
    <row r="13" spans="1:10" ht="38.25">
      <c r="A13" s="48" t="s">
        <v>717</v>
      </c>
      <c r="B13" s="150" t="s">
        <v>834</v>
      </c>
      <c r="C13" s="151" t="str">
        <f>IF($B$7&lt;&gt;"",CONCATENATE("FY ",$B$7-1,"-",$B$7-2000),"FY 2019-20")</f>
        <v>FY 2023-24</v>
      </c>
      <c r="D13" s="151" t="str">
        <f>IF($B$7&lt;&gt;"",CONCATENATE("FY ",$B$7-2,"-",$B$7-2001),"FY 2018-19")</f>
        <v>FY 2022-23</v>
      </c>
      <c r="E13" s="152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3" t="s">
        <v>720</v>
      </c>
      <c r="B14" s="535"/>
      <c r="C14" s="536"/>
      <c r="D14" s="536"/>
      <c r="E14" s="537"/>
      <c r="F14" s="154"/>
      <c r="G14" s="154"/>
      <c r="H14" s="1"/>
      <c r="I14" s="1"/>
      <c r="J14" s="1"/>
    </row>
    <row r="15" spans="1:10" ht="15">
      <c r="A15" s="155" t="s">
        <v>721</v>
      </c>
      <c r="B15" s="156"/>
      <c r="C15" s="157">
        <f>'CSV4'!H6+'CSV4'!O6+'CSV4'!Q6+SUM('CSV4'!EM6:EN6)+SUM('CSV4'!GE6:GG6)+'CSV4'!V6+'CSV4'!ED6++'CSV4'!N6+'CSV4'!EH6+'CSV4'!EO6+'CSV4'!I6+'CSV4'!P6+'CSV4'!R6+'CSV4'!GH6</f>
        <v>0</v>
      </c>
      <c r="D15" s="157">
        <f>'CSV4'!H5+'CSV4'!O5+'CSV4'!Q5+SUM('CSV4'!EM5:EN5)+SUM('CSV4'!GE5:GG5)+'CSV4'!V5+'CSV4'!ED5+'CSV4'!N5+'CSV4'!EH5+'CSV4'!EO5+'CSV4'!I5+'CSV4'!P5+'CSV4'!R5+'CSV4'!GH5</f>
        <v>0</v>
      </c>
      <c r="E15" s="157">
        <f>'CSV4'!H4+'CSV4'!O4+'CSV4'!Q4+SUM('CSV4'!EM4:EN4)+SUM('CSV4'!GE4:GG4)+'CSV4'!V4+'CSV4'!ED4+'CSV4'!N4+'CSV4'!EH4+'CSV4'!EO4+'CSV4'!I4+'CSV4'!P4+'CSV4'!R4+'CSV4'!GH4</f>
        <v>0</v>
      </c>
      <c r="F15" s="158" t="str">
        <f>IFERROR((C15-D15)/D15,"-")</f>
        <v>-</v>
      </c>
      <c r="G15" s="158" t="str">
        <f>IFERROR((D15-E15)/E15,"-")</f>
        <v>-</v>
      </c>
    </row>
    <row r="16" spans="1:10" ht="15">
      <c r="A16" s="159" t="s">
        <v>722</v>
      </c>
      <c r="B16" s="80"/>
      <c r="C16" s="160"/>
      <c r="D16" s="160"/>
      <c r="E16" s="160"/>
      <c r="F16" s="158" t="str">
        <f>IFERROR((C16-D16)/D16,"-")</f>
        <v>-</v>
      </c>
      <c r="G16" s="158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1" t="s">
        <v>724</v>
      </c>
      <c r="B18" s="162"/>
      <c r="C18" s="162">
        <f>'CSV4'!U6+'CSV4'!K6+'CSV4'!L6+'CSV4'!W6+'CSV4'!X6+'CSV4'!Z6+'CSV4'!AA6+'CSV4'!AB6+'CSV4'!J6</f>
        <v>0</v>
      </c>
      <c r="D18" s="162">
        <f>'CSV4'!U5+'CSV4'!K5+'CSV4'!L5+'CSV4'!W5+'CSV4'!X5+'CSV4'!Z5+'CSV4'!AA5+'CSV4'!AB5+'CSV4'!J5</f>
        <v>0</v>
      </c>
      <c r="E18" s="162">
        <f>'CSV4'!U4+'CSV4'!K4+'CSV4'!L4+'CSV4'!W4+'CSV4'!X4+'CSV4'!Z4+'CSV4'!AA4+'CSV4'!AB4+'CSV4'!J4</f>
        <v>0</v>
      </c>
      <c r="F18" s="163" t="str">
        <f t="shared" si="1"/>
        <v>-</v>
      </c>
      <c r="G18" s="163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3" t="s">
        <v>726</v>
      </c>
      <c r="B20" s="535"/>
      <c r="C20" s="536"/>
      <c r="D20" s="536"/>
      <c r="E20" s="537"/>
      <c r="F20" s="154"/>
      <c r="G20" s="154"/>
    </row>
    <row r="21" spans="1:7">
      <c r="A21" s="60" t="s">
        <v>727</v>
      </c>
      <c r="B21" s="55"/>
      <c r="C21" s="55">
        <f>'CSV4'!AK6+'CSV4'!AL6+'CSV4'!AM6+'CSV4'!AO6+'CSV4'!AP6+'CSV4'!AQ6+'CSV4'!AR6+'CSV4'!AS6+'CSV4'!AT6+'CSV4'!AU6+'CSV4'!AV6-('CSV4'!AF6+'CSV4'!AG6+'CSV4'!AH6)</f>
        <v>0</v>
      </c>
      <c r="D21" s="55">
        <f>'CSV4'!AK5+'CSV4'!AL5+'CSV4'!AM5+'CSV4'!AO5+'CSV4'!AP5+'CSV4'!AQ5+'CSV4'!AR5+'CSV4'!AS5+'CSV4'!AT5+'CSV4'!AU5+'CSV4'!AV5-('CSV4'!AF5+'CSV4'!AG5+'CSV4'!AH5)</f>
        <v>0</v>
      </c>
      <c r="E21" s="55">
        <f>'CSV4'!AK4+'CSV4'!AL4+'CSV4'!AM4+'CSV4'!AO4+'CSV4'!AP4+'CSV4'!AQ4+'CSV4'!AR4+'CSV4'!AS4+'CSV4'!AT4+'CSV4'!AU4+'CSV4'!AV4-('CSV4'!AF4+'CSV4'!AG4+'CSV4'!AH4)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SUM('CSV4'!AX6:AZ6)+'CSV4'!BC6+'CSV4'!ED6-'CSV4'!EE6+'CSV4'!EH6-'CSV4'!EI6+'CSV4'!FN6+'CSV4'!FO6+SUM('CSV4'!FS6:FW6)</f>
        <v>0</v>
      </c>
      <c r="D22" s="55">
        <f>SUM('CSV4'!AX5:AZ5)+'CSV4'!BC5+'CSV4'!ED5-'CSV4'!EE5+'CSV4'!EH5-'CSV4'!EI5</f>
        <v>0</v>
      </c>
      <c r="E22" s="55">
        <f>SUM('CSV4'!AX4:AZ4)+'CSV4'!BC4+'CSV4'!ED4-'CSV4'!EE4+'CSV4'!EH4-'CSV4'!EI4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3" t="s">
        <v>730</v>
      </c>
      <c r="B24" s="535"/>
      <c r="C24" s="536"/>
      <c r="D24" s="536"/>
      <c r="E24" s="537"/>
      <c r="F24" s="154"/>
      <c r="G24" s="154"/>
    </row>
    <row r="25" spans="1:7">
      <c r="A25" s="60" t="s">
        <v>731</v>
      </c>
      <c r="B25" s="55"/>
      <c r="C25" s="55">
        <f>SUM('CSV4'!BD6:BM6)+'CSV4'!BV6+SUM('CSV4'!BA6:BB6)+'CSV4'!BQ6+'CSV4'!BR6+'CSV4'!BS6+'CSV4'!BT6+SUM('CSV4'!BW6:BY6)+SUM('CSV4'!CH6:CI6)+SUM('CSV4'!CK6:CU6)+'CSV4'!DB6+'CSV4'!DD6+'CSV4'!DJ6+'CSV4'!EF6+'CSV4'!EJ6+SUM('CSV4'!EM6:EO6)-'CSV4'!EP6+'CSV4'!GA6+SUM('CSV4'!BZ6:CA6)+SUM('CSV4'!CB6,'CSV4'!CC6,'CSV4'!CE6,'CSV4'!CF6)+SUM('CSV4'!CV6:CZ6)</f>
        <v>0</v>
      </c>
      <c r="D25" s="55">
        <f>SUM('CSV4'!BD5:BM5)+'CSV4'!BV5+SUM('CSV4'!BA5:BB5)+'CSV4'!BQ5+'CSV4'!BR5+'CSV4'!BS5+'CSV4'!BT5+SUM('CSV4'!BW5:BY5)+SUM('CSV4'!CH5:CI5)+SUM('CSV4'!CK5:CU5)+'CSV4'!DB5+'CSV4'!DD5+'CSV4'!DJ5+'CSV4'!EF5+'CSV4'!EJ5+SUM('CSV4'!EM5:EO5)-'CSV4'!EP5+SUM('CSV4'!BZ5:CA5)+SUM('CSV4'!CB5,'CSV4'!CC5,'CSV4'!CE5,'CSV4'!CF5)+SUM('CSV4'!CV5:CZ5)</f>
        <v>0</v>
      </c>
      <c r="E25" s="55">
        <f>SUM('CSV4'!BD4:BM4)+'CSV4'!BV4+SUM('CSV4'!BA4:BB4)+'CSV4'!BQ4+'CSV4'!BR4+'CSV4'!BS4+'CSV4'!BT4+SUM('CSV4'!BW4:BY4)+SUM('CSV4'!CH4:CI4)+SUM('CSV4'!CK4:CU4)+'CSV4'!DB4+'CSV4'!DD4+'CSV4'!DJ4+'CSV4'!EF4+'CSV4'!EJ4+SUM('CSV4'!EM4:EO4)-'CSV4'!EP4+SUM('CSV4'!BZ4:CA4)+SUM('CSV4'!CB4,'CSV4'!CC4,'CSV4'!CE4,'CSV4'!CF4)+SUM('CSV4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SUM('CSV4'!DE6:DG6)+'CSV4'!DI6</f>
        <v>0</v>
      </c>
      <c r="D26" s="55">
        <f>SUM('CSV4'!DE5:DG5)+'CSV4'!DI5</f>
        <v>0</v>
      </c>
      <c r="E26" s="55">
        <f>SUM('CSV4'!DE4:DG4)+'CSV4'!DI4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f>'CSV4'!DQ6+'CSV4'!FX6</f>
        <v>0</v>
      </c>
      <c r="D29" s="55">
        <f>'CSV4'!DQ5</f>
        <v>0</v>
      </c>
      <c r="E29" s="55">
        <f>'CSV4'!DQ4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'CSV4'!DM6+'CSV4'!DO6</f>
        <v>0</v>
      </c>
      <c r="D31" s="55">
        <f>'CSV4'!DM5+'CSV4'!DO5</f>
        <v>0</v>
      </c>
      <c r="E31" s="55">
        <f>'CSV4'!DM4+'CSV4'!DO4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'CSV4'!Y6+'CSV4'!AC6+'CSV4'!AD6</f>
        <v>0</v>
      </c>
      <c r="D33" s="55">
        <f>'CSV4'!Y5+'CSV4'!AC5+'CSV4'!AD5</f>
        <v>0</v>
      </c>
      <c r="E33" s="55">
        <f>'CSV4'!Y4+'CSV4'!AC4+'CSV4'!AD4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SUM('CSV4'!DS6:DT6)</f>
        <v>0</v>
      </c>
      <c r="D36" s="55">
        <f>SUM('CSV4'!DS5:DT5)</f>
        <v>0</v>
      </c>
      <c r="E36" s="55">
        <f>SUM('CSV4'!DS4:DT4)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SUM('CSV4'!DY6:DZ6)</f>
        <v>0</v>
      </c>
      <c r="D39" s="55">
        <f>SUM('CSV4'!DY5:DZ5)</f>
        <v>0</v>
      </c>
      <c r="E39" s="55">
        <f>SUM('CSV4'!DY4:DZ4)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'CSV4'!DC6</f>
        <v>0</v>
      </c>
      <c r="D40" s="55">
        <f>'CSV4'!DC5</f>
        <v>0</v>
      </c>
      <c r="E40" s="55">
        <f>'CSV4'!DC4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'CSV4'!DL6+'CSV4'!DN6</f>
        <v>0</v>
      </c>
      <c r="D41" s="55">
        <f>'CSV4'!DL5+'CSV4'!DN5</f>
        <v>0</v>
      </c>
      <c r="E41" s="55">
        <f>'CSV4'!DL4+'CSV4'!DN4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'CSV4'!DX6</f>
        <v>0</v>
      </c>
      <c r="D42" s="55">
        <f>'CSV4'!DX5</f>
        <v>0</v>
      </c>
      <c r="E42" s="55">
        <f>'CSV4'!DX4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833</v>
      </c>
      <c r="C44" s="534"/>
      <c r="D44" s="534"/>
      <c r="E44" s="534"/>
      <c r="F44" s="64"/>
      <c r="G44" s="64"/>
    </row>
    <row r="45" spans="1:10" ht="38.25">
      <c r="A45" s="48" t="s">
        <v>750</v>
      </c>
      <c r="B45" s="344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3" t="s">
        <v>751</v>
      </c>
      <c r="B46" s="535"/>
      <c r="C46" s="536"/>
      <c r="D46" s="536"/>
      <c r="E46" s="537"/>
      <c r="F46" s="154"/>
      <c r="G46" s="154"/>
      <c r="H46" s="1"/>
      <c r="I46" s="1"/>
      <c r="J46" s="1"/>
    </row>
    <row r="47" spans="1:10">
      <c r="A47" s="60" t="s">
        <v>752</v>
      </c>
      <c r="B47" s="54"/>
      <c r="C47" s="55">
        <f>'CSV4'!I25+'CSV4'!J25+'CSV4'!I31+'CSV4'!J31+'CSV4'!H19+'CSV4'!H13+'CSV4'!H36+SUM('CSV4'!O36:U36)-SUM('CSV4'!H36:M36)</f>
        <v>0</v>
      </c>
      <c r="D47" s="55">
        <f>'CSV4'!I24+'CSV4'!J24+'CSV4'!H18+'CSV4'!H12+'CSV4'!H35+SUM('CSV4'!O35:U35)-SUM('CSV4'!H35:M35)</f>
        <v>0</v>
      </c>
      <c r="E47" s="55">
        <f>'CSV4'!I23+'CSV4'!J23+'CSV4'!H17+'CSV4'!H11+'CSV4'!H34+SUM('CSV4'!O34:U34)-SUM('CSV4'!H34:M34)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'CSV4'!AK25+'CSV4'!BC25+'CSV4'!AC19+'CSV4'!AC31+'CSV4'!AD31+'CSV4'!AF31+'CSV4'!AG31+'CSV4'!AO31+SUM('CSV4'!AV31:AX31)+'CSV4'!BM31-('CSV4'!DB25+'CSV4'!EP25+'CSV4'!DG31)</f>
        <v>0</v>
      </c>
      <c r="D48" s="55">
        <f>'CSV4'!AK24+'CSV4'!BC24+'CSV4'!AC18-('CSV4'!DB24+'CSV4'!EP24)</f>
        <v>0</v>
      </c>
      <c r="E48" s="55">
        <f>'CSV4'!AK23+'CSV4'!BC23+'CSV4'!AC17-('CSV4'!DB23+'CSV4'!EP23)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SUM('CSV4'!I13:L13)-'CSV4'!BQ13+SUM('CSV4'!I19:M19)-'CSV4'!CU19+SUM('CSV4'!L25:S25)+'CSV4'!U25+SUM('CSV4'!W25:X25)+SUM('CSV4'!L31:O31)+'CSV4'!Q31</f>
        <v>0</v>
      </c>
      <c r="D49" s="55">
        <f>SUM('CSV4'!I12:L12)-'CSV4'!BQ12+SUM('CSV4'!I18:M18)-'CSV4'!CU18+SUM('CSV4'!L24:S24)+'CSV4'!U24+SUM('CSV4'!W24:X24)</f>
        <v>0</v>
      </c>
      <c r="E49" s="55">
        <f>SUM('CSV4'!I11:L11)-'CSV4'!BQ11+SUM('CSV4'!I17:M17)-'CSV4'!CU17+SUM('CSV4'!L23:S23)+'CSV4'!U23+SUM('CSV4'!W23:X23)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'CSV4'!CS19+'CSV4'!BO13</f>
        <v>0</v>
      </c>
      <c r="D53" s="55">
        <f>'CSV4'!CS18+'CSV4'!BO12</f>
        <v>0</v>
      </c>
      <c r="E53" s="55">
        <f>'CSV4'!CS17+'CSV4'!BO11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3" t="s">
        <v>760</v>
      </c>
      <c r="B55" s="535"/>
      <c r="C55" s="536"/>
      <c r="D55" s="536"/>
      <c r="E55" s="537"/>
      <c r="F55" s="154"/>
      <c r="G55" s="154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f>'CSV4'!AL25+'CSV4'!BD25+SUM('CSV4'!U19:X19)+SUM('CSV4'!T13:U13)+'CSV4'!J36</f>
        <v>0</v>
      </c>
      <c r="D57" s="55">
        <f>'CSV4'!AL24+'CSV4'!BD24+SUM('CSV4'!U18:X18)+SUM('CSV4'!T12:U12)+'CSV4'!J35</f>
        <v>0</v>
      </c>
      <c r="E57" s="55">
        <f>'CSV4'!AL23+'CSV4'!BD23+SUM('CSV4'!U17:X17)+SUM('CSV4'!T11:U11)+'CSV4'!J34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SUM('CSV4'!Z25:AA25)+SUM('CSV4'!AC25:AE25)+SUM('CSV4'!P19:R19)+SUM('CSV4'!O13:Q13)+'CSV4'!I36+SUM('CSV4'!T31:U31)+SUM('CSV4'!W31:Y31)</f>
        <v>0</v>
      </c>
      <c r="D58" s="55">
        <f>SUM('CSV4'!Z24:AA24)+SUM('CSV4'!AC24:AE24)+SUM('CSV4'!P18:R18)+SUM('CSV4'!O12:Q12)+'CSV4'!I35</f>
        <v>0</v>
      </c>
      <c r="E58" s="55">
        <f>SUM('CSV4'!Z23:AA23)+SUM('CSV4'!AC23:AE23)+SUM('CSV4'!P17:R17)+SUM('CSV4'!O11:Q11)+'CSV4'!I34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3" t="s">
        <v>766</v>
      </c>
      <c r="B61" s="535"/>
      <c r="C61" s="536"/>
      <c r="D61" s="536"/>
      <c r="E61" s="537"/>
      <c r="F61" s="154"/>
      <c r="G61" s="154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'CSV4'!AP25+SUM('CSV4'!BG25:BH25)+SUM('CSV4'!CD19:CE19)+'CSV4'!BC13+'CSV4'!BU13+'CSV4'!L36+'CSV4'!AI31+'CSV4'!AZ31+'CSV4'!AQ25+'CSV4'!BN25+'CSV4'!AD19+'CSV4'!CJ19+'CSV4'!AJ31+'CSV4'!BL31</f>
        <v>0</v>
      </c>
      <c r="D63" s="55">
        <f>'CSV4'!AP24+SUM('CSV4'!BG24:BH24)+SUM('CSV4'!CD18:CE18)+'CSV4'!BC12+'CSV4'!BU12+'CSV4'!L35+'CSV4'!AQ24+'CSV4'!BN24+'CSV4'!AD18+'CSV4'!CJ18</f>
        <v>0</v>
      </c>
      <c r="E63" s="55">
        <f>'CSV4'!AP23+SUM('CSV4'!BG23:BH23)+SUM('CSV4'!CD17:CE17)+'CSV4'!BC11+'CSV4'!BU11+'CSV4'!L34+'CSV4'!AQ23+'CSV4'!BN23+'CSV4'!AD17+'CSV4'!CJ17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'CSV4'!AW25+'CSV4'!AS31</f>
        <v>0</v>
      </c>
      <c r="D64" s="55">
        <f>'CSV4'!AW24</f>
        <v>0</v>
      </c>
      <c r="E64" s="55">
        <f>'CSV4'!AW23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4'!AS25:AT25)+SUM('CSV4'!BK25:BM25)+SUM('CSV4'!BU25:BY25)+SUM('CSV4'!CH19:CI19)+SUM('CSV4'!CM19:CO19)+SUM('CSV4'!BE13:BF13)+SUM('CSV4'!BH13:BK13)+SUM('CSV4'!AK31:AL31)+SUM('CSV4'!BB31:BC31)+SUM('CSV4'!BP31:BQ31)+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65" s="55">
        <f>SUM('CSV4'!AS24:AT24)+SUM('CSV4'!BK24:BM24)+SUM('CSV4'!BU24:BY24)+SUM('CSV4'!CH18:CI18)+SUM('CSV4'!CM18:CO18)+SUM('CSV4'!BE12:BF12)+SUM('CSV4'!BH12:BK12)+SUM('CSV4'!AI24:AJ24)+'CSV4'!AM24+'CSV4'!BB24+'CSV4'!BE24+'CSV4'!BJ24+'CSV4'!BO24+'CSV4'!BP24+'CSV4'!BQ24+'CSV4'!BR24+'CSV4'!BS24+'CSV4'!CG18+'CSV4'!CK18+'CSV4'!BD12+'CSV4'!K35+'CSV4'!M35</f>
        <v>0</v>
      </c>
      <c r="E65" s="55">
        <f>SUM('CSV4'!AS23:AT23)+SUM('CSV4'!BK23:BM23)+SUM('CSV4'!BU23:BY23)+SUM('CSV4'!CH17:CI17)+SUM('CSV4'!CM17:CO17)+SUM('CSV4'!BE11:BF11)+SUM('CSV4'!BH11:BK11)+SUM('CSV4'!AI23:AJ23)+'CSV4'!AM23+'CSV4'!BB23+'CSV4'!BE23+'CSV4'!BJ23+'CSV4'!BO23+'CSV4'!BP23+'CSV4'!BQ23+'CSV4'!BR23+'CSV4'!BS23+'CSV4'!CG17+'CSV4'!CK17+'CSV4'!BD11+'CSV4'!K34+'CSV4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SUM('CSV4'!AX25:AZ25)+'CSV4'!AT31</f>
        <v>0</v>
      </c>
      <c r="D66" s="55">
        <f>SUM('CSV4'!AX24:AZ24)</f>
        <v>0</v>
      </c>
      <c r="E66" s="55">
        <f>SUM('CSV4'!AX23:AZ23)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6">
        <f>B54+B68</f>
        <v>0</v>
      </c>
      <c r="C69" s="116">
        <f t="shared" ref="C69:E69" si="20">C54+C68</f>
        <v>0</v>
      </c>
      <c r="D69" s="116">
        <f t="shared" si="20"/>
        <v>0</v>
      </c>
      <c r="E69" s="116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f>'CSV4'!CF25+'CSV4'!CJ25+'CSV4'!AI19+'CSV4'!AB13+SUM('CSV4'!CK25:CL25)+'CSV4'!AC13+'CSV4'!AJ19+'CSV4'!O36+'CSV4'!BY31+'CSV4'!BZ31+'CSV4'!CG31+'CSV4'!CL31+'CSV4'!CM31+'CSV4'!CP31</f>
        <v>0</v>
      </c>
      <c r="D73" s="55">
        <f>'CSV4'!CF24+'CSV4'!CJ24+'CSV4'!AI18+'CSV4'!AB12+SUM('CSV4'!CK24:CL24)+'CSV4'!AC12+'CSV4'!AJ18+'CSV4'!O35</f>
        <v>0</v>
      </c>
      <c r="E73" s="55">
        <f>'CSV4'!CF23+'CSV4'!CJ23+'CSV4'!AI17+'CSV4'!AB11+SUM('CSV4'!CK23:CL23)+'CSV4'!AC11+'CSV4'!AJ17+'CSV4'!O34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6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6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-'CSV4'!AH25-'CSV4'!AO25+'CSV4'!CY25-'CSV4'!AB19+'CSV4'!CT19-'CSV4'!X13+'CSV4'!BP13-'CSV4'!AB31-'CSV4'!AN31+'CSV4'!DP31</f>
        <v>0</v>
      </c>
      <c r="D78" s="55">
        <f>-'CSV4'!AH24-'CSV4'!AO24+'CSV4'!CY24-'CSV4'!AB18+'CSV4'!CT18-'CSV4'!X12+'CSV4'!BP12</f>
        <v>0</v>
      </c>
      <c r="E78" s="55">
        <f>-'CSV4'!AH23-'CSV4'!AO23+'CSV4'!CY23-'CSV4'!AB17+'CSV4'!CT17-'CSV4'!X11+'CSV4'!BP11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5" t="s">
        <v>783</v>
      </c>
      <c r="B79" s="54"/>
      <c r="C79" s="55">
        <f>'CSV4'!DZ25+'CSV4'!BF19+'CSV4'!AN13+'CSV4'!DX31+SUM('CSV4'!ED25:EE25)+SUM('CSV4'!BJ19:BK19)+'CSV4'!AM13+SUM('CSV4'!EB31:EC31)+'CSV4'!EA25+'CSV4'!BG19+'CSV4'!AO13+'CSV4'!DY31+SUM('CSV4'!EB25:EC25)+'CSV4'!EF25+SUM('CSV4'!BH19:BI19)+'CSV4'!BL19+'CSV4'!AP13+'CSV4'!P36+SUM('CSV4'!DZ31:EA31)+'CSV4'!EE31</f>
        <v>0</v>
      </c>
      <c r="D79" s="55">
        <f>'CSV4'!DZ24+'CSV4'!BF18+'CSV4'!AN12+SUM('CSV4'!ED24:EE24)+SUM('CSV4'!BJ18:BK18)+'CSV4'!AM12+'CSV4'!EA24+'CSV4'!BG18+'CSV4'!AO12+SUM('CSV4'!EB24:EC24)+'CSV4'!EF24+SUM('CSV4'!BH18:BI18)+'CSV4'!BL18+'CSV4'!AP12+'CSV4'!P35</f>
        <v>0</v>
      </c>
      <c r="E79" s="55">
        <f>'CSV4'!DZ23+'CSV4'!BF17+'CSV4'!AN11+SUM('CSV4'!ED23:EE23)+SUM('CSV4'!BJ17:BK17)+'CSV4'!AM11+'CSV4'!EA23+'CSV4'!BG17+'CSV4'!AO11+SUM('CSV4'!EB23:EC23)+'CSV4'!EF23+SUM('CSV4'!BH17:BI17)+'CSV4'!BL17+'CSV4'!AP11+'CSV4'!P34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5" t="s">
        <v>785</v>
      </c>
      <c r="B81" s="54"/>
      <c r="C81" s="55">
        <f>'CSV4'!DJ25+'CSV4'!DL25+'CSV4'!EH25+'CSV4'!BN19+'CSV4'!DD31+'CSV4'!ES31</f>
        <v>0</v>
      </c>
      <c r="D81" s="55">
        <f>'CSV4'!DJ24+'CSV4'!DL24+'CSV4'!EH24+'CSV4'!BN18</f>
        <v>0</v>
      </c>
      <c r="E81" s="55">
        <f>'CSV4'!DJ23+'CSV4'!DL23+'CSV4'!EH23+'CSV4'!BN17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5" t="s">
        <v>786</v>
      </c>
      <c r="B82" s="54"/>
      <c r="C82" s="55">
        <f>SUM('CSV4'!DH25:DI25)+'CSV4'!EI25+'CSV4'!BO19+'CSV4'!AR13+'CSV4'!Q36+SUM('CSV4'!DB31:DC31)+SUM('CSV4'!DM31:DN31)+SUM('CSV4'!EQ31:ER31)</f>
        <v>0</v>
      </c>
      <c r="D82" s="55">
        <f>SUM('CSV4'!DH24:DI24)+'CSV4'!EI24+'CSV4'!BO18+'CSV4'!AR12+'CSV4'!Q35</f>
        <v>0</v>
      </c>
      <c r="E82" s="55">
        <f>SUM('CSV4'!DH23:DI23)+'CSV4'!EI23+'CSV4'!BO17+'CSV4'!AR11+'CSV4'!Q34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f>SUM('CSV4'!EK25:EN25)+SUM('CSV4'!BQ19:BS19)+SUM('CSV4'!AS13:AT13)+'CSV4'!BW13+'CSV4'!S36+'CSV4'!R36+SUM('CSV4'!EV31:EY31)+'CSV4'!FA31</f>
        <v>0</v>
      </c>
      <c r="D83" s="55">
        <f>SUM('CSV4'!EK24:EN24)+SUM('CSV4'!BQ18:BS18)+SUM('CSV4'!AS12:AT12)+'CSV4'!BW12+'CSV4'!S35+'CSV4'!R35</f>
        <v>0</v>
      </c>
      <c r="E83" s="55">
        <f>SUM('CSV4'!EK23:EN23)+SUM('CSV4'!BQ17:BS17)+SUM('CSV4'!AS11:AT11)+'CSV4'!BW11+'CSV4'!S34+'CSV4'!R34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5" s="55">
        <f>'CSV4'!CZ24+'CSV4'!DC24+'CSV4'!EQ24+'CSV4'!EV24+'CSV4'!BU18+'CSV4'!BW18+'CSV4'!AV12+'CSV4'!AX12+'CSV4'!T35+'CSV4'!U35</f>
        <v>0</v>
      </c>
      <c r="E85" s="55">
        <f>'CSV4'!CZ23+'CSV4'!DC23+'CSV4'!EQ23+'CSV4'!EV23+'CSV4'!BU17+'CSV4'!BW17+'CSV4'!AV11+'CSV4'!AX11+'CSV4'!T34+'CSV4'!U34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'CSV4'!BY19+'CSV4'!AZ13</f>
        <v>0</v>
      </c>
      <c r="D86" s="55">
        <f>'CSV4'!BY18+'CSV4'!AZ12</f>
        <v>0</v>
      </c>
      <c r="E86" s="55">
        <f>'CSV4'!BY17+'CSV4'!AZ11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4" t="str">
        <f>IFERROR(B68/B54,"-")</f>
        <v>-</v>
      </c>
      <c r="C90" s="164" t="str">
        <f>IFERROR(C68/C54,"-")</f>
        <v>-</v>
      </c>
      <c r="D90" s="164" t="str">
        <f>IFERROR(D68/D54,"-")</f>
        <v>-</v>
      </c>
      <c r="E90" s="164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4" t="str">
        <f>IFERROR(B28/B31,"-")</f>
        <v>-</v>
      </c>
      <c r="C93" s="164" t="str">
        <f>IFERROR(C28/C31,"-")</f>
        <v>-</v>
      </c>
      <c r="D93" s="164" t="str">
        <f>IFERROR(D28/D31,"-")</f>
        <v>-</v>
      </c>
      <c r="E93" s="164" t="str">
        <f>IFERROR(E28/E31,"-")</f>
        <v>-</v>
      </c>
      <c r="F93" s="78"/>
      <c r="G93" s="78"/>
    </row>
    <row r="94" spans="1:7">
      <c r="A94" s="76" t="s">
        <v>796</v>
      </c>
      <c r="B94" s="165" t="str">
        <f>IFERROR(B17/B73,"-")</f>
        <v>-</v>
      </c>
      <c r="C94" s="165" t="str">
        <f>IFERROR(C17/C73,"-")</f>
        <v>-</v>
      </c>
      <c r="D94" s="165" t="str">
        <f>IFERROR(D17/D73,"-")</f>
        <v>-</v>
      </c>
      <c r="E94" s="165" t="str">
        <f>IFERROR(E17/E73,"-")</f>
        <v>-</v>
      </c>
      <c r="F94" s="78"/>
      <c r="G94" s="78"/>
    </row>
    <row r="95" spans="1:7">
      <c r="A95" s="76" t="s">
        <v>797</v>
      </c>
      <c r="B95" s="165" t="str">
        <f>IFERROR(B63/B23*365,"-")</f>
        <v>-</v>
      </c>
      <c r="C95" s="165" t="str">
        <f>IFERROR(C63/C23*365,"-")</f>
        <v>-</v>
      </c>
      <c r="D95" s="165" t="str">
        <f>IFERROR(D63/D23*365,"-")</f>
        <v>-</v>
      </c>
      <c r="E95" s="165" t="str">
        <f>IFERROR(E63/E23*365,"-")</f>
        <v>-</v>
      </c>
      <c r="F95" s="78"/>
      <c r="G95" s="78"/>
    </row>
    <row r="96" spans="1:7">
      <c r="A96" s="76" t="s">
        <v>798</v>
      </c>
      <c r="B96" s="165">
        <f>IFERROR(B77-B67+B57,"-")</f>
        <v>0</v>
      </c>
      <c r="C96" s="165">
        <f>IFERROR(C77-C67+C57,"-")</f>
        <v>0</v>
      </c>
      <c r="D96" s="165">
        <f>IFERROR(D77-D67+D57,"-")</f>
        <v>0</v>
      </c>
      <c r="E96" s="165">
        <f>IFERROR(E77-E67+E57,"-")</f>
        <v>0</v>
      </c>
      <c r="F96" s="78"/>
      <c r="G96" s="78"/>
    </row>
    <row r="97" spans="1:7">
      <c r="A97" s="76" t="s">
        <v>799</v>
      </c>
      <c r="B97" s="165" t="str">
        <f>IFERROR(B80/B15*365,"-")</f>
        <v>-</v>
      </c>
      <c r="C97" s="165" t="str">
        <f>IFERROR(C80/C15*365,"-")</f>
        <v>-</v>
      </c>
      <c r="D97" s="165" t="str">
        <f>IFERROR(D80/D15*365,"-")</f>
        <v>-</v>
      </c>
      <c r="E97" s="165" t="str">
        <f>IFERROR(E80/E15*365,"-")</f>
        <v>-</v>
      </c>
      <c r="F97" s="78"/>
      <c r="G97" s="78"/>
    </row>
    <row r="98" spans="1:7">
      <c r="A98" s="76" t="s">
        <v>800</v>
      </c>
      <c r="B98" s="165" t="str">
        <f>IFERROR(B79*365/B17,"-")</f>
        <v>-</v>
      </c>
      <c r="C98" s="165" t="str">
        <f>IFERROR(C79*365/C17,"-")</f>
        <v>-</v>
      </c>
      <c r="D98" s="165" t="str">
        <f>IFERROR(D79*365/D17,"-")</f>
        <v>-</v>
      </c>
      <c r="E98" s="165" t="str">
        <f>IFERROR(E79*365/E17,"-")</f>
        <v>-</v>
      </c>
      <c r="F98" s="78"/>
      <c r="G98" s="78"/>
    </row>
    <row r="99" spans="1:7">
      <c r="A99" s="76" t="s">
        <v>801</v>
      </c>
      <c r="B99" s="165" t="str">
        <f>IFERROR(B79/B23,"-")</f>
        <v>-</v>
      </c>
      <c r="C99" s="165" t="str">
        <f>IFERROR(C79/C23,"-")</f>
        <v>-</v>
      </c>
      <c r="D99" s="165" t="str">
        <f>IFERROR(D79/D23,"-")</f>
        <v>-</v>
      </c>
      <c r="E99" s="165" t="str">
        <f>IFERROR(E79/E23,"-")</f>
        <v>-</v>
      </c>
      <c r="F99" s="78"/>
      <c r="G99" s="78"/>
    </row>
    <row r="100" spans="1:7">
      <c r="A100" s="76" t="s">
        <v>802</v>
      </c>
      <c r="B100" s="165" t="str">
        <f>IFERROR(B77/B67,"-")</f>
        <v>-</v>
      </c>
      <c r="C100" s="165" t="str">
        <f>IFERROR(C77/C67,"-")</f>
        <v>-</v>
      </c>
      <c r="D100" s="165" t="str">
        <f>IFERROR(D77/D67,"-")</f>
        <v>-</v>
      </c>
      <c r="E100" s="165" t="str">
        <f>IFERROR(E77/E67,"-")</f>
        <v>-</v>
      </c>
      <c r="F100" s="78"/>
      <c r="G100" s="78"/>
    </row>
    <row r="101" spans="1:7">
      <c r="A101" s="76" t="s">
        <v>803</v>
      </c>
      <c r="B101" s="165" t="str">
        <f>IFERROR((B77-73)/(B63+B64),"-")</f>
        <v>-</v>
      </c>
      <c r="C101" s="165" t="str">
        <f>IFERROR((C77-73)/(C63+C64),"-")</f>
        <v>-</v>
      </c>
      <c r="D101" s="165" t="str">
        <f>IFERROR((D77-73)/(D63+D64),"-")</f>
        <v>-</v>
      </c>
      <c r="E101" s="165" t="str">
        <f>IFERROR((E77-73)/(E63+E64),"-")</f>
        <v>-</v>
      </c>
      <c r="F101" s="78"/>
      <c r="G101" s="78"/>
    </row>
    <row r="102" spans="1:7">
      <c r="A102" s="76" t="s">
        <v>804</v>
      </c>
      <c r="B102" s="165" t="str">
        <f>IFERROR(B60/B54,"-")</f>
        <v>-</v>
      </c>
      <c r="C102" s="165" t="str">
        <f>IFERROR(C60/C54,"-")</f>
        <v>-</v>
      </c>
      <c r="D102" s="165" t="str">
        <f>IFERROR(D60/D54,"-")</f>
        <v>-</v>
      </c>
      <c r="E102" s="165" t="str">
        <f>IFERROR(E60/E54,"-")</f>
        <v>-</v>
      </c>
      <c r="F102" s="78"/>
      <c r="G102" s="78"/>
    </row>
    <row r="103" spans="1:7">
      <c r="A103" s="76" t="s">
        <v>805</v>
      </c>
      <c r="B103" s="165" t="str">
        <f>IFERROR((B28+B33-B34)/B31,"-")</f>
        <v>-</v>
      </c>
      <c r="C103" s="165" t="str">
        <f>IFERROR((C28+C33-C34)/C31,"-")</f>
        <v>-</v>
      </c>
      <c r="D103" s="165" t="str">
        <f>IFERROR((D28+D33-D34)/D31,"-")</f>
        <v>-</v>
      </c>
      <c r="E103" s="165" t="str">
        <f>IFERROR((E28+E33-E34)/E31,"-")</f>
        <v>-</v>
      </c>
      <c r="F103" s="78"/>
      <c r="G103" s="78"/>
    </row>
    <row r="104" spans="1:7">
      <c r="A104" s="76" t="s">
        <v>806</v>
      </c>
      <c r="B104" s="165" t="str">
        <f>IFERROR((B28+B33-B34)/(B31+B57),"-")</f>
        <v>-</v>
      </c>
      <c r="C104" s="165" t="str">
        <f>IFERROR((C28+C33-C34)/(C31+C57),"-")</f>
        <v>-</v>
      </c>
      <c r="D104" s="165" t="str">
        <f>IFERROR((D28+D33-D34)/(D31+D57),"-")</f>
        <v>-</v>
      </c>
      <c r="E104" s="165" t="str">
        <f>IFERROR((E28+E33-E34)/(E31+E57),"-")</f>
        <v>-</v>
      </c>
      <c r="F104" s="78"/>
      <c r="G104" s="78"/>
    </row>
    <row r="105" spans="1:7">
      <c r="A105" s="76" t="s">
        <v>807</v>
      </c>
      <c r="B105" s="166" t="str">
        <f>IFERROR((B19-B23)/B15,"-")</f>
        <v>-</v>
      </c>
      <c r="C105" s="166" t="str">
        <f>IFERROR((C19-C23)/C15,"-")</f>
        <v>-</v>
      </c>
      <c r="D105" s="166" t="str">
        <f>IFERROR((D19-D23)/D15,"-")</f>
        <v>-</v>
      </c>
      <c r="E105" s="166" t="str">
        <f>IFERROR((E19-E23)/E15,"-")</f>
        <v>-</v>
      </c>
      <c r="F105" s="78"/>
      <c r="G105" s="78"/>
    </row>
    <row r="106" spans="1:7">
      <c r="A106" s="76" t="s">
        <v>808</v>
      </c>
      <c r="B106" s="166" t="str">
        <f>IFERROR(B37/B17,"-")</f>
        <v>-</v>
      </c>
      <c r="C106" s="166" t="str">
        <f>IFERROR(C37/C17,"-")</f>
        <v>-</v>
      </c>
      <c r="D106" s="166" t="str">
        <f>IFERROR(D37/D17,"-")</f>
        <v>-</v>
      </c>
      <c r="E106" s="166" t="str">
        <f>IFERROR(E37/E17,"-")</f>
        <v>-</v>
      </c>
      <c r="F106" s="78"/>
      <c r="G106" s="78"/>
    </row>
    <row r="107" spans="1:7">
      <c r="A107" s="76" t="s">
        <v>809</v>
      </c>
      <c r="B107" s="166" t="str">
        <f>IFERROR(B38/B17,"-")</f>
        <v>-</v>
      </c>
      <c r="C107" s="166" t="str">
        <f>IFERROR(C38/C17,"-")</f>
        <v>-</v>
      </c>
      <c r="D107" s="166" t="str">
        <f>IFERROR(D38/D17,"-")</f>
        <v>-</v>
      </c>
      <c r="E107" s="166" t="str">
        <f>IFERROR(E38/E17,"-")</f>
        <v>-</v>
      </c>
      <c r="F107" s="78"/>
      <c r="G107" s="78"/>
    </row>
    <row r="108" spans="1:7">
      <c r="A108" s="76" t="s">
        <v>810</v>
      </c>
      <c r="B108" s="166" t="str">
        <f>IFERROR((B17-C17)/C17,"-")</f>
        <v>-</v>
      </c>
      <c r="C108" s="166" t="str">
        <f>IFERROR((C17-D17)/D17,"-")</f>
        <v>-</v>
      </c>
      <c r="D108" s="166" t="str">
        <f>IFERROR((D17-E17)/E17,"-")</f>
        <v>-</v>
      </c>
      <c r="E108" s="166"/>
      <c r="F108" s="78"/>
      <c r="G108" s="78"/>
    </row>
    <row r="109" spans="1:7">
      <c r="A109" s="76" t="s">
        <v>811</v>
      </c>
      <c r="B109" s="166" t="str">
        <f>IFERROR((B37-C37)/C37,"-")</f>
        <v>-</v>
      </c>
      <c r="C109" s="166" t="str">
        <f>IFERROR((C37-D37)/D37,"-")</f>
        <v>-</v>
      </c>
      <c r="D109" s="166" t="str">
        <f>IFERROR((D37-E37)/E37,"-")</f>
        <v>-</v>
      </c>
      <c r="E109" s="166"/>
      <c r="F109" s="78"/>
      <c r="G109" s="78"/>
    </row>
    <row r="110" spans="1:7">
      <c r="A110" s="76" t="s">
        <v>812</v>
      </c>
      <c r="B110" s="165">
        <f>IFERROR(B37+B29,"-")</f>
        <v>0</v>
      </c>
      <c r="C110" s="165">
        <f>IFERROR(C37+C29,"-")</f>
        <v>0</v>
      </c>
      <c r="D110" s="165">
        <f>IFERROR(D37+D29,"-")</f>
        <v>0</v>
      </c>
      <c r="E110" s="165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7" t="s">
        <v>813</v>
      </c>
      <c r="B112" s="168" t="str">
        <f>B89</f>
        <v>Provisionals</v>
      </c>
      <c r="C112" s="168" t="str">
        <f t="shared" ref="C112:E112" si="27">C89</f>
        <v>31/03/2024</v>
      </c>
      <c r="D112" s="168" t="str">
        <f t="shared" si="27"/>
        <v>31/03/2023</v>
      </c>
      <c r="E112" s="168" t="str">
        <f t="shared" si="27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9" t="s">
        <v>822</v>
      </c>
      <c r="B122" s="169">
        <f>SUM(B113:B121)</f>
        <v>0</v>
      </c>
      <c r="C122" s="169">
        <f>SUM(C113:C121)</f>
        <v>0</v>
      </c>
      <c r="D122" s="169">
        <f>SUM(D113:D121)</f>
        <v>0</v>
      </c>
      <c r="E122" s="169">
        <f>SUM(E113:E121)</f>
        <v>0</v>
      </c>
    </row>
    <row r="123" spans="1:5">
      <c r="A123" s="3" t="s">
        <v>823</v>
      </c>
      <c r="B123" s="170">
        <f>C80-B80</f>
        <v>0</v>
      </c>
      <c r="C123" s="170">
        <f>D80-C80</f>
        <v>0</v>
      </c>
      <c r="D123" s="170">
        <f>E80-D80</f>
        <v>0</v>
      </c>
      <c r="E123" s="170"/>
    </row>
    <row r="124" spans="1:5">
      <c r="A124" s="3" t="s">
        <v>783</v>
      </c>
      <c r="B124" s="170">
        <f>C79-B79</f>
        <v>0</v>
      </c>
      <c r="C124" s="170">
        <f>D79-C79</f>
        <v>0</v>
      </c>
      <c r="D124" s="170">
        <f>E79-D79</f>
        <v>0</v>
      </c>
      <c r="E124" s="170"/>
    </row>
    <row r="125" spans="1:5">
      <c r="A125" s="3" t="s">
        <v>788</v>
      </c>
      <c r="B125" s="170">
        <f>C84-B84</f>
        <v>0</v>
      </c>
      <c r="C125" s="170">
        <f>D84-C84</f>
        <v>0</v>
      </c>
      <c r="D125" s="170">
        <f>E84-D84</f>
        <v>0</v>
      </c>
      <c r="E125" s="170"/>
    </row>
    <row r="126" spans="1:5">
      <c r="A126" s="3" t="s">
        <v>824</v>
      </c>
      <c r="B126" s="170">
        <f>B67-C67</f>
        <v>0</v>
      </c>
      <c r="C126" s="170">
        <f>C67-D67</f>
        <v>0</v>
      </c>
      <c r="D126" s="170">
        <f>D67-E67</f>
        <v>0</v>
      </c>
      <c r="E126" s="170"/>
    </row>
    <row r="127" spans="1:5">
      <c r="A127" s="171" t="s">
        <v>39</v>
      </c>
      <c r="B127" s="171">
        <f>SUM(B123:B126)</f>
        <v>0</v>
      </c>
      <c r="C127" s="171">
        <f>SUM(C123:C126)</f>
        <v>0</v>
      </c>
      <c r="D127" s="171">
        <f>SUM(D123:D126)</f>
        <v>0</v>
      </c>
      <c r="E127" s="171"/>
    </row>
    <row r="128" spans="1:5">
      <c r="A128" s="169" t="s">
        <v>825</v>
      </c>
      <c r="B128" s="169">
        <f>B122+B127</f>
        <v>0</v>
      </c>
      <c r="C128" s="169">
        <f>C122+C127</f>
        <v>0</v>
      </c>
      <c r="D128" s="169">
        <f>D122+D127</f>
        <v>0</v>
      </c>
      <c r="E128" s="169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9" t="s">
        <v>827</v>
      </c>
      <c r="B130" s="169">
        <f>B128-B129</f>
        <v>0</v>
      </c>
      <c r="C130" s="169">
        <f>C128-C129</f>
        <v>0</v>
      </c>
      <c r="D130" s="169">
        <f>D128-D129</f>
        <v>0</v>
      </c>
      <c r="E130" s="169">
        <f>E128-E129</f>
        <v>0</v>
      </c>
    </row>
  </sheetData>
  <sheetProtection algorithmName="SHA-512" hashValue="+p48bqdYDAu2OjIqeGR+CZb2GReFBjnKKGYzl21PHObP4XiUNq+ADMDzYbl3Cp2eJgpMoBBly2E0HS4Gu6rvQw==" saltValue="p0Br5N/xTEFRxxYaFk8WI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70" priority="10" stopIfTrue="1" operator="lessThan">
      <formula>-0.2</formula>
    </cfRule>
    <cfRule type="cellIs" dxfId="69" priority="11" stopIfTrue="1" operator="lessThan">
      <formula>0</formula>
    </cfRule>
    <cfRule type="cellIs" dxfId="68" priority="12" stopIfTrue="1" operator="greaterThan">
      <formula>0.4</formula>
    </cfRule>
  </conditionalFormatting>
  <conditionalFormatting sqref="F33:G45 F57:G58 G87">
    <cfRule type="cellIs" dxfId="67" priority="40" stopIfTrue="1" operator="lessThan">
      <formula>-0.2</formula>
    </cfRule>
    <cfRule type="cellIs" dxfId="66" priority="41" stopIfTrue="1" operator="lessThan">
      <formula>0</formula>
    </cfRule>
    <cfRule type="cellIs" dxfId="65" priority="42" stopIfTrue="1" operator="greaterThan">
      <formula>0.4</formula>
    </cfRule>
  </conditionalFormatting>
  <conditionalFormatting sqref="F46:G57">
    <cfRule type="cellIs" dxfId="64" priority="4" stopIfTrue="1" operator="lessThan">
      <formula>-0.2</formula>
    </cfRule>
    <cfRule type="cellIs" dxfId="63" priority="5" stopIfTrue="1" operator="lessThan">
      <formula>0</formula>
    </cfRule>
    <cfRule type="cellIs" dxfId="62" priority="6" stopIfTrue="1" operator="greaterThan">
      <formula>0.4</formula>
    </cfRule>
  </conditionalFormatting>
  <conditionalFormatting sqref="F59:G86">
    <cfRule type="cellIs" dxfId="61" priority="1" stopIfTrue="1" operator="lessThan">
      <formula>-0.2</formula>
    </cfRule>
    <cfRule type="cellIs" dxfId="60" priority="2" stopIfTrue="1" operator="lessThan">
      <formula>0</formula>
    </cfRule>
    <cfRule type="cellIs" dxfId="59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J130"/>
  <sheetViews>
    <sheetView workbookViewId="0">
      <selection sqref="A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1"/>
      <c r="C1" s="501"/>
      <c r="D1" s="501"/>
      <c r="E1" s="501"/>
      <c r="F1" s="501"/>
      <c r="G1" s="501"/>
    </row>
    <row r="2" spans="1:10">
      <c r="A2" s="45" t="s">
        <v>591</v>
      </c>
      <c r="B2" s="503"/>
      <c r="C2" s="503"/>
      <c r="D2" s="503"/>
      <c r="E2" s="503"/>
      <c r="F2" s="503"/>
      <c r="G2" s="503"/>
    </row>
    <row r="3" spans="1:10">
      <c r="A3" s="45" t="s">
        <v>595</v>
      </c>
      <c r="B3" s="501"/>
      <c r="C3" s="501"/>
      <c r="D3" s="501"/>
      <c r="E3" s="501"/>
      <c r="F3" s="501"/>
      <c r="G3" s="501"/>
    </row>
    <row r="4" spans="1:10">
      <c r="A4" s="45" t="s">
        <v>597</v>
      </c>
      <c r="B4" s="501"/>
      <c r="C4" s="501"/>
      <c r="D4" s="501"/>
      <c r="E4" s="501"/>
      <c r="F4" s="501"/>
      <c r="G4" s="501"/>
    </row>
    <row r="5" spans="1:10">
      <c r="A5" s="45" t="s">
        <v>599</v>
      </c>
      <c r="B5" s="501"/>
      <c r="C5" s="501"/>
      <c r="D5" s="501"/>
      <c r="E5" s="501"/>
      <c r="F5" s="501"/>
      <c r="G5" s="501"/>
    </row>
    <row r="6" spans="1:10">
      <c r="A6" s="45" t="s">
        <v>601</v>
      </c>
      <c r="B6" s="501"/>
      <c r="C6" s="501"/>
      <c r="D6" s="501"/>
      <c r="E6" s="501"/>
      <c r="F6" s="501"/>
      <c r="G6" s="501"/>
    </row>
    <row r="7" spans="1:10" ht="25.5">
      <c r="A7" s="45" t="s">
        <v>603</v>
      </c>
      <c r="B7" s="506"/>
      <c r="C7" s="506"/>
      <c r="D7" s="506"/>
      <c r="E7" s="506"/>
      <c r="F7" s="506"/>
      <c r="G7" s="506"/>
    </row>
    <row r="8" spans="1:10">
      <c r="A8" s="45" t="s">
        <v>831</v>
      </c>
      <c r="B8" s="501"/>
      <c r="C8" s="501"/>
      <c r="D8" s="501"/>
      <c r="E8" s="501"/>
      <c r="F8" s="501"/>
      <c r="G8" s="501"/>
    </row>
    <row r="9" spans="1:10">
      <c r="A9" s="45" t="s">
        <v>832</v>
      </c>
      <c r="B9" s="507"/>
      <c r="C9" s="507"/>
      <c r="D9" s="507"/>
      <c r="E9" s="507"/>
      <c r="F9" s="507"/>
      <c r="G9" s="507"/>
    </row>
    <row r="11" spans="1:10">
      <c r="A11" s="533" t="str">
        <f>CONCATENATE("Financial Details: ",B1)</f>
        <v xml:space="preserve">Financial Details: 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833</v>
      </c>
      <c r="C12" s="534"/>
      <c r="D12" s="534"/>
      <c r="E12" s="534"/>
      <c r="F12" s="1"/>
      <c r="G12" s="1"/>
    </row>
    <row r="13" spans="1:10" ht="38.25">
      <c r="A13" s="48" t="s">
        <v>717</v>
      </c>
      <c r="B13" s="150" t="s">
        <v>834</v>
      </c>
      <c r="C13" s="151" t="str">
        <f>IF($B$7&lt;&gt;"",CONCATENATE("FY ",$B$7-1,"-",$B$7-2000),"FY 2019-20")</f>
        <v>FY 2019-20</v>
      </c>
      <c r="D13" s="151" t="str">
        <f>IF($B$7&lt;&gt;"",CONCATENATE("FY ",$B$7-2,"-",$B$7-2001),"FY 2018-19")</f>
        <v>FY 2018-19</v>
      </c>
      <c r="E13" s="152" t="str">
        <f>IF($B$7&lt;&gt;"",CONCATENATE("FY ",$B$7-3,"-",$B$7-2002),"FY 2017-18")</f>
        <v>FY 2017-18</v>
      </c>
      <c r="F13" s="52" t="s">
        <v>718</v>
      </c>
      <c r="G13" s="52" t="s">
        <v>719</v>
      </c>
      <c r="H13" s="1"/>
      <c r="I13" s="1"/>
      <c r="J13" s="1"/>
    </row>
    <row r="14" spans="1:10">
      <c r="A14" s="153" t="s">
        <v>720</v>
      </c>
      <c r="B14" s="535"/>
      <c r="C14" s="536"/>
      <c r="D14" s="536"/>
      <c r="E14" s="537"/>
      <c r="F14" s="154"/>
      <c r="G14" s="154"/>
      <c r="H14" s="1"/>
      <c r="I14" s="1"/>
      <c r="J14" s="1"/>
    </row>
    <row r="15" spans="1:10" ht="15">
      <c r="A15" s="155" t="s">
        <v>721</v>
      </c>
      <c r="B15" s="156"/>
      <c r="C15" s="157">
        <f>'CSV5'!H6+'CSV5'!O6+'CSV5'!Q6+SUM('CSV5'!EM6:EN6)+SUM('CSV5'!GE6:GG6)+'CSV5'!V6+'CSV5'!ED6++'CSV5'!N6+'CSV5'!EH6+'CSV5'!EO6+'CSV5'!I6+'CSV5'!P6+'CSV5'!R6+'CSV5'!GH6</f>
        <v>0</v>
      </c>
      <c r="D15" s="157">
        <f>'CSV5'!H5+'CSV5'!O5+'CSV5'!Q5+SUM('CSV5'!EM5:EN5)+SUM('CSV5'!GE5:GG5)+'CSV5'!V5+'CSV5'!ED5+'CSV5'!N5+'CSV5'!EH5+'CSV5'!EO5+'CSV5'!I5+'CSV5'!P5+'CSV5'!R5+'CSV5'!GH5</f>
        <v>0</v>
      </c>
      <c r="E15" s="157">
        <f>'CSV5'!H4+'CSV5'!O4+'CSV5'!Q4+SUM('CSV5'!EM4:EN4)+SUM('CSV5'!GE4:GG4)+'CSV5'!V4+'CSV5'!ED4+'CSV5'!N4+'CSV5'!EH4+'CSV5'!EO4+'CSV5'!I4+'CSV5'!P4+'CSV5'!R4+'CSV5'!GH4</f>
        <v>0</v>
      </c>
      <c r="F15" s="158" t="str">
        <f>IFERROR((C15-D15)/D15,"-")</f>
        <v>-</v>
      </c>
      <c r="G15" s="158" t="str">
        <f>IFERROR((D15-E15)/E15,"-")</f>
        <v>-</v>
      </c>
    </row>
    <row r="16" spans="1:10" ht="15">
      <c r="A16" s="159" t="s">
        <v>722</v>
      </c>
      <c r="B16" s="80"/>
      <c r="C16" s="160"/>
      <c r="D16" s="160"/>
      <c r="E16" s="160"/>
      <c r="F16" s="158" t="str">
        <f>IFERROR((C16-D16)/D16,"-")</f>
        <v>-</v>
      </c>
      <c r="G16" s="158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1" t="s">
        <v>724</v>
      </c>
      <c r="B18" s="162"/>
      <c r="C18" s="162">
        <f>'CSV5'!U6+'CSV5'!K6+'CSV5'!L6+'CSV5'!W6+'CSV5'!X6+'CSV5'!Z6+'CSV5'!AA6+'CSV5'!AB6+'CSV5'!J6</f>
        <v>0</v>
      </c>
      <c r="D18" s="162">
        <f>'CSV5'!U5+'CSV5'!K5+'CSV5'!L5+'CSV5'!W5+'CSV5'!X5+'CSV5'!Z5+'CSV5'!AA5+'CSV5'!AB5+'CSV5'!J5</f>
        <v>0</v>
      </c>
      <c r="E18" s="162">
        <f>'CSV5'!U4+'CSV5'!K4+'CSV5'!L4+'CSV5'!W4+'CSV5'!X4+'CSV5'!Z4+'CSV5'!AA4+'CSV5'!AB4+'CSV5'!J4</f>
        <v>0</v>
      </c>
      <c r="F18" s="163" t="str">
        <f t="shared" si="1"/>
        <v>-</v>
      </c>
      <c r="G18" s="163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3" t="s">
        <v>726</v>
      </c>
      <c r="B20" s="535"/>
      <c r="C20" s="536"/>
      <c r="D20" s="536"/>
      <c r="E20" s="537"/>
      <c r="F20" s="154"/>
      <c r="G20" s="154"/>
    </row>
    <row r="21" spans="1:7">
      <c r="A21" s="60" t="s">
        <v>727</v>
      </c>
      <c r="B21" s="55"/>
      <c r="C21" s="55">
        <f>'CSV5'!AK6+'CSV5'!AL6+'CSV5'!AM6+'CSV5'!AO6+'CSV5'!AP6+'CSV5'!AQ6+'CSV5'!AR6+'CSV5'!AS6+'CSV5'!AT6+'CSV5'!AU6+'CSV5'!AV6-('CSV5'!AF6+'CSV5'!AG6+'CSV5'!AH6)</f>
        <v>0</v>
      </c>
      <c r="D21" s="55">
        <f>'CSV5'!AK5+'CSV5'!AL5+'CSV5'!AM5+'CSV5'!AO5+'CSV5'!AP5+'CSV5'!AQ5+'CSV5'!AR5+'CSV5'!AS5+'CSV5'!AT5+'CSV5'!AU5+'CSV5'!AV5-('CSV5'!AF5+'CSV5'!AG5+'CSV5'!AH5)</f>
        <v>0</v>
      </c>
      <c r="E21" s="55">
        <f>'CSV5'!AK4+'CSV5'!AL4+'CSV5'!AM4+'CSV5'!AO4+'CSV5'!AP4+'CSV5'!AQ4+'CSV5'!AR4+'CSV5'!AS4+'CSV5'!AT4+'CSV5'!AU4+'CSV5'!AV4-('CSV5'!AF4+'CSV5'!AG4+'CSV5'!AH4)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SUM('CSV5'!AX6:AZ6)+'CSV5'!BC6+'CSV5'!ED6-'CSV5'!EE6+'CSV5'!EH6-'CSV5'!EI6+'CSV5'!FN6+'CSV5'!FO6+SUM('CSV5'!FS6:FW6)</f>
        <v>0</v>
      </c>
      <c r="D22" s="55">
        <f>SUM('CSV5'!AX5:AZ5)+'CSV5'!BC5+'CSV5'!ED5-'CSV5'!EE5+'CSV5'!EH5-'CSV5'!EI5</f>
        <v>0</v>
      </c>
      <c r="E22" s="55">
        <f>SUM('CSV5'!AX4:AZ4)+'CSV5'!BC4+'CSV5'!ED4-'CSV5'!EE4+'CSV5'!EH4-'CSV5'!EI4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3" t="s">
        <v>730</v>
      </c>
      <c r="B24" s="535"/>
      <c r="C24" s="536"/>
      <c r="D24" s="536"/>
      <c r="E24" s="537"/>
      <c r="F24" s="154"/>
      <c r="G24" s="154"/>
    </row>
    <row r="25" spans="1:7">
      <c r="A25" s="60" t="s">
        <v>731</v>
      </c>
      <c r="B25" s="55"/>
      <c r="C25" s="55">
        <f>SUM('CSV5'!BD6:BM6)+'CSV5'!BV6+SUM('CSV5'!BA6:BB6)+'CSV5'!BQ6+'CSV5'!BR6+'CSV5'!BS6+'CSV5'!BT6+SUM('CSV5'!BW6:BY6)+SUM('CSV5'!CH6:CI6)+SUM('CSV5'!CK6:CU6)+'CSV5'!DB6+'CSV5'!DD6+'CSV5'!DJ6+'CSV5'!EF6+'CSV5'!EJ6+SUM('CSV5'!EM6:EO6)-'CSV5'!EP6+'CSV5'!GA6+SUM('CSV5'!BZ6:CA6)+SUM('CSV5'!CB6,'CSV5'!CC6,'CSV5'!CE6,'CSV5'!CF6)+SUM('CSV5'!CV6:CZ6)</f>
        <v>0</v>
      </c>
      <c r="D25" s="55">
        <f>SUM('CSV5'!BD5:BM5)+'CSV5'!BV5+SUM('CSV5'!BA5:BB5)+'CSV5'!BQ5+'CSV5'!BR5+'CSV5'!BS5+'CSV5'!BT5+SUM('CSV5'!BW5:BY5)+SUM('CSV5'!CH5:CI5)+SUM('CSV5'!CK5:CU5)+'CSV5'!DB5+'CSV5'!DD5+'CSV5'!DJ5+'CSV5'!EF5+'CSV5'!EJ5+SUM('CSV5'!EM5:EO5)-'CSV5'!EP5+SUM('CSV5'!BZ5:CA5)+SUM('CSV5'!CB5,'CSV5'!CC5,'CSV5'!CE5,'CSV5'!CF5)+SUM('CSV5'!CV5:CZ5)</f>
        <v>0</v>
      </c>
      <c r="E25" s="55">
        <f>SUM('CSV5'!BD4:BM4)+'CSV5'!BV4+SUM('CSV5'!BA4:BB4)+'CSV5'!BQ4+'CSV5'!BR4+'CSV5'!BS4+'CSV5'!BT4+SUM('CSV5'!BW4:BY4)+SUM('CSV5'!CH4:CI4)+SUM('CSV5'!CK4:CU4)+'CSV5'!DB4+'CSV5'!DD4+'CSV5'!DJ4+'CSV5'!EF4+'CSV5'!EJ4+SUM('CSV5'!EM4:EO4)-'CSV5'!EP4+SUM('CSV5'!BZ4:CA4)+SUM('CSV5'!CB4,'CSV5'!CC4,'CSV5'!CE4,'CSV5'!CF4)+SUM('CSV5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SUM('CSV5'!DE6:DG6)+'CSV5'!DI6</f>
        <v>0</v>
      </c>
      <c r="D26" s="55">
        <f>SUM('CSV5'!DE5:DG5)+'CSV5'!DI5</f>
        <v>0</v>
      </c>
      <c r="E26" s="55">
        <f>SUM('CSV5'!DE4:DG4)+'CSV5'!DI4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f>'CSV5'!DQ6+'CSV5'!FX6</f>
        <v>0</v>
      </c>
      <c r="D29" s="55">
        <f>'CSV5'!DQ5</f>
        <v>0</v>
      </c>
      <c r="E29" s="55">
        <f>'CSV5'!DQ4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'CSV5'!DM6+'CSV5'!DO6</f>
        <v>0</v>
      </c>
      <c r="D31" s="55">
        <f>'CSV5'!DM5+'CSV5'!DO5</f>
        <v>0</v>
      </c>
      <c r="E31" s="55">
        <f>'CSV5'!DM4+'CSV5'!DO4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'CSV5'!Y6+'CSV5'!AC6+'CSV5'!AD6</f>
        <v>0</v>
      </c>
      <c r="D33" s="55">
        <f>'CSV5'!Y5+'CSV5'!AC5+'CSV5'!AD5</f>
        <v>0</v>
      </c>
      <c r="E33" s="55">
        <f>'CSV5'!Y4+'CSV5'!AC4+'CSV5'!AD4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SUM('CSV5'!DS6:DT6)</f>
        <v>0</v>
      </c>
      <c r="D36" s="55">
        <f>SUM('CSV5'!DS5:DT5)</f>
        <v>0</v>
      </c>
      <c r="E36" s="55">
        <f>SUM('CSV5'!DS4:DT4)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SUM('CSV5'!DY6:DZ6)</f>
        <v>0</v>
      </c>
      <c r="D39" s="55">
        <f>SUM('CSV5'!DY5:DZ5)</f>
        <v>0</v>
      </c>
      <c r="E39" s="55">
        <f>SUM('CSV5'!DY4:DZ4)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'CSV5'!DC6</f>
        <v>0</v>
      </c>
      <c r="D40" s="55">
        <f>'CSV5'!DC5</f>
        <v>0</v>
      </c>
      <c r="E40" s="55">
        <f>'CSV5'!DC4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'CSV5'!DL6+'CSV5'!DN6</f>
        <v>0</v>
      </c>
      <c r="D41" s="55">
        <f>'CSV5'!DL5+'CSV5'!DN5</f>
        <v>0</v>
      </c>
      <c r="E41" s="55">
        <f>'CSV5'!DL4+'CSV5'!DN4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'CSV5'!DX6</f>
        <v>0</v>
      </c>
      <c r="D42" s="55">
        <f>'CSV5'!DX5</f>
        <v>0</v>
      </c>
      <c r="E42" s="55">
        <f>'CSV5'!DX4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833</v>
      </c>
      <c r="C44" s="534"/>
      <c r="D44" s="534"/>
      <c r="E44" s="534"/>
      <c r="F44" s="64"/>
      <c r="G44" s="64"/>
    </row>
    <row r="45" spans="1:10" ht="38.25">
      <c r="A45" s="48" t="s">
        <v>750</v>
      </c>
      <c r="B45" s="344" t="str">
        <f>B13</f>
        <v>Provisionals</v>
      </c>
      <c r="C45" s="346" t="str">
        <f>IF($B$7&lt;&gt;"",CONCATENATE("31/03/",$B$7),"31/03/2020")</f>
        <v>31/03/2020</v>
      </c>
      <c r="D45" s="346" t="str">
        <f>IF($B$7&lt;&gt;"",CONCATENATE("31/03/",$B$7-1),"31/03/2019")</f>
        <v>31/03/2019</v>
      </c>
      <c r="E45" s="347" t="str">
        <f>IF($B$7&lt;&gt;"",CONCATENATE("31/03/",$B$7-2),"31/03/2018")</f>
        <v>31/03/2018</v>
      </c>
      <c r="F45" s="52" t="s">
        <v>718</v>
      </c>
      <c r="G45" s="52" t="s">
        <v>719</v>
      </c>
    </row>
    <row r="46" spans="1:10">
      <c r="A46" s="153" t="s">
        <v>751</v>
      </c>
      <c r="B46" s="535"/>
      <c r="C46" s="536"/>
      <c r="D46" s="536"/>
      <c r="E46" s="537"/>
      <c r="F46" s="154"/>
      <c r="G46" s="154"/>
      <c r="H46" s="1"/>
      <c r="I46" s="1"/>
      <c r="J46" s="1"/>
    </row>
    <row r="47" spans="1:10">
      <c r="A47" s="60" t="s">
        <v>752</v>
      </c>
      <c r="B47" s="54"/>
      <c r="C47" s="55">
        <f>'CSV5'!I25+'CSV5'!J25+'CSV5'!I31+'CSV5'!J31+'CSV5'!H19+'CSV5'!H13+'CSV5'!H36+SUM('CSV5'!O36:U36)-SUM('CSV5'!H36:M36)</f>
        <v>0</v>
      </c>
      <c r="D47" s="55">
        <f>'CSV5'!I24+'CSV5'!J24+'CSV5'!H18+'CSV5'!H12+'CSV5'!H35+SUM('CSV5'!O35:U35)-SUM('CSV5'!H35:M35)</f>
        <v>0</v>
      </c>
      <c r="E47" s="55">
        <f>'CSV5'!I23+'CSV5'!J23+'CSV5'!H17+'CSV5'!H11+'CSV5'!H34+SUM('CSV5'!O34:U34)-SUM('CSV5'!H34:M34)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'CSV5'!AK25+'CSV5'!BC25+'CSV5'!AC19+'CSV5'!AC31+'CSV5'!AD31+'CSV5'!AF31+'CSV5'!AG31+'CSV5'!AO31+SUM('CSV5'!AV31:AX31)+'CSV5'!BM31-('CSV5'!DB25+'CSV5'!EP25+'CSV5'!DG31)</f>
        <v>0</v>
      </c>
      <c r="D48" s="55">
        <f>'CSV5'!AK24+'CSV5'!BC24+'CSV5'!AC18-('CSV5'!DB24+'CSV5'!EP24)</f>
        <v>0</v>
      </c>
      <c r="E48" s="55">
        <f>'CSV5'!AK23+'CSV5'!BC23+'CSV5'!AC17-('CSV5'!DB23+'CSV5'!EP23)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SUM('CSV5'!I13:L13)-'CSV5'!BQ13+SUM('CSV5'!I19:M19)-'CSV5'!CU19+SUM('CSV5'!L25:S25)+'CSV5'!U25+SUM('CSV5'!W25:X25)+SUM('CSV5'!L31:O31)+'CSV5'!Q31</f>
        <v>0</v>
      </c>
      <c r="D49" s="55">
        <f>SUM('CSV5'!I12:L12)-'CSV5'!BQ12+SUM('CSV5'!I18:M18)-'CSV5'!CU18+SUM('CSV5'!L24:S24)+'CSV5'!U24+SUM('CSV5'!W24:X24)</f>
        <v>0</v>
      </c>
      <c r="E49" s="55">
        <f>SUM('CSV5'!I11:L11)-'CSV5'!BQ11+SUM('CSV5'!I17:M17)-'CSV5'!CU17+SUM('CSV5'!L23:S23)+'CSV5'!U23+SUM('CSV5'!W23:X23)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'CSV5'!CS19+'CSV5'!BO13</f>
        <v>0</v>
      </c>
      <c r="D53" s="55">
        <f>'CSV5'!CS18+'CSV5'!BO12</f>
        <v>0</v>
      </c>
      <c r="E53" s="55">
        <f>'CSV5'!CS17+'CSV5'!BO11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3" t="s">
        <v>760</v>
      </c>
      <c r="B55" s="535"/>
      <c r="C55" s="536"/>
      <c r="D55" s="536"/>
      <c r="E55" s="537"/>
      <c r="F55" s="154"/>
      <c r="G55" s="154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f>'CSV5'!AL25+'CSV5'!BD25+SUM('CSV5'!U19:X19)+SUM('CSV5'!T13:U13)+'CSV5'!J36</f>
        <v>0</v>
      </c>
      <c r="D57" s="55">
        <f>'CSV5'!AL24+'CSV5'!BD24+SUM('CSV5'!U18:X18)+SUM('CSV5'!T12:U12)+'CSV5'!J35</f>
        <v>0</v>
      </c>
      <c r="E57" s="55">
        <f>'CSV5'!AL23+'CSV5'!BD23+SUM('CSV5'!U17:X17)+SUM('CSV5'!T11:U11)+'CSV5'!J34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SUM('CSV5'!Z25:AA25)+SUM('CSV5'!AC25:AE25)+SUM('CSV5'!P19:R19)+SUM('CSV5'!O13:Q13)+'CSV5'!I36+SUM('CSV5'!T31:U31)+SUM('CSV5'!W31:Y31)</f>
        <v>0</v>
      </c>
      <c r="D58" s="55">
        <f>SUM('CSV5'!Z24:AA24)+SUM('CSV5'!AC24:AE24)+SUM('CSV5'!P18:R18)+SUM('CSV5'!O12:Q12)+'CSV5'!I35</f>
        <v>0</v>
      </c>
      <c r="E58" s="55">
        <f>SUM('CSV5'!Z23:AA23)+SUM('CSV5'!AC23:AE23)+SUM('CSV5'!P17:R17)+SUM('CSV5'!O11:Q11)+'CSV5'!I34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3" t="s">
        <v>766</v>
      </c>
      <c r="B61" s="535"/>
      <c r="C61" s="536"/>
      <c r="D61" s="536"/>
      <c r="E61" s="537"/>
      <c r="F61" s="154"/>
      <c r="G61" s="154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'CSV5'!AP25+SUM('CSV5'!BG25:BH25)+SUM('CSV5'!CD19:CE19)+'CSV5'!BC13+'CSV5'!BU13+'CSV5'!L36+'CSV5'!AI31+'CSV5'!AZ31+'CSV5'!AQ25+'CSV5'!BN25+'CSV5'!AD19+'CSV5'!CJ19+'CSV5'!AJ31+'CSV5'!BL31</f>
        <v>0</v>
      </c>
      <c r="D63" s="55">
        <f>'CSV5'!AP24+SUM('CSV5'!BG24:BH24)+SUM('CSV5'!CD18:CE18)+'CSV5'!BC12+'CSV5'!BU12+'CSV5'!L35+'CSV5'!AQ24+'CSV5'!BN24+'CSV5'!AD18+'CSV5'!CJ18</f>
        <v>0</v>
      </c>
      <c r="E63" s="55">
        <f>'CSV5'!AP23+SUM('CSV5'!BG23:BH23)+SUM('CSV5'!CD17:CE17)+'CSV5'!BC11+'CSV5'!BU11+'CSV5'!L34+'CSV5'!AQ23+'CSV5'!BN23+'CSV5'!AD17+'CSV5'!CJ17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'CSV5'!AW25+'CSV5'!AS31</f>
        <v>0</v>
      </c>
      <c r="D64" s="55">
        <f>'CSV5'!AW24</f>
        <v>0</v>
      </c>
      <c r="E64" s="55">
        <f>'CSV5'!AW23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5'!AS25:AT25)+SUM('CSV5'!BK25:BM25)+SUM('CSV5'!BU25:BY25)+SUM('CSV5'!CH19:CI19)+SUM('CSV5'!CM19:CO19)+SUM('CSV5'!BE13:BF13)+SUM('CSV5'!BH13:BK13)+SUM('CSV5'!AK31:AL31)+SUM('CSV5'!BB31:BC31)+SUM('CSV5'!BP31:BQ31)+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65" s="55">
        <f>SUM('CSV5'!AS24:AT24)+SUM('CSV5'!BK24:BM24)+SUM('CSV5'!BU24:BY24)+SUM('CSV5'!CH18:CI18)+SUM('CSV5'!CM18:CO18)+SUM('CSV5'!BE12:BF12)+SUM('CSV5'!BH12:BK12)+SUM('CSV5'!AI24:AJ24)+'CSV5'!AM24+'CSV5'!BB24+'CSV5'!BE24+'CSV5'!BJ24+'CSV5'!BO24+'CSV5'!BP24+'CSV5'!BQ24+'CSV5'!BR24+'CSV5'!BS24+'CSV5'!CG18+'CSV5'!CK18+'CSV5'!BD12+'CSV5'!K35+'CSV5'!M35</f>
        <v>0</v>
      </c>
      <c r="E65" s="55">
        <f>SUM('CSV5'!AS23:AT23)+SUM('CSV5'!BK23:BM23)+SUM('CSV5'!BU23:BY23)+SUM('CSV5'!CH17:CI17)+SUM('CSV5'!CM17:CO17)+SUM('CSV5'!BE11:BF11)+SUM('CSV5'!BH11:BK11)+SUM('CSV5'!AI23:AJ23)+'CSV5'!AM23+'CSV5'!BB23+'CSV5'!BE23+'CSV5'!BJ23+'CSV5'!BO23+'CSV5'!BP23+'CSV5'!BQ23+'CSV5'!BR23+'CSV5'!BS23+'CSV5'!CG17+'CSV5'!CK17+'CSV5'!BD11+'CSV5'!K34+'CSV5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SUM('CSV5'!AX25:AZ25)+'CSV5'!AT31</f>
        <v>0</v>
      </c>
      <c r="D66" s="55">
        <f>SUM('CSV5'!AX24:AZ24)</f>
        <v>0</v>
      </c>
      <c r="E66" s="55">
        <f>SUM('CSV5'!AX23:AZ23)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6">
        <f>B54+B68</f>
        <v>0</v>
      </c>
      <c r="C69" s="116">
        <f t="shared" ref="C69:E69" si="20">C54+C68</f>
        <v>0</v>
      </c>
      <c r="D69" s="116">
        <f t="shared" si="20"/>
        <v>0</v>
      </c>
      <c r="E69" s="116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f>'CSV5'!CF25+'CSV5'!CJ25+'CSV5'!AI19+'CSV5'!AB13+SUM('CSV5'!CK25:CL25)+'CSV5'!AC13+'CSV5'!AJ19+'CSV5'!O36+'CSV5'!BY31+'CSV5'!BZ31+'CSV5'!CG31+'CSV5'!CL31+'CSV5'!CM31+'CSV5'!CP31</f>
        <v>0</v>
      </c>
      <c r="D73" s="55">
        <f>'CSV5'!CF24+'CSV5'!CJ24+'CSV5'!AI18+'CSV5'!AB12+SUM('CSV5'!CK24:CL24)+'CSV5'!AC12+'CSV5'!AJ18+'CSV5'!O35</f>
        <v>0</v>
      </c>
      <c r="E73" s="55">
        <f>'CSV5'!CF23+'CSV5'!CJ23+'CSV5'!AI17+'CSV5'!AB11+SUM('CSV5'!CK23:CL23)+'CSV5'!AC11+'CSV5'!AJ17+'CSV5'!O34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6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6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-'CSV5'!AH25-'CSV5'!AO25+'CSV5'!CY25-'CSV5'!AB19+'CSV5'!CT19-'CSV5'!X13+'CSV5'!BP13-'CSV5'!AB31-'CSV5'!AN31+'CSV5'!DP31</f>
        <v>0</v>
      </c>
      <c r="D78" s="55">
        <f>-'CSV5'!AH24-'CSV5'!AO24+'CSV5'!CY24-'CSV5'!AB18+'CSV5'!CT18-'CSV5'!X12+'CSV5'!BP12</f>
        <v>0</v>
      </c>
      <c r="E78" s="55">
        <f>-'CSV5'!AH23-'CSV5'!AO23+'CSV5'!CY23-'CSV5'!AB17+'CSV5'!CT17-'CSV5'!X11+'CSV5'!BP11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5" t="s">
        <v>783</v>
      </c>
      <c r="B79" s="54"/>
      <c r="C79" s="55">
        <f>'CSV5'!DZ25+'CSV5'!BF19+'CSV5'!AN13+'CSV5'!DX31+SUM('CSV5'!ED25:EE25)+SUM('CSV5'!BJ19:BK19)+'CSV5'!AM13+SUM('CSV5'!EB31:EC31)+'CSV5'!EA25+'CSV5'!BG19+'CSV5'!AO13+'CSV5'!DY31+SUM('CSV5'!EB25:EC25)+'CSV5'!EF25+SUM('CSV5'!BH19:BI19)+'CSV5'!BL19+'CSV5'!AP13+'CSV5'!P36+SUM('CSV5'!DZ31:EA31)+'CSV5'!EE31</f>
        <v>0</v>
      </c>
      <c r="D79" s="55">
        <f>'CSV5'!DZ24+'CSV5'!BF18+'CSV5'!AN12+SUM('CSV5'!ED24:EE24)+SUM('CSV5'!BJ18:BK18)+'CSV5'!AM12+'CSV5'!EA24+'CSV5'!BG18+'CSV5'!AO12+SUM('CSV5'!EB24:EC24)+'CSV5'!EF24+SUM('CSV5'!BH18:BI18)+'CSV5'!BL18+'CSV5'!AP12+'CSV5'!P35</f>
        <v>0</v>
      </c>
      <c r="E79" s="55">
        <f>'CSV5'!DZ23+'CSV5'!BF17+'CSV5'!AN11+SUM('CSV5'!ED23:EE23)+SUM('CSV5'!BJ17:BK17)+'CSV5'!AM11+'CSV5'!EA23+'CSV5'!BG17+'CSV5'!AO11+SUM('CSV5'!EB23:EC23)+'CSV5'!EF23+SUM('CSV5'!BH17:BI17)+'CSV5'!BL17+'CSV5'!AP11+'CSV5'!P34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5" t="s">
        <v>785</v>
      </c>
      <c r="B81" s="54"/>
      <c r="C81" s="55">
        <f>'CSV5'!DJ25+'CSV5'!DL25+'CSV5'!EH25+'CSV5'!BN19+'CSV5'!DD31+'CSV5'!ES31</f>
        <v>0</v>
      </c>
      <c r="D81" s="55">
        <f>'CSV5'!DJ24+'CSV5'!DL24+'CSV5'!EH24+'CSV5'!BN18</f>
        <v>0</v>
      </c>
      <c r="E81" s="55">
        <f>'CSV5'!DJ23+'CSV5'!DL23+'CSV5'!EH23+'CSV5'!BN17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5" t="s">
        <v>786</v>
      </c>
      <c r="B82" s="54"/>
      <c r="C82" s="55">
        <f>SUM('CSV5'!DH25:DI25)+'CSV5'!EI25+'CSV5'!BO19+'CSV5'!AR13+'CSV5'!Q36+SUM('CSV5'!DB31:DC31)+SUM('CSV5'!DM31:DN31)+SUM('CSV5'!EQ31:ER31)</f>
        <v>0</v>
      </c>
      <c r="D82" s="55">
        <f>SUM('CSV5'!DH24:DI24)+'CSV5'!EI24+'CSV5'!BO18+'CSV5'!AR12+'CSV5'!Q35</f>
        <v>0</v>
      </c>
      <c r="E82" s="55">
        <f>SUM('CSV5'!DH23:DI23)+'CSV5'!EI23+'CSV5'!BO17+'CSV5'!AR11+'CSV5'!Q34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f>SUM('CSV5'!EK25:EN25)+SUM('CSV5'!BQ19:BS19)+SUM('CSV5'!AS13:AT13)+'CSV5'!BW13+'CSV5'!S36+'CSV5'!R36+SUM('CSV5'!EV31:EY31)+'CSV5'!FA31</f>
        <v>0</v>
      </c>
      <c r="D83" s="55">
        <f>SUM('CSV5'!EK24:EN24)+SUM('CSV5'!BQ18:BS18)+SUM('CSV5'!AS12:AT12)+'CSV5'!BW12+'CSV5'!S35+'CSV5'!R35</f>
        <v>0</v>
      </c>
      <c r="E83" s="55">
        <f>SUM('CSV5'!EK23:EN23)+SUM('CSV5'!BQ17:BS17)+SUM('CSV5'!AS11:AT11)+'CSV5'!BW11+'CSV5'!S34+'CSV5'!R34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5" s="55">
        <f>'CSV5'!CZ24+'CSV5'!DC24+'CSV5'!EQ24+'CSV5'!EV24+'CSV5'!BU18+'CSV5'!BW18+'CSV5'!AV12+'CSV5'!AX12+'CSV5'!T35+'CSV5'!U35</f>
        <v>0</v>
      </c>
      <c r="E85" s="55">
        <f>'CSV5'!CZ23+'CSV5'!DC23+'CSV5'!EQ23+'CSV5'!EV23+'CSV5'!BU17+'CSV5'!BW17+'CSV5'!AV11+'CSV5'!AX11+'CSV5'!T34+'CSV5'!U34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'CSV5'!BY19+'CSV5'!AZ13</f>
        <v>0</v>
      </c>
      <c r="D86" s="55">
        <f>'CSV5'!BY18+'CSV5'!AZ12</f>
        <v>0</v>
      </c>
      <c r="E86" s="55">
        <f>'CSV5'!BY17+'CSV5'!AZ11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792</v>
      </c>
      <c r="B90" s="164" t="str">
        <f>IFERROR(B68/B54,"-")</f>
        <v>-</v>
      </c>
      <c r="C90" s="164" t="str">
        <f>IFERROR(C68/C54,"-")</f>
        <v>-</v>
      </c>
      <c r="D90" s="164" t="str">
        <f>IFERROR(D68/D54,"-")</f>
        <v>-</v>
      </c>
      <c r="E90" s="164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4" t="str">
        <f>IFERROR(B28/B31,"-")</f>
        <v>-</v>
      </c>
      <c r="C93" s="164" t="str">
        <f>IFERROR(C28/C31,"-")</f>
        <v>-</v>
      </c>
      <c r="D93" s="164" t="str">
        <f>IFERROR(D28/D31,"-")</f>
        <v>-</v>
      </c>
      <c r="E93" s="164" t="str">
        <f>IFERROR(E28/E31,"-")</f>
        <v>-</v>
      </c>
      <c r="F93" s="78"/>
      <c r="G93" s="78"/>
    </row>
    <row r="94" spans="1:7">
      <c r="A94" s="76" t="s">
        <v>796</v>
      </c>
      <c r="B94" s="165" t="str">
        <f>IFERROR(B17/B73,"-")</f>
        <v>-</v>
      </c>
      <c r="C94" s="165" t="str">
        <f>IFERROR(C17/C73,"-")</f>
        <v>-</v>
      </c>
      <c r="D94" s="165" t="str">
        <f>IFERROR(D17/D73,"-")</f>
        <v>-</v>
      </c>
      <c r="E94" s="165" t="str">
        <f>IFERROR(E17/E73,"-")</f>
        <v>-</v>
      </c>
      <c r="F94" s="78"/>
      <c r="G94" s="78"/>
    </row>
    <row r="95" spans="1:7">
      <c r="A95" s="76" t="s">
        <v>797</v>
      </c>
      <c r="B95" s="165" t="str">
        <f>IFERROR(B63/B23*365,"-")</f>
        <v>-</v>
      </c>
      <c r="C95" s="165" t="str">
        <f>IFERROR(C63/C23*365,"-")</f>
        <v>-</v>
      </c>
      <c r="D95" s="165" t="str">
        <f>IFERROR(D63/D23*365,"-")</f>
        <v>-</v>
      </c>
      <c r="E95" s="165" t="str">
        <f>IFERROR(E63/E23*365,"-")</f>
        <v>-</v>
      </c>
      <c r="F95" s="78"/>
      <c r="G95" s="78"/>
    </row>
    <row r="96" spans="1:7">
      <c r="A96" s="76" t="s">
        <v>798</v>
      </c>
      <c r="B96" s="165">
        <f>IFERROR(B77-B67+B57,"-")</f>
        <v>0</v>
      </c>
      <c r="C96" s="165">
        <f>IFERROR(C77-C67+C57,"-")</f>
        <v>0</v>
      </c>
      <c r="D96" s="165">
        <f>IFERROR(D77-D67+D57,"-")</f>
        <v>0</v>
      </c>
      <c r="E96" s="165">
        <f>IFERROR(E77-E67+E57,"-")</f>
        <v>0</v>
      </c>
      <c r="F96" s="78"/>
      <c r="G96" s="78"/>
    </row>
    <row r="97" spans="1:7">
      <c r="A97" s="76" t="s">
        <v>799</v>
      </c>
      <c r="B97" s="165" t="str">
        <f>IFERROR(B80/B15*365,"-")</f>
        <v>-</v>
      </c>
      <c r="C97" s="165" t="str">
        <f>IFERROR(C80/C15*365,"-")</f>
        <v>-</v>
      </c>
      <c r="D97" s="165" t="str">
        <f>IFERROR(D80/D15*365,"-")</f>
        <v>-</v>
      </c>
      <c r="E97" s="165" t="str">
        <f>IFERROR(E80/E15*365,"-")</f>
        <v>-</v>
      </c>
      <c r="F97" s="78"/>
      <c r="G97" s="78"/>
    </row>
    <row r="98" spans="1:7">
      <c r="A98" s="76" t="s">
        <v>800</v>
      </c>
      <c r="B98" s="165" t="str">
        <f>IFERROR(B79*365/B17,"-")</f>
        <v>-</v>
      </c>
      <c r="C98" s="165" t="str">
        <f>IFERROR(C79*365/C17,"-")</f>
        <v>-</v>
      </c>
      <c r="D98" s="165" t="str">
        <f>IFERROR(D79*365/D17,"-")</f>
        <v>-</v>
      </c>
      <c r="E98" s="165" t="str">
        <f>IFERROR(E79*365/E17,"-")</f>
        <v>-</v>
      </c>
      <c r="F98" s="78"/>
      <c r="G98" s="78"/>
    </row>
    <row r="99" spans="1:7">
      <c r="A99" s="76" t="s">
        <v>801</v>
      </c>
      <c r="B99" s="165" t="str">
        <f>IFERROR(B79/B23,"-")</f>
        <v>-</v>
      </c>
      <c r="C99" s="165" t="str">
        <f>IFERROR(C79/C23,"-")</f>
        <v>-</v>
      </c>
      <c r="D99" s="165" t="str">
        <f>IFERROR(D79/D23,"-")</f>
        <v>-</v>
      </c>
      <c r="E99" s="165" t="str">
        <f>IFERROR(E79/E23,"-")</f>
        <v>-</v>
      </c>
      <c r="F99" s="78"/>
      <c r="G99" s="78"/>
    </row>
    <row r="100" spans="1:7">
      <c r="A100" s="76" t="s">
        <v>802</v>
      </c>
      <c r="B100" s="165" t="str">
        <f>IFERROR(B77/B67,"-")</f>
        <v>-</v>
      </c>
      <c r="C100" s="165" t="str">
        <f>IFERROR(C77/C67,"-")</f>
        <v>-</v>
      </c>
      <c r="D100" s="165" t="str">
        <f>IFERROR(D77/D67,"-")</f>
        <v>-</v>
      </c>
      <c r="E100" s="165" t="str">
        <f>IFERROR(E77/E67,"-")</f>
        <v>-</v>
      </c>
      <c r="F100" s="78"/>
      <c r="G100" s="78"/>
    </row>
    <row r="101" spans="1:7">
      <c r="A101" s="76" t="s">
        <v>803</v>
      </c>
      <c r="B101" s="165" t="str">
        <f>IFERROR((B77-73)/(B63+B64),"-")</f>
        <v>-</v>
      </c>
      <c r="C101" s="165" t="str">
        <f>IFERROR((C77-73)/(C63+C64),"-")</f>
        <v>-</v>
      </c>
      <c r="D101" s="165" t="str">
        <f>IFERROR((D77-73)/(D63+D64),"-")</f>
        <v>-</v>
      </c>
      <c r="E101" s="165" t="str">
        <f>IFERROR((E77-73)/(E63+E64),"-")</f>
        <v>-</v>
      </c>
      <c r="F101" s="78"/>
      <c r="G101" s="78"/>
    </row>
    <row r="102" spans="1:7">
      <c r="A102" s="76" t="s">
        <v>804</v>
      </c>
      <c r="B102" s="165" t="str">
        <f>IFERROR(B60/B54,"-")</f>
        <v>-</v>
      </c>
      <c r="C102" s="165" t="str">
        <f>IFERROR(C60/C54,"-")</f>
        <v>-</v>
      </c>
      <c r="D102" s="165" t="str">
        <f>IFERROR(D60/D54,"-")</f>
        <v>-</v>
      </c>
      <c r="E102" s="165" t="str">
        <f>IFERROR(E60/E54,"-")</f>
        <v>-</v>
      </c>
      <c r="F102" s="78"/>
      <c r="G102" s="78"/>
    </row>
    <row r="103" spans="1:7">
      <c r="A103" s="76" t="s">
        <v>805</v>
      </c>
      <c r="B103" s="165" t="str">
        <f>IFERROR((B28+B33-B34)/B31,"-")</f>
        <v>-</v>
      </c>
      <c r="C103" s="165" t="str">
        <f>IFERROR((C28+C33-C34)/C31,"-")</f>
        <v>-</v>
      </c>
      <c r="D103" s="165" t="str">
        <f>IFERROR((D28+D33-D34)/D31,"-")</f>
        <v>-</v>
      </c>
      <c r="E103" s="165" t="str">
        <f>IFERROR((E28+E33-E34)/E31,"-")</f>
        <v>-</v>
      </c>
      <c r="F103" s="78"/>
      <c r="G103" s="78"/>
    </row>
    <row r="104" spans="1:7">
      <c r="A104" s="76" t="s">
        <v>806</v>
      </c>
      <c r="B104" s="165" t="str">
        <f>IFERROR((B28+B33-B34)/(B31+B57),"-")</f>
        <v>-</v>
      </c>
      <c r="C104" s="165" t="str">
        <f>IFERROR((C28+C33-C34)/(C31+C57),"-")</f>
        <v>-</v>
      </c>
      <c r="D104" s="165" t="str">
        <f>IFERROR((D28+D33-D34)/(D31+D57),"-")</f>
        <v>-</v>
      </c>
      <c r="E104" s="165" t="str">
        <f>IFERROR((E28+E33-E34)/(E31+E57),"-")</f>
        <v>-</v>
      </c>
      <c r="F104" s="78"/>
      <c r="G104" s="78"/>
    </row>
    <row r="105" spans="1:7">
      <c r="A105" s="76" t="s">
        <v>807</v>
      </c>
      <c r="B105" s="166" t="str">
        <f>IFERROR((B19-B23)/B15,"-")</f>
        <v>-</v>
      </c>
      <c r="C105" s="166" t="str">
        <f>IFERROR((C19-C23)/C15,"-")</f>
        <v>-</v>
      </c>
      <c r="D105" s="166" t="str">
        <f>IFERROR((D19-D23)/D15,"-")</f>
        <v>-</v>
      </c>
      <c r="E105" s="166" t="str">
        <f>IFERROR((E19-E23)/E15,"-")</f>
        <v>-</v>
      </c>
      <c r="F105" s="78"/>
      <c r="G105" s="78"/>
    </row>
    <row r="106" spans="1:7">
      <c r="A106" s="76" t="s">
        <v>808</v>
      </c>
      <c r="B106" s="166" t="str">
        <f>IFERROR(B37/B17,"-")</f>
        <v>-</v>
      </c>
      <c r="C106" s="166" t="str">
        <f>IFERROR(C37/C17,"-")</f>
        <v>-</v>
      </c>
      <c r="D106" s="166" t="str">
        <f>IFERROR(D37/D17,"-")</f>
        <v>-</v>
      </c>
      <c r="E106" s="166" t="str">
        <f>IFERROR(E37/E17,"-")</f>
        <v>-</v>
      </c>
      <c r="F106" s="78"/>
      <c r="G106" s="78"/>
    </row>
    <row r="107" spans="1:7">
      <c r="A107" s="76" t="s">
        <v>809</v>
      </c>
      <c r="B107" s="166" t="str">
        <f>IFERROR(B38/B17,"-")</f>
        <v>-</v>
      </c>
      <c r="C107" s="166" t="str">
        <f>IFERROR(C38/C17,"-")</f>
        <v>-</v>
      </c>
      <c r="D107" s="166" t="str">
        <f>IFERROR(D38/D17,"-")</f>
        <v>-</v>
      </c>
      <c r="E107" s="166" t="str">
        <f>IFERROR(E38/E17,"-")</f>
        <v>-</v>
      </c>
      <c r="F107" s="78"/>
      <c r="G107" s="78"/>
    </row>
    <row r="108" spans="1:7">
      <c r="A108" s="76" t="s">
        <v>810</v>
      </c>
      <c r="B108" s="166" t="str">
        <f>IFERROR((B17-C17)/C17,"-")</f>
        <v>-</v>
      </c>
      <c r="C108" s="166" t="str">
        <f>IFERROR((C17-D17)/D17,"-")</f>
        <v>-</v>
      </c>
      <c r="D108" s="166" t="str">
        <f>IFERROR((D17-E17)/E17,"-")</f>
        <v>-</v>
      </c>
      <c r="E108" s="166"/>
      <c r="F108" s="78"/>
      <c r="G108" s="78"/>
    </row>
    <row r="109" spans="1:7">
      <c r="A109" s="76" t="s">
        <v>811</v>
      </c>
      <c r="B109" s="166" t="str">
        <f>IFERROR((B37-C37)/C37,"-")</f>
        <v>-</v>
      </c>
      <c r="C109" s="166" t="str">
        <f>IFERROR((C37-D37)/D37,"-")</f>
        <v>-</v>
      </c>
      <c r="D109" s="166" t="str">
        <f>IFERROR((D37-E37)/E37,"-")</f>
        <v>-</v>
      </c>
      <c r="E109" s="166"/>
      <c r="F109" s="78"/>
      <c r="G109" s="78"/>
    </row>
    <row r="110" spans="1:7">
      <c r="A110" s="76" t="s">
        <v>812</v>
      </c>
      <c r="B110" s="165">
        <f>IFERROR(B37+B29,"-")</f>
        <v>0</v>
      </c>
      <c r="C110" s="165">
        <f>IFERROR(C37+C29,"-")</f>
        <v>0</v>
      </c>
      <c r="D110" s="165">
        <f>IFERROR(D37+D29,"-")</f>
        <v>0</v>
      </c>
      <c r="E110" s="165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7" t="s">
        <v>813</v>
      </c>
      <c r="B112" s="168" t="str">
        <f>B89</f>
        <v>Provisionals</v>
      </c>
      <c r="C112" s="168" t="str">
        <f t="shared" ref="C112:E112" si="27">C89</f>
        <v>31/03/2020</v>
      </c>
      <c r="D112" s="168" t="str">
        <f t="shared" si="27"/>
        <v>31/03/2019</v>
      </c>
      <c r="E112" s="168" t="str">
        <f t="shared" si="27"/>
        <v>31/03/2018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9" t="s">
        <v>822</v>
      </c>
      <c r="B122" s="169">
        <f>SUM(B113:B121)</f>
        <v>0</v>
      </c>
      <c r="C122" s="169">
        <f>SUM(C113:C121)</f>
        <v>0</v>
      </c>
      <c r="D122" s="169">
        <f>SUM(D113:D121)</f>
        <v>0</v>
      </c>
      <c r="E122" s="169">
        <f>SUM(E113:E121)</f>
        <v>0</v>
      </c>
    </row>
    <row r="123" spans="1:5">
      <c r="A123" s="3" t="s">
        <v>823</v>
      </c>
      <c r="B123" s="170">
        <f>C80-B80</f>
        <v>0</v>
      </c>
      <c r="C123" s="170">
        <f>D80-C80</f>
        <v>0</v>
      </c>
      <c r="D123" s="170">
        <f>E80-D80</f>
        <v>0</v>
      </c>
      <c r="E123" s="170"/>
    </row>
    <row r="124" spans="1:5">
      <c r="A124" s="3" t="s">
        <v>783</v>
      </c>
      <c r="B124" s="170">
        <f>C79-B79</f>
        <v>0</v>
      </c>
      <c r="C124" s="170">
        <f>D79-C79</f>
        <v>0</v>
      </c>
      <c r="D124" s="170">
        <f>E79-D79</f>
        <v>0</v>
      </c>
      <c r="E124" s="170"/>
    </row>
    <row r="125" spans="1:5">
      <c r="A125" s="3" t="s">
        <v>788</v>
      </c>
      <c r="B125" s="170">
        <f>C84-B84</f>
        <v>0</v>
      </c>
      <c r="C125" s="170">
        <f>D84-C84</f>
        <v>0</v>
      </c>
      <c r="D125" s="170">
        <f>E84-D84</f>
        <v>0</v>
      </c>
      <c r="E125" s="170"/>
    </row>
    <row r="126" spans="1:5">
      <c r="A126" s="3" t="s">
        <v>824</v>
      </c>
      <c r="B126" s="170">
        <f>B67-C67</f>
        <v>0</v>
      </c>
      <c r="C126" s="170">
        <f>C67-D67</f>
        <v>0</v>
      </c>
      <c r="D126" s="170">
        <f>D67-E67</f>
        <v>0</v>
      </c>
      <c r="E126" s="170"/>
    </row>
    <row r="127" spans="1:5">
      <c r="A127" s="171" t="s">
        <v>39</v>
      </c>
      <c r="B127" s="171">
        <f>SUM(B123:B126)</f>
        <v>0</v>
      </c>
      <c r="C127" s="171">
        <f>SUM(C123:C126)</f>
        <v>0</v>
      </c>
      <c r="D127" s="171">
        <f>SUM(D123:D126)</f>
        <v>0</v>
      </c>
      <c r="E127" s="171"/>
    </row>
    <row r="128" spans="1:5">
      <c r="A128" s="169" t="s">
        <v>825</v>
      </c>
      <c r="B128" s="169">
        <f>B122+B127</f>
        <v>0</v>
      </c>
      <c r="C128" s="169">
        <f>C122+C127</f>
        <v>0</v>
      </c>
      <c r="D128" s="169">
        <f>D122+D127</f>
        <v>0</v>
      </c>
      <c r="E128" s="169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9" t="s">
        <v>827</v>
      </c>
      <c r="B130" s="169">
        <f>B128-B129</f>
        <v>0</v>
      </c>
      <c r="C130" s="169">
        <f>C128-C129</f>
        <v>0</v>
      </c>
      <c r="D130" s="169">
        <f>D128-D129</f>
        <v>0</v>
      </c>
      <c r="E130" s="169">
        <f>E128-E129</f>
        <v>0</v>
      </c>
    </row>
  </sheetData>
  <sheetProtection algorithmName="SHA-512" hashValue="JpumlM6M+87zlj2UWCOKfl8sxBlKf+3u2Z39i19nzk4fUkuGNoLCng+1R4L5v9rMnLQr9tuS8nltzhqoxnq5yQ==" saltValue="aK8q4DnTnJwvP/vLD89cY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58" priority="10" stopIfTrue="1" operator="lessThan">
      <formula>-0.2</formula>
    </cfRule>
    <cfRule type="cellIs" dxfId="57" priority="11" stopIfTrue="1" operator="lessThan">
      <formula>0</formula>
    </cfRule>
    <cfRule type="cellIs" dxfId="56" priority="12" stopIfTrue="1" operator="greaterThan">
      <formula>0.4</formula>
    </cfRule>
  </conditionalFormatting>
  <conditionalFormatting sqref="F33:G45 F57:G58 G87">
    <cfRule type="cellIs" dxfId="55" priority="40" stopIfTrue="1" operator="lessThan">
      <formula>-0.2</formula>
    </cfRule>
    <cfRule type="cellIs" dxfId="54" priority="41" stopIfTrue="1" operator="lessThan">
      <formula>0</formula>
    </cfRule>
    <cfRule type="cellIs" dxfId="53" priority="42" stopIfTrue="1" operator="greaterThan">
      <formula>0.4</formula>
    </cfRule>
  </conditionalFormatting>
  <conditionalFormatting sqref="F46:G57">
    <cfRule type="cellIs" dxfId="52" priority="4" stopIfTrue="1" operator="lessThan">
      <formula>-0.2</formula>
    </cfRule>
    <cfRule type="cellIs" dxfId="51" priority="5" stopIfTrue="1" operator="lessThan">
      <formula>0</formula>
    </cfRule>
    <cfRule type="cellIs" dxfId="50" priority="6" stopIfTrue="1" operator="greaterThan">
      <formula>0.4</formula>
    </cfRule>
  </conditionalFormatting>
  <conditionalFormatting sqref="F59:G86">
    <cfRule type="cellIs" dxfId="49" priority="1" stopIfTrue="1" operator="lessThan">
      <formula>-0.2</formula>
    </cfRule>
    <cfRule type="cellIs" dxfId="48" priority="2" stopIfTrue="1" operator="lessThan">
      <formula>0</formula>
    </cfRule>
    <cfRule type="cellIs" dxfId="47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45"/>
  <sheetViews>
    <sheetView workbookViewId="0">
      <selection activeCell="B8" sqref="B8"/>
    </sheetView>
  </sheetViews>
  <sheetFormatPr defaultColWidth="0" defaultRowHeight="12.75" zeroHeight="1"/>
  <cols>
    <col min="1" max="1" width="77" style="1" customWidth="1"/>
    <col min="2" max="3" width="17.7109375" style="1" customWidth="1"/>
    <col min="4" max="4" width="18.140625" style="1" customWidth="1"/>
    <col min="5" max="6" width="9.140625" style="1" customWidth="1"/>
    <col min="7" max="7" width="14.42578125" style="1" customWidth="1"/>
    <col min="8" max="9" width="10.7109375" style="1" customWidth="1"/>
    <col min="10" max="10" width="15.28515625" style="1" customWidth="1"/>
    <col min="11" max="11" width="11" style="1" customWidth="1"/>
    <col min="12" max="12" width="9.140625" style="1" customWidth="1"/>
    <col min="13" max="13" width="12" style="1" customWidth="1"/>
    <col min="14" max="14" width="9.140625" style="1" customWidth="1"/>
    <col min="15" max="15" width="13.7109375" style="1" customWidth="1"/>
    <col min="16" max="16" width="9.140625" style="1" customWidth="1"/>
    <col min="17" max="16384" width="9.140625" style="1" hidden="1"/>
  </cols>
  <sheetData>
    <row r="1" spans="1:16" ht="15">
      <c r="A1" s="520" t="s">
        <v>835</v>
      </c>
      <c r="B1" s="520"/>
      <c r="C1" s="520"/>
      <c r="D1" s="140" t="str">
        <f>CONCATENATE(Validation!$A$41,"_",BasicInput!$H$28,"_",BasicInput!$F$40)</f>
        <v>Cash Profit Method_HL_</v>
      </c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1:16">
      <c r="B2" s="365" t="s">
        <v>57</v>
      </c>
      <c r="C2" s="365"/>
      <c r="D2" s="140">
        <f>IFERROR(IF(COUNTIF(BasicInput!$B$22:$B$26,Validation!$A$30)&gt;=1,50%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D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</row>
    <row r="3" spans="1:16">
      <c r="A3" s="10" t="s">
        <v>58</v>
      </c>
      <c r="B3" s="10" t="str">
        <f>PrimeConsolidated!$C$7</f>
        <v>FY 2023-24</v>
      </c>
      <c r="C3" s="10" t="str">
        <f>PrimeConsolidated!$D$7</f>
        <v>FY 2022-23</v>
      </c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</row>
    <row r="4" spans="1:16" ht="25.5">
      <c r="A4" s="142" t="s">
        <v>836</v>
      </c>
      <c r="B4" s="12">
        <f>(PrimeConsolidated!$C$42-PrimeConsolidated!$C$11-PrimeConsolidated!$C$17-PrimeConsolidated!$C$18-PrimeConsolidated!$C$27)*100000</f>
        <v>0</v>
      </c>
      <c r="C4" s="12">
        <f>(PrimeConsolidated!$D$42-PrimeConsolidated!$D$11-PrimeConsolidated!$D$17-PrimeConsolidated!$D$18-PrimeConsolidated!$D$27)*100000</f>
        <v>0</v>
      </c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>
      <c r="A5" s="142" t="s">
        <v>576</v>
      </c>
      <c r="B5" s="12">
        <f>PrimeConsolidated!$C$32*100000</f>
        <v>0</v>
      </c>
      <c r="C5" s="12">
        <f>PrimeConsolidated!$D$32*100000</f>
        <v>0</v>
      </c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</row>
    <row r="6" spans="1:16">
      <c r="A6" s="142" t="s">
        <v>837</v>
      </c>
      <c r="B6" s="12">
        <f>(PrimeConsolidated!$C$39+PrimeConsolidated!$C$41)*100000</f>
        <v>0</v>
      </c>
      <c r="C6" s="12">
        <f>(PrimeConsolidated!$D$39+PrimeConsolidated!$D$41)*100000</f>
        <v>0</v>
      </c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</row>
    <row r="7" spans="1:16">
      <c r="A7" s="142" t="s">
        <v>838</v>
      </c>
      <c r="B7" s="12">
        <f>(PrimeConsolidated!$C$40+PrimeConsolidated!$C$38)*100000</f>
        <v>0</v>
      </c>
      <c r="C7" s="12">
        <f>(PrimeConsolidated!$D$40+PrimeConsolidated!$D$38)*100000</f>
        <v>0</v>
      </c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16" ht="25.5">
      <c r="A8" s="142" t="s">
        <v>839</v>
      </c>
      <c r="B8" s="12">
        <f>BasicInput!$D$46</f>
        <v>0</v>
      </c>
      <c r="C8" s="12">
        <f>BasicInput!$E$46</f>
        <v>0</v>
      </c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</row>
    <row r="9" spans="1:16" ht="25.5">
      <c r="A9" s="142" t="s">
        <v>840</v>
      </c>
      <c r="B9" s="12">
        <f>BasicInput!$D$47</f>
        <v>0</v>
      </c>
      <c r="C9" s="12">
        <f>BasicInput!$E$47</f>
        <v>0</v>
      </c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</row>
    <row r="10" spans="1:16">
      <c r="A10" s="143" t="s">
        <v>574</v>
      </c>
      <c r="B10" s="13">
        <f>SUM(B4:B7)+B9-B8</f>
        <v>0</v>
      </c>
      <c r="C10" s="13">
        <f>SUM(C4:C7)+C9-C8</f>
        <v>0</v>
      </c>
      <c r="D10" s="17" t="str">
        <f>IFERROR(IF((B10/C10)&lt;80%,"Deviation approval required from ACC or above for EBITDA decline &gt;20%",""),"")</f>
        <v/>
      </c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</row>
    <row r="11" spans="1:16">
      <c r="A11" s="3" t="s">
        <v>841</v>
      </c>
      <c r="B11" s="12">
        <f>BasicInput!$D$48</f>
        <v>0</v>
      </c>
      <c r="C11" s="12">
        <f>BasicInput!$E$48</f>
        <v>0</v>
      </c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</row>
    <row r="12" spans="1:16">
      <c r="A12" s="143" t="s">
        <v>842</v>
      </c>
      <c r="B12" s="13">
        <f>IF(AND((B10/IF(C10=0,0.001,C10))&lt;=150%,(B10/IF(C10=0,0.001,C10))&gt;0),B10,MAX((B10+C10)/2,C10*150%))+B11</f>
        <v>0</v>
      </c>
      <c r="C12" s="13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</row>
    <row r="13" spans="1:16" ht="38.25">
      <c r="A13" s="3" t="s">
        <v>843</v>
      </c>
      <c r="B13" s="12">
        <f>BasicInput!$D$49</f>
        <v>0</v>
      </c>
      <c r="C13" s="366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</row>
    <row r="14" spans="1:16">
      <c r="A14" s="342" t="s">
        <v>63</v>
      </c>
      <c r="B14" s="12">
        <f>BasicInput!$D$50</f>
        <v>0</v>
      </c>
      <c r="C14" s="366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</row>
    <row r="15" spans="1:16" ht="25.5">
      <c r="A15" s="3" t="s">
        <v>64</v>
      </c>
      <c r="B15" s="12">
        <f>BasicInput!$D$51</f>
        <v>0</v>
      </c>
      <c r="C15" s="366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</row>
    <row r="16" spans="1:16" ht="25.5">
      <c r="A16" s="3" t="s">
        <v>844</v>
      </c>
      <c r="B16" s="12">
        <f>BasicInput!$D$52</f>
        <v>0</v>
      </c>
      <c r="C16" s="366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</row>
    <row r="17" spans="1:16">
      <c r="A17" s="143" t="s">
        <v>107</v>
      </c>
      <c r="B17" s="13">
        <f>MIN((B13+(B14*50%)+B15+B16),B12)</f>
        <v>0</v>
      </c>
      <c r="C17" s="13"/>
      <c r="D17" s="17" t="str">
        <f>IF(B12&lt;(B13+(B14*50%)+B15+B16),"Other Income capped at 100% of Basic Income","")</f>
        <v/>
      </c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</row>
    <row r="18" spans="1:16" ht="51.75" customHeight="1">
      <c r="A18" s="3" t="s">
        <v>66</v>
      </c>
      <c r="B18" s="12">
        <f>BasicInput!$D$53</f>
        <v>0</v>
      </c>
      <c r="C18" s="3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</row>
    <row r="19" spans="1:16">
      <c r="A19" s="143" t="s">
        <v>691</v>
      </c>
      <c r="B19" s="13">
        <f>B12+B17+B18</f>
        <v>0</v>
      </c>
      <c r="C19" s="5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</row>
    <row r="20" spans="1:16">
      <c r="A20" s="143" t="s">
        <v>119</v>
      </c>
      <c r="B20" s="13">
        <f>B19/12</f>
        <v>0</v>
      </c>
      <c r="C20" s="542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</row>
    <row r="21" spans="1:16">
      <c r="A21" s="143" t="s">
        <v>692</v>
      </c>
      <c r="B21" s="13">
        <f>BasicInput!$D$27</f>
        <v>3000000</v>
      </c>
      <c r="C21" s="145"/>
      <c r="D21" s="141" t="str">
        <f>IF(OR(BasicInput!$D$27="",BasicInput!$D$27=0),"",IFERROR(IF(OR(B21&lt;VLOOKUP($D$1,Validation!$O$2:$Q$541,2,0),B21&gt;VLOOKUP($D$1,Validation!$O$2:$Q$541,3,0)),"NCC Level Deviation for Lower / Upper Cap Breach of Loan Amount",""),""))</f>
        <v/>
      </c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</row>
    <row r="22" spans="1:16">
      <c r="A22" s="3" t="s">
        <v>693</v>
      </c>
      <c r="B22" s="12">
        <f>'ExistingLoans&amp;Facilities&amp;RTR'!$N$103</f>
        <v>0</v>
      </c>
      <c r="C22" s="543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</row>
    <row r="23" spans="1:16">
      <c r="A23" s="3" t="s">
        <v>694</v>
      </c>
      <c r="B23" s="12">
        <f>BasicInput!$G$28</f>
        <v>33033</v>
      </c>
      <c r="C23" s="544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</row>
    <row r="24" spans="1:16">
      <c r="A24" s="3" t="s">
        <v>845</v>
      </c>
      <c r="B24" s="12">
        <f>SUMIF(BasicInput!$B$22:$B$26,Validation!$A$37,BasicInput!$G$22:$G$26)</f>
        <v>0</v>
      </c>
      <c r="C24" s="544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</row>
    <row r="25" spans="1:16">
      <c r="A25" s="3" t="s">
        <v>695</v>
      </c>
      <c r="B25" s="12">
        <f>SUMIF(BasicInput!$B$22:$B$26,Validation!$A$38,BasicInput!$G$22:$G$26)</f>
        <v>0</v>
      </c>
      <c r="C25" s="545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</row>
    <row r="26" spans="1:16">
      <c r="A26" s="143" t="s">
        <v>696</v>
      </c>
      <c r="B26" s="16">
        <f>IF(SUM(B22:B23)=0,0,IFERROR(SUM(B22:B23)/B20,100000%))</f>
        <v>1000</v>
      </c>
      <c r="C26" s="546"/>
      <c r="D26" s="17" t="str">
        <f>IFERROR(IF(B26&lt;=VLOOKUP($D$1,Validation!$O$2:$W$541,6,0),"",IF(B26&lt;=VLOOKUP($D$1,Validation!$O$2:$W$541,7,0),"FOIR Deviation Approval required",IF(B26&lt;=VLOOKUP($D$1,Validation!$O$2:$W$541,8,0),"FOIR Deviation Approval required",IF(B26&lt;=VLOOKUP($D$1,Validation!$O$2:$W$541,9,0),"FOIR Deviation Approval required","FOIR Deviation Approval required")))),"")</f>
        <v/>
      </c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</row>
    <row r="27" spans="1:16">
      <c r="A27" s="143" t="s">
        <v>697</v>
      </c>
      <c r="B27" s="16">
        <f>IF(SUM(B22:B25)=0,0,IFERROR(SUM(B22:B25)/B20,100000%))</f>
        <v>1000</v>
      </c>
      <c r="C27" s="547"/>
      <c r="D27" s="17" t="str">
        <f>IFERROR(IF(B27&lt;=(VLOOKUP($D$1,Validation!$O$2:$W$541,6,0)+IF(AND(BasicInput!$H$28&lt;&gt;"Ins",COUNTIF(BasicInput!$B$22:$B$26,Validation!$A$38)&gt;=1),MIN(SUMIF(BasicInput!$B$22:$B$26,Validation!$A$38,BasicInput!$G$22:$G$26)/B20,5%),0%)),"",IF(B27&lt;=(VLOOKUP($D$1,Validation!$O$2:$W$541,7,0)+IF(AND(BasicInput!$H$28&lt;&gt;"Ins",COUNTIF(BasicInput!$B$22:$B$26,Validation!$A$38)&gt;=1),MIN(SUMIF(BasicInput!$B$22:$B$26,Validation!$A$38,BasicInput!$G$22:$G$26)/B20,5%),0%)),"FOIR Deviation Approval required",IF(B27&lt;=(VLOOKUP($D$1,Validation!$O$2:$W$541,8,0)+IF(AND(BasicInput!$H$28&lt;&gt;"Ins",COUNTIF(BasicInput!$B$22:$B$26,Validation!$A$38)&gt;=1),MIN(SUMIF(BasicInput!$B$22:$B$26,Validation!$A$38,BasicInput!$G$22:$G$26)/B20,5%),0%)),"FOIR Deviation Approval required",IF(B27&lt;=(VLOOKUP($D$1,Validation!$O$2:$W$541,9,0)+IF(AND(BasicInput!$H$28&lt;&gt;"Ins",COUNTIF(BasicInput!$B$22:$B$26,Validation!$A$38)&gt;=1),MIN(SUMIF(BasicInput!$B$22:$B$26,Validation!$A$38,BasicInput!$G$22:$G$26)/B20,5%),0%)),"FOIR Deviation Approval required","FOIR Deviation Approval required")))),"")</f>
        <v/>
      </c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</row>
    <row r="28" spans="1:16">
      <c r="A28" s="143" t="s">
        <v>698</v>
      </c>
      <c r="B28" s="16">
        <f>IFERROR(SUMIF(BasicInput!$B$22:$B$26,Validation!$A$38,BasicInput!$G$22:$G$26)/B20,0)</f>
        <v>0</v>
      </c>
      <c r="C28" s="548"/>
      <c r="D28" s="17" t="str">
        <f>IF(B28&lt;=5%,"","NCC Level FOIR Deviation for Insurance")</f>
        <v/>
      </c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</row>
    <row r="29" spans="1:16">
      <c r="A29" s="143" t="s">
        <v>699</v>
      </c>
      <c r="B29" s="13">
        <f>MAX(IFERROR(((VLOOKUP($D$1,Validation!$O$2:$W$541,6,0)+IF(AND(BasicInput!$H$28&lt;&gt;"Ins",COUNTIF(BasicInput!$B$22:$B$26,Validation!$A$38)&gt;=1),MIN(SUMIF(BasicInput!$B$22:$B$26,Validation!$A$38,BasicInput!$G$22:$G$26)/B20,5%),0%))*B20-B22)/BasicInput!$F$28,0),0)</f>
        <v>0</v>
      </c>
      <c r="C29" s="146"/>
      <c r="D29" s="17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</row>
    <row r="30" spans="1:16">
      <c r="A30" s="143" t="s">
        <v>700</v>
      </c>
      <c r="B30" s="16">
        <f>IFERROR((BasicInput!$D$28+$G$43)/$M$43,0)</f>
        <v>0</v>
      </c>
      <c r="C30" s="546"/>
      <c r="D30" s="17" t="str">
        <f>IF(B30&lt;=$D$2,"",IF(OR(BasicInput!$H$28="HL",BasicInput!$H$28="HLIns",BasicInput!$H$28="HLGPL",BasicInput!$H$28="HLGPLIns"),"No LTV Deviation allowed",IF(B30&lt;=(VLOOKUP($D$1,Validation!$O$2:$AA$541,11,0)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$541,12,0)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$541,13,0)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required","LTV Deviation Approval required")))))</f>
        <v/>
      </c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</row>
    <row r="31" spans="1:16">
      <c r="A31" s="143" t="s">
        <v>701</v>
      </c>
      <c r="B31" s="16">
        <f>IFERROR((BasicInput!$D$27+$G$43)/$M$43,0)</f>
        <v>0</v>
      </c>
      <c r="C31" s="547"/>
      <c r="D31" s="17" t="str">
        <f>IF(B31&lt;=$D$2,"",IF(OR(BasicInput!$H$28="HL",BasicInput!$H$28="HLIns",BasicInput!$H$28="HLGPL",BasicInput!$H$28="HLGPLIns"),"No LTV Deviation allowed",IF(B31&lt;=(VLOOKUP($D$1,Validation!$O$2:$AA$541,11,0)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$541,12,0)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$541,13,0)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</f>
        <v/>
      </c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</row>
    <row r="32" spans="1:16">
      <c r="A32" s="143" t="s">
        <v>702</v>
      </c>
      <c r="B32" s="16">
        <f>IFERROR(SUMIF(BasicInput!$B$22:$B$26,Validation!$A$38,BasicInput!$D$22:$D$26)/$M$43,0)</f>
        <v>0</v>
      </c>
      <c r="C32" s="548"/>
      <c r="D32" s="17" t="str">
        <f>IF(B32&lt;=5%,"","NCC Level FOIR Deviation for Insurance")</f>
        <v/>
      </c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</row>
    <row r="33" spans="1:16">
      <c r="A33" s="143" t="s">
        <v>703</v>
      </c>
      <c r="B33" s="13">
        <f>MAX($O$43,0)</f>
        <v>0</v>
      </c>
      <c r="C33" s="147"/>
      <c r="D33" s="17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</row>
    <row r="34" spans="1:16">
      <c r="A34" s="148" t="s">
        <v>704</v>
      </c>
      <c r="B34" s="18">
        <f>MIN(B21,B29,B33)</f>
        <v>0</v>
      </c>
      <c r="C34" s="149"/>
      <c r="D34" s="17" t="str">
        <f>IF(B34=0,"",IFERROR(IF(OR(B34&lt;VLOOKUP($D$1,Validation!$O$2:$Q$541,2,0),B34&gt;VLOOKUP($D$1,Validation!$O$2:$Q$541,3,0)),"NCC Level Deviation for Lower / Upper Cap Breach of Loan Amount",""),""))</f>
        <v/>
      </c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</row>
    <row r="35" spans="1:16">
      <c r="B35" s="1" t="str">
        <f>IF(OR(BasicInput!$H$28="HL",BasicInput!$H$28="HLIns",BasicInput!$H$28="HLGPL",BasicInput!$H$28="HLGPLIns"),"",IF((B27+B31-C35)&gt;15%,"NCC Approval for LTV+FOIR Deviation",IF((B27+B31-C35)&gt;5%,"ZCC Approval for LTV+FOIR Deviation",IF((B27+B31-C35)&gt;2.5%,"RCC Approval for LTV+FOIR Deviation",IF((B27+B31-C35)&gt;0%,"ACC Approval for LTV+FOIR Deviation","")))))</f>
        <v/>
      </c>
      <c r="C35" s="19">
        <f>MAX(IFERROR((VLOOKUP($D$1,Validation!$O$2:$W$541,6,0)+IF(AND(BasicInput!$H$28&lt;&gt;"Ins",COUNTIF(BasicInput!$B$22:$B$26,Validation!$A$38)&gt;=1),MIN(SUMIF(BasicInput!$B$22:$B$26,Validation!$A$38,BasicInput!$G$22:$G$26)/B20,5%),0%)),0),0)+IFERROR(O43/M43,0)</f>
        <v>0</v>
      </c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</row>
    <row r="36" spans="1:16"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</row>
    <row r="37" spans="1:16" ht="63.75">
      <c r="A37" s="10" t="s">
        <v>42</v>
      </c>
      <c r="B37" s="10" t="s">
        <v>43</v>
      </c>
      <c r="C37" s="10" t="s">
        <v>44</v>
      </c>
      <c r="D37" s="10" t="s">
        <v>45</v>
      </c>
      <c r="E37" s="10" t="s">
        <v>46</v>
      </c>
      <c r="F37" s="10" t="s">
        <v>47</v>
      </c>
      <c r="G37" s="10" t="s">
        <v>48</v>
      </c>
      <c r="H37" s="10" t="s">
        <v>49</v>
      </c>
      <c r="I37" s="10" t="s">
        <v>50</v>
      </c>
      <c r="J37" s="10" t="s">
        <v>51</v>
      </c>
      <c r="K37" s="10" t="s">
        <v>52</v>
      </c>
      <c r="L37" s="10" t="s">
        <v>53</v>
      </c>
      <c r="M37" s="10" t="s">
        <v>54</v>
      </c>
      <c r="N37" s="10" t="s">
        <v>705</v>
      </c>
      <c r="O37" s="10" t="s">
        <v>706</v>
      </c>
    </row>
    <row r="38" spans="1:16" ht="51">
      <c r="A38" s="3" t="str">
        <f>IF(BasicInput!$B$34="","",BasicInput!$B$34)</f>
        <v/>
      </c>
      <c r="B38" s="3" t="str">
        <f>IF(BasicInput!$C$34="","",BasicInput!$C$34)</f>
        <v/>
      </c>
      <c r="C38" s="3" t="str">
        <f>IF(BasicInput!$D$34="","",BasicInput!$D$34)</f>
        <v/>
      </c>
      <c r="D38" s="3" t="str">
        <f>IF(BasicInput!$E$34="","",BasicInput!$E$34)</f>
        <v/>
      </c>
      <c r="E38" s="3" t="str">
        <f>IF(BasicInput!$F$34="","",BasicInput!$F$34)</f>
        <v/>
      </c>
      <c r="F38" s="7" t="str">
        <f>IF(BasicInput!$G$34="","",BasicInput!$G$34)</f>
        <v/>
      </c>
      <c r="G38" s="12">
        <f>IF(BasicInput!$H$34="",0,BasicInput!$H$34)</f>
        <v>0</v>
      </c>
      <c r="H38" s="12">
        <f>IF(BasicInput!$I$34="",0,BasicInput!$I$34)</f>
        <v>0</v>
      </c>
      <c r="I38" s="12">
        <f>IF(BasicInput!$J$34="",0,BasicInput!$J$34)</f>
        <v>0</v>
      </c>
      <c r="J38" s="12">
        <f>IF(BasicInput!$K$34="",0,BasicInput!$K$34)</f>
        <v>0</v>
      </c>
      <c r="K38" s="11" t="str">
        <f>IF(BasicInput!$L$34="","",BasicInput!$L$34)</f>
        <v/>
      </c>
      <c r="L38" s="11" t="str">
        <f>IF(BasicInput!$M$34="","",BasicInput!$M$34)</f>
        <v/>
      </c>
      <c r="M38" s="12" t="str">
        <f>IF(BasicInput!$N$34="",0,BasicInput!$N$34)</f>
        <v>Agreement Value / Property Cost required</v>
      </c>
      <c r="N38" s="11">
        <f>IFERROR(IF(AND(OR(BasicInput!$H$28="HL",BasicInput!$H$28="HLIns",BasicInput!$H$28="HLGPL",BasicInput!$H$28="HLGPLIns"),BasicInput!$B$28&gt;=1),MIN(P38+IF(COUNTIF(BasicInput!$B$22:$B$26,Validation!$A$37)&gt;=1,MIN(SUMIF(BasicInput!$B$22:$B$26,Validation!$A$37,BasicInput!$D$22:$D$26)/BasicInput!$J$40,IF((BasicInput!$D$28+BasicInput!$H$39)&gt;3000000,5%,10%)),0),90%)-IF(E38=Validation!$A$83,5%,0%),VLOOKUP($D$1,Validation!$O$2:$X$541,10,0)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BasicInput!$H$28&lt;&gt;"HLGPL",BasicInput!$H$28&lt;&gt;"HLGPLIns",COUNTIF(BasicInput!$B$22:$B$26,Validation!$A$30)&gt;=1,B38=Validation!$A$75),20%,0%),0)+IF(AND($D$2&lt;&gt;0,B38=Validation!$A$76,K38=100%,COUNTIF(BasicInput!$B$22:$B$26,Validation!$A$33)&gt;=1),5%,0)</f>
        <v>0</v>
      </c>
      <c r="O38" s="20">
        <f>IFERROR(IF(AND(OR(BasicInput!$H$28="HL",BasicInput!$H$28="HLIns",BasicInput!$H$28="HLGPL",BasicInput!$H$28="HLGPLIns"),COUNTIF(BasicInput!$B$22:$B$26,Validation!$A$23)&gt;=1,B38=Validation!$A$75),MIN(M38*N38,J38*(80%+IF(COUNTIF(BasicInput!$B$22:$B$26,Validation!$A$37)&gt;=1,MIN(SUMIF(BasicInput!$B$22:$B$26,Validation!$A$37,BasicInput!$D$22:$D$26)/BasicInput!$J$40,IF((BasicInput!$D$28+BasicInput!$H$39)&gt;3000000,5%,10%)),0)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9" t="b">
        <f>IF(AND(OR(BasicInput!$H$28="HL",BasicInput!$H$28="HLIns",BasicInput!$H$28="HLGPL",BasicInput!$H$28="HLGPLIns"),COUNTIF(BasicInput!$B$22:$B$26,Validation!$A$23)&gt;=1,B38=Validation!$A$75),75%,IF(AND(OR(BasicInput!$H$28="HL",BasicInput!$H$28="HLIns",BasicInput!$H$28="HLGPL",BasicInput!$H$28="HLGPLIns"),BasicInput!$B$28&gt;=1,OR(B38=Validation!$A$73,B38=Validation!$A$74)),IF((BasicInput!$D$28+BasicInput!$H$39)&gt;7500000,75%,IF((BasicInput!$D$28+BasicInput!$H$39)&gt;3000000,80%,90%))))</f>
        <v>0</v>
      </c>
    </row>
    <row r="39" spans="1:16" ht="51">
      <c r="A39" s="3" t="str">
        <f>IF(BasicInput!$B$35="","",BasicInput!$B$35)</f>
        <v/>
      </c>
      <c r="B39" s="3" t="str">
        <f>IF(BasicInput!$C$35="","",BasicInput!$C$35)</f>
        <v/>
      </c>
      <c r="C39" s="3" t="str">
        <f>IF(BasicInput!$D$35="","",BasicInput!$D$35)</f>
        <v/>
      </c>
      <c r="D39" s="3" t="str">
        <f>IF(BasicInput!$E$35="","",BasicInput!$E$35)</f>
        <v/>
      </c>
      <c r="E39" s="3" t="str">
        <f>IF(BasicInput!$F$35="","",BasicInput!$F$35)</f>
        <v/>
      </c>
      <c r="F39" s="7" t="str">
        <f>IF(BasicInput!$G$35="","",BasicInput!$G$35)</f>
        <v/>
      </c>
      <c r="G39" s="12">
        <f>IF(BasicInput!$H$35="",0,BasicInput!$H$35)</f>
        <v>0</v>
      </c>
      <c r="H39" s="12">
        <f>IF(BasicInput!$I$35="",0,BasicInput!$I$35)</f>
        <v>0</v>
      </c>
      <c r="I39" s="12">
        <f>IF(BasicInput!$J$35="",0,BasicInput!$J$35)</f>
        <v>0</v>
      </c>
      <c r="J39" s="12">
        <f>IF(BasicInput!$K$35="",0,BasicInput!$K$35)</f>
        <v>0</v>
      </c>
      <c r="K39" s="11" t="str">
        <f>IF(BasicInput!$L$35="","",BasicInput!$L$35)</f>
        <v/>
      </c>
      <c r="L39" s="11" t="str">
        <f>IF(BasicInput!$M$35="","",BasicInput!$M$35)</f>
        <v/>
      </c>
      <c r="M39" s="12" t="str">
        <f>IF(BasicInput!$N$35="",0,BasicInput!$N$35)</f>
        <v>Agreement Value / Property Cost required</v>
      </c>
      <c r="N39" s="11">
        <f>IFERROR(IF(AND(OR(BasicInput!$H$28="HL",BasicInput!$H$28="HLIns",BasicInput!$H$28="HLGPL",BasicInput!$H$28="HLGPLIns"),BasicInput!$B$28&gt;=1),MIN(P39+IF(COUNTIF(BasicInput!$B$22:$B$26,Validation!$A$37)&gt;=1,MIN(SUMIF(BasicInput!$B$22:$B$26,Validation!$A$37,BasicInput!$D$22:$D$26)/BasicInput!$J$40,IF((BasicInput!$D$28+BasicInput!$H$39)&gt;3000000,5%,10%)),0),90%)-IF(E39=Validation!$A$83,5%,0%),VLOOKUP($D$1,Validation!$O$2:$X$541,10,0)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BasicInput!$H$28&lt;&gt;"HLGPL",BasicInput!$H$28&lt;&gt;"HLGPLIns",COUNTIF(BasicInput!$B$22:$B$26,Validation!$A$30)&gt;=1,B39=Validation!$A$75),20%,0%),0)+IF(AND($D$2&lt;&gt;0,B39=Validation!$A$76,K39=100%,COUNTIF(BasicInput!$B$22:$B$26,Validation!$A$33)&gt;=1),5%,0)</f>
        <v>0</v>
      </c>
      <c r="O39" s="20">
        <f>IFERROR(IF(AND(OR(BasicInput!$H$28="HL",BasicInput!$H$28="HLIns",BasicInput!$H$28="HLGPL",BasicInput!$H$28="HLGPLIns"),COUNTIF(BasicInput!$B$22:$B$26,Validation!$A$23)&gt;=1,B39=Validation!$A$75),MIN(M39*N39,J39*(80%+IF(COUNTIF(BasicInput!$B$22:$B$26,Validation!$A$37)&gt;=1,MIN(SUMIF(BasicInput!$B$22:$B$26,Validation!$A$37,BasicInput!$D$22:$D$26)/BasicInput!$J$40,IF((BasicInput!$D$28+BasicInput!$H$39)&gt;3000000,5%,10%)),0)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9" t="b">
        <f>IF(AND(OR(BasicInput!$H$28="HL",BasicInput!$H$28="HLIns",BasicInput!$H$28="HLGPL",BasicInput!$H$28="HLGPLIns"),COUNTIF(BasicInput!$B$22:$B$26,Validation!$A$23)&gt;=1,B39=Validation!$A$75),75%,IF(AND(OR(BasicInput!$H$28="HL",BasicInput!$H$28="HLIns",BasicInput!$H$28="HLGPL",BasicInput!$H$28="HLGPLIns"),BasicInput!$B$28&gt;=1,OR(B39=Validation!$A$73,B39=Validation!$A$74)),IF((BasicInput!$D$28+BasicInput!$H$39)&gt;7500000,75%,IF((BasicInput!$D$28+BasicInput!$H$39)&gt;3000000,80%,90%))))</f>
        <v>0</v>
      </c>
    </row>
    <row r="40" spans="1:16" ht="51">
      <c r="A40" s="3" t="str">
        <f>IF(BasicInput!$B$36="","",BasicInput!$B$36)</f>
        <v/>
      </c>
      <c r="B40" s="3" t="str">
        <f>IF(BasicInput!$C$36="","",BasicInput!$C$36)</f>
        <v/>
      </c>
      <c r="C40" s="3" t="str">
        <f>IF(BasicInput!$D$36="","",BasicInput!$D$36)</f>
        <v/>
      </c>
      <c r="D40" s="3" t="str">
        <f>IF(BasicInput!$E$36="","",BasicInput!$E$36)</f>
        <v/>
      </c>
      <c r="E40" s="3" t="str">
        <f>IF(BasicInput!$F$36="","",BasicInput!$F$36)</f>
        <v/>
      </c>
      <c r="F40" s="7" t="str">
        <f>IF(BasicInput!$G$36="","",BasicInput!$G$36)</f>
        <v/>
      </c>
      <c r="G40" s="12">
        <f>IF(BasicInput!$H$36="",0,BasicInput!$H$36)</f>
        <v>0</v>
      </c>
      <c r="H40" s="12">
        <f>IF(BasicInput!$I$36="",0,BasicInput!$I$36)</f>
        <v>0</v>
      </c>
      <c r="I40" s="12">
        <f>IF(BasicInput!$J$36="",0,BasicInput!$J$36)</f>
        <v>0</v>
      </c>
      <c r="J40" s="12">
        <f>IF(BasicInput!$K$36="",0,BasicInput!$K$36)</f>
        <v>0</v>
      </c>
      <c r="K40" s="11" t="str">
        <f>IF(BasicInput!$L$36="","",BasicInput!$L$36)</f>
        <v/>
      </c>
      <c r="L40" s="11" t="str">
        <f>IF(BasicInput!$M$36="","",BasicInput!$M$36)</f>
        <v/>
      </c>
      <c r="M40" s="12" t="str">
        <f>IF(BasicInput!$N$36="",0,BasicInput!$N$36)</f>
        <v>Agreement Value / Property Cost required</v>
      </c>
      <c r="N40" s="11">
        <f>IFERROR(IF(AND(OR(BasicInput!$H$28="HL",BasicInput!$H$28="HLIns",BasicInput!$H$28="HLGPL",BasicInput!$H$28="HLGPLIns"),BasicInput!$B$28&gt;=1),MIN(P40+IF(COUNTIF(BasicInput!$B$22:$B$26,Validation!$A$37)&gt;=1,MIN(SUMIF(BasicInput!$B$22:$B$26,Validation!$A$37,BasicInput!$D$22:$D$26)/BasicInput!$J$40,IF((BasicInput!$D$28+BasicInput!$H$39)&gt;3000000,5%,10%)),0),90%)-IF(E40=Validation!$A$83,5%,0%),VLOOKUP($D$1,Validation!$O$2:$X$541,10,0))+IF(AND(BasicInput!$H$28&lt;&gt;"Ins",COUNTIF(BasicInput!$B$22:$B$26,Validation!$A$38)&gt;=1),MIN(SUMIF(BasicInput!$B$22:$B$26,Validation!$A$38,BasicInput!$D$22:$D$26)/BasicInput!$J$40,5%),0%)-IF(B40=Validation!$A$76,10%,0%)-IF(AND(BasicInput!$H$28&lt;&gt;"HL",BasicInput!$H$28&lt;&gt;"HLIns",BasicInput!$H$28&lt;&gt;"HLGPL",BasicInput!$H$28&lt;&gt;"HLGPLIns",COUNTIF(BasicInput!$B$22:$B$26,Validation!$A$30)&gt;=1,B40=Validation!$A$75),20%,0%),0)+IF(AND($D$2&lt;&gt;0,B40=Validation!$A$76,K40=100%,COUNTIF(BasicInput!$B$22:$B$26,Validation!$A$33)&gt;=1),5%,0)</f>
        <v>0</v>
      </c>
      <c r="O40" s="20">
        <f>IFERROR(IF(AND(OR(BasicInput!$H$28="HL",BasicInput!$H$28="HLIns",BasicInput!$H$28="HLGPL",BasicInput!$H$28="HLGPLIns"),COUNTIF(BasicInput!$B$22:$B$26,Validation!$A$23)&gt;=1,B40=Validation!$A$75),MIN(M40*N40,J40*(80%+IF(COUNTIF(BasicInput!$B$22:$B$26,Validation!$A$37)&gt;=1,MIN(SUMIF(BasicInput!$B$22:$B$26,Validation!$A$37,BasicInput!$D$22:$D$26)/BasicInput!$J$40,IF((BasicInput!$D$28+BasicInput!$H$39)&gt;3000000,5%,10%)),0)-IF(E40=Validation!$A$83,5%,0%)+IF(AND(BasicInput!$H$28&lt;&gt;"Ins",COUNTIF(BasicInput!$B$22:$B$26,Validation!$A$38)&gt;=1),MIN(SUMIF(BasicInput!$B$22:$B$26,Validation!$A$38,BasicInput!$D$22:$D$26)/BasicInput!$J$40,5%),0%))),M40*N40)-G40,0)</f>
        <v>0</v>
      </c>
      <c r="P40" s="19" t="b">
        <f>IF(AND(OR(BasicInput!$H$28="HL",BasicInput!$H$28="HLIns",BasicInput!$H$28="HLGPL",BasicInput!$H$28="HLGPLIns"),COUNTIF(BasicInput!$B$22:$B$26,Validation!$A$23)&gt;=1,B40=Validation!$A$75),75%,IF(AND(OR(BasicInput!$H$28="HL",BasicInput!$H$28="HLIns",BasicInput!$H$28="HLGPL",BasicInput!$H$28="HLGPLIns"),BasicInput!$B$28&gt;=1,OR(B40=Validation!$A$73,B40=Validation!$A$74)),IF((BasicInput!$D$28+BasicInput!$H$39)&gt;7500000,75%,IF((BasicInput!$D$28+BasicInput!$H$39)&gt;3000000,80%,90%))))</f>
        <v>0</v>
      </c>
    </row>
    <row r="41" spans="1:16" ht="51">
      <c r="A41" s="3" t="str">
        <f>IF(BasicInput!$B$37="","",BasicInput!$B$37)</f>
        <v/>
      </c>
      <c r="B41" s="3" t="str">
        <f>IF(BasicInput!$C$37="","",BasicInput!$C$37)</f>
        <v/>
      </c>
      <c r="C41" s="3" t="str">
        <f>IF(BasicInput!$D$37="","",BasicInput!$D$37)</f>
        <v/>
      </c>
      <c r="D41" s="3" t="str">
        <f>IF(BasicInput!$E$37="","",BasicInput!$E$37)</f>
        <v/>
      </c>
      <c r="E41" s="3" t="str">
        <f>IF(BasicInput!$F$37="","",BasicInput!$F$37)</f>
        <v/>
      </c>
      <c r="F41" s="7" t="str">
        <f>IF(BasicInput!$G$37="","",BasicInput!$G$37)</f>
        <v/>
      </c>
      <c r="G41" s="12">
        <f>IF(BasicInput!$H$37="",0,BasicInput!$H$37)</f>
        <v>0</v>
      </c>
      <c r="H41" s="12">
        <f>IF(BasicInput!$I$37="",0,BasicInput!$I$37)</f>
        <v>0</v>
      </c>
      <c r="I41" s="12">
        <f>IF(BasicInput!$J$37="",0,BasicInput!$J$37)</f>
        <v>0</v>
      </c>
      <c r="J41" s="12">
        <f>IF(BasicInput!$K$37="",0,BasicInput!$K$37)</f>
        <v>0</v>
      </c>
      <c r="K41" s="11" t="str">
        <f>IF(BasicInput!$L$37="","",BasicInput!$L$37)</f>
        <v/>
      </c>
      <c r="L41" s="11" t="str">
        <f>IF(BasicInput!$M$37="","",BasicInput!$M$37)</f>
        <v/>
      </c>
      <c r="M41" s="12" t="str">
        <f>IF(BasicInput!$N$37="",0,BasicInput!$N$37)</f>
        <v>Agreement Value / Property Cost required</v>
      </c>
      <c r="N41" s="11">
        <f>IFERROR(IF(AND(OR(BasicInput!$H$28="HL",BasicInput!$H$28="HLIns",BasicInput!$H$28="HLGPL",BasicInput!$H$28="HLGPLIns"),BasicInput!$B$28&gt;=1),MIN(P41+IF(COUNTIF(BasicInput!$B$22:$B$26,Validation!$A$37)&gt;=1,MIN(SUMIF(BasicInput!$B$22:$B$26,Validation!$A$37,BasicInput!$D$22:$D$26)/BasicInput!$J$40,IF((BasicInput!$D$28+BasicInput!$H$39)&gt;3000000,5%,10%)),0),90%)-IF(E41=Validation!$A$83,5%,0%),VLOOKUP($D$1,Validation!$O$2:$X$541,10,0))+IF(AND(BasicInput!$H$28&lt;&gt;"Ins",COUNTIF(BasicInput!$B$22:$B$26,Validation!$A$38)&gt;=1),MIN(SUMIF(BasicInput!$B$22:$B$26,Validation!$A$38,BasicInput!$D$22:$D$26)/BasicInput!$J$40,5%),0%)-IF(B41=Validation!$A$76,10%,0%)-IF(AND(BasicInput!$H$28&lt;&gt;"HL",BasicInput!$H$28&lt;&gt;"HLIns",BasicInput!$H$28&lt;&gt;"HLGPL",BasicInput!$H$28&lt;&gt;"HLGPLIns",COUNTIF(BasicInput!$B$22:$B$26,Validation!$A$30)&gt;=1,B41=Validation!$A$75),20%,0%),0)+IF(AND($D$2&lt;&gt;0,B41=Validation!$A$76,K41=100%,COUNTIF(BasicInput!$B$22:$B$26,Validation!$A$33)&gt;=1),5%,0)</f>
        <v>0</v>
      </c>
      <c r="O41" s="20">
        <f>IFERROR(IF(AND(OR(BasicInput!$H$28="HL",BasicInput!$H$28="HLIns",BasicInput!$H$28="HLGPL",BasicInput!$H$28="HLGPLIns"),COUNTIF(BasicInput!$B$22:$B$26,Validation!$A$23)&gt;=1,B41=Validation!$A$75),MIN(M41*N41,J41*(80%+IF(COUNTIF(BasicInput!$B$22:$B$26,Validation!$A$37)&gt;=1,MIN(SUMIF(BasicInput!$B$22:$B$26,Validation!$A$37,BasicInput!$D$22:$D$26)/BasicInput!$J$40,IF((BasicInput!$D$28+BasicInput!$H$39)&gt;3000000,5%,10%)),0)-IF(E41=Validation!$A$83,5%,0%)+IF(AND(BasicInput!$H$28&lt;&gt;"Ins",COUNTIF(BasicInput!$B$22:$B$26,Validation!$A$38)&gt;=1),MIN(SUMIF(BasicInput!$B$22:$B$26,Validation!$A$38,BasicInput!$D$22:$D$26)/BasicInput!$J$40,5%),0%))),M41*N41)-G41,0)</f>
        <v>0</v>
      </c>
      <c r="P41" s="19" t="b">
        <f>IF(AND(OR(BasicInput!$H$28="HL",BasicInput!$H$28="HLIns",BasicInput!$H$28="HLGPL",BasicInput!$H$28="HLGPLIns"),COUNTIF(BasicInput!$B$22:$B$26,Validation!$A$23)&gt;=1,B41=Validation!$A$75),75%,IF(AND(OR(BasicInput!$H$28="HL",BasicInput!$H$28="HLIns",BasicInput!$H$28="HLGPL",BasicInput!$H$28="HLGPLIns"),BasicInput!$B$28&gt;=1,OR(B41=Validation!$A$73,B41=Validation!$A$74)),IF((BasicInput!$D$28+BasicInput!$H$39)&gt;7500000,75%,IF((BasicInput!$D$28+BasicInput!$H$39)&gt;3000000,80%,90%))))</f>
        <v>0</v>
      </c>
    </row>
    <row r="42" spans="1:16" ht="51">
      <c r="A42" s="3" t="str">
        <f>IF(BasicInput!$B$38="","",BasicInput!$B$38)</f>
        <v/>
      </c>
      <c r="B42" s="3" t="str">
        <f>IF(BasicInput!$C$38="","",BasicInput!$C$38)</f>
        <v/>
      </c>
      <c r="C42" s="3" t="str">
        <f>IF(BasicInput!$D$38="","",BasicInput!$D$38)</f>
        <v/>
      </c>
      <c r="D42" s="3" t="str">
        <f>IF(BasicInput!$E$38="","",BasicInput!$E$38)</f>
        <v/>
      </c>
      <c r="E42" s="3" t="str">
        <f>IF(BasicInput!$F$38="","",BasicInput!$F$38)</f>
        <v/>
      </c>
      <c r="F42" s="7" t="str">
        <f>IF(BasicInput!$G$38="","",BasicInput!$G$38)</f>
        <v/>
      </c>
      <c r="G42" s="12">
        <f>IF(BasicInput!$H$38="",0,BasicInput!$H$38)</f>
        <v>0</v>
      </c>
      <c r="H42" s="12">
        <f>IF(BasicInput!$I$38="",0,BasicInput!$I$38)</f>
        <v>0</v>
      </c>
      <c r="I42" s="12">
        <f>IF(BasicInput!$J$38="",0,BasicInput!$J$38)</f>
        <v>0</v>
      </c>
      <c r="J42" s="12">
        <f>IF(BasicInput!$K$38="",0,BasicInput!$K$38)</f>
        <v>0</v>
      </c>
      <c r="K42" s="11" t="str">
        <f>IF(BasicInput!$L$38="","",BasicInput!$L$38)</f>
        <v/>
      </c>
      <c r="L42" s="11" t="str">
        <f>IF(BasicInput!$M$38="","",BasicInput!$M$38)</f>
        <v/>
      </c>
      <c r="M42" s="12" t="str">
        <f>IF(BasicInput!$N$38="",0,BasicInput!$N$38)</f>
        <v>Agreement Value / Property Cost required</v>
      </c>
      <c r="N42" s="11">
        <f>IFERROR(IF(AND(OR(BasicInput!$H$28="HL",BasicInput!$H$28="HLIns",BasicInput!$H$28="HLGPL",BasicInput!$H$28="HLGPLIns"),BasicInput!$B$28&gt;=1),MIN(P42+IF(COUNTIF(BasicInput!$B$22:$B$26,Validation!$A$37)&gt;=1,MIN(SUMIF(BasicInput!$B$22:$B$26,Validation!$A$37,BasicInput!$D$22:$D$26)/BasicInput!$J$40,IF((BasicInput!$D$28+BasicInput!$H$39)&gt;3000000,5%,10%)),0),90%)-IF(E42=Validation!$A$83,5%,0%),VLOOKUP($D$1,Validation!$O$2:$X$541,10,0))+IF(AND(BasicInput!$H$28&lt;&gt;"Ins",COUNTIF(BasicInput!$B$22:$B$26,Validation!$A$38)&gt;=1),MIN(SUMIF(BasicInput!$B$22:$B$26,Validation!$A$38,BasicInput!$D$22:$D$26)/BasicInput!$J$40,5%),0%)-IF(B42=Validation!$A$76,10%,0%)-IF(AND(BasicInput!$H$28&lt;&gt;"HL",BasicInput!$H$28&lt;&gt;"HLIns",BasicInput!$H$28&lt;&gt;"HLGPL",BasicInput!$H$28&lt;&gt;"HLGPLIns",COUNTIF(BasicInput!$B$22:$B$26,Validation!$A$30)&gt;=1,B42=Validation!$A$75),20%,0%),0)+IF(AND($D$2&lt;&gt;0,B42=Validation!$A$76,K42=100%,COUNTIF(BasicInput!$B$22:$B$26,Validation!$A$33)&gt;=1),5%,0)</f>
        <v>0</v>
      </c>
      <c r="O42" s="20">
        <f>IFERROR(IF(AND(OR(BasicInput!$H$28="HL",BasicInput!$H$28="HLIns",BasicInput!$H$28="HLGPL",BasicInput!$H$28="HLGPLIns"),COUNTIF(BasicInput!$B$22:$B$26,Validation!$A$23)&gt;=1,B42=Validation!$A$75),MIN(M42*N42,J42*(80%+IF(COUNTIF(BasicInput!$B$22:$B$26,Validation!$A$37)&gt;=1,MIN(SUMIF(BasicInput!$B$22:$B$26,Validation!$A$37,BasicInput!$D$22:$D$26)/BasicInput!$J$40,IF((BasicInput!$D$28+BasicInput!$H$39)&gt;3000000,5%,10%)),0)-IF(E42=Validation!$A$83,5%,0%)+IF(AND(BasicInput!$H$28&lt;&gt;"Ins",COUNTIF(BasicInput!$B$22:$B$26,Validation!$A$38)&gt;=1),MIN(SUMIF(BasicInput!$B$22:$B$26,Validation!$A$38,BasicInput!$D$22:$D$26)/BasicInput!$J$40,5%),0%))),M42*N42)-G42,0)</f>
        <v>0</v>
      </c>
      <c r="P42" s="19" t="b">
        <f>IF(AND(OR(BasicInput!$H$28="HL",BasicInput!$H$28="HLIns",BasicInput!$H$28="HLGPL",BasicInput!$H$28="HLGPLIns"),COUNTIF(BasicInput!$B$22:$B$26,Validation!$A$23)&gt;=1,B42=Validation!$A$75),75%,IF(AND(OR(BasicInput!$H$28="HL",BasicInput!$H$28="HLIns",BasicInput!$H$28="HLGPL",BasicInput!$H$28="HLGPLIns"),BasicInput!$B$28&gt;=1,OR(B42=Validation!$A$73,B42=Validation!$A$74)),IF((BasicInput!$D$28+BasicInput!$H$39)&gt;7500000,75%,IF((BasicInput!$D$28+BasicInput!$H$39)&gt;3000000,80%,90%))))</f>
        <v>0</v>
      </c>
    </row>
    <row r="43" spans="1:16">
      <c r="A43" s="524" t="s">
        <v>39</v>
      </c>
      <c r="B43" s="530"/>
      <c r="C43" s="530"/>
      <c r="D43" s="530"/>
      <c r="E43" s="530"/>
      <c r="F43" s="530"/>
      <c r="G43" s="13">
        <f>SUM(G38:G42)</f>
        <v>0</v>
      </c>
      <c r="H43" s="524"/>
      <c r="I43" s="530"/>
      <c r="J43" s="530"/>
      <c r="K43" s="530"/>
      <c r="L43" s="525"/>
      <c r="M43" s="13">
        <f>SUM(M38:M42)</f>
        <v>0</v>
      </c>
      <c r="N43" s="16"/>
      <c r="O43" s="13">
        <f>SUM(O38:O42)</f>
        <v>0</v>
      </c>
    </row>
    <row r="44" spans="1:16"/>
    <row r="45" spans="1:16"/>
  </sheetData>
  <sheetProtection algorithmName="SHA-512" hashValue="Qi06bWMdGxrqL8znUcqzxu5P7TsnUaAwNTRvfzgXOUomtKZrVXu6w6fLhilCHrpOdxaN07BPciyC1INNZ3mEgw==" saltValue="J16P80BqMHI5a/XGi7mYAg==" spinCount="100000" sheet="1" formatCells="0" formatColumns="0" formatRows="0" insertColumns="0" insertRows="0" autoFilter="0"/>
  <mergeCells count="9">
    <mergeCell ref="A1:C1"/>
    <mergeCell ref="B2:C2"/>
    <mergeCell ref="A43:F43"/>
    <mergeCell ref="H43:L43"/>
    <mergeCell ref="C13:C16"/>
    <mergeCell ref="C19:C20"/>
    <mergeCell ref="C22:C25"/>
    <mergeCell ref="C26:C28"/>
    <mergeCell ref="C30:C32"/>
  </mergeCells>
  <conditionalFormatting sqref="D10">
    <cfRule type="cellIs" dxfId="46" priority="4" operator="equal">
      <formula>"Deviation approval required from ACC or above for EBITDA decline &gt;20%"</formula>
    </cfRule>
    <cfRule type="cellIs" dxfId="45" priority="5" operator="equal">
      <formula>"Deviation approval required for EBITDA decline &gt;20%"</formula>
    </cfRule>
  </conditionalFormatting>
  <conditionalFormatting sqref="D17">
    <cfRule type="cellIs" dxfId="44" priority="3" operator="equal">
      <formula>"Other Income capped at 100% of Basic Income"</formula>
    </cfRule>
  </conditionalFormatting>
  <conditionalFormatting sqref="B35">
    <cfRule type="cellIs" dxfId="43" priority="1" operator="notEqual">
      <formula>""""""</formula>
    </cfRule>
  </conditionalFormatting>
  <conditionalFormatting sqref="D3:D34">
    <cfRule type="cellIs" dxfId="42" priority="2" operator="notEqual">
      <formula>""""""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115"/>
  <sheetViews>
    <sheetView topLeftCell="A16" workbookViewId="0">
      <selection activeCell="I14" sqref="I14"/>
    </sheetView>
  </sheetViews>
  <sheetFormatPr defaultColWidth="0" defaultRowHeight="12.75" zeroHeight="1"/>
  <cols>
    <col min="1" max="1" width="54.7109375" style="1" customWidth="1"/>
    <col min="2" max="2" width="14.140625" style="1" customWidth="1"/>
    <col min="3" max="5" width="10.7109375" style="1" customWidth="1"/>
    <col min="6" max="6" width="7.28515625" style="1" customWidth="1"/>
    <col min="7" max="7" width="8.42578125" style="1" customWidth="1"/>
    <col min="8" max="8" width="10.42578125" style="1" customWidth="1"/>
    <col min="9" max="9" width="23.85546875" style="1" customWidth="1"/>
    <col min="10" max="11" width="14.7109375" style="1" customWidth="1"/>
    <col min="12" max="12" width="11.7109375" style="1" customWidth="1"/>
    <col min="13" max="16384" width="9.140625" style="1" hidden="1"/>
  </cols>
  <sheetData>
    <row r="1" spans="1:11" ht="18.75">
      <c r="A1" s="549" t="s">
        <v>713</v>
      </c>
      <c r="B1" s="549"/>
      <c r="C1" s="549"/>
      <c r="D1" s="549"/>
      <c r="E1" s="549"/>
      <c r="F1" s="549"/>
      <c r="G1" s="549"/>
      <c r="H1" s="44"/>
      <c r="I1" s="44"/>
      <c r="J1" s="44"/>
      <c r="K1" s="44"/>
    </row>
    <row r="2" spans="1:1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>
      <c r="A3" s="45" t="s">
        <v>714</v>
      </c>
      <c r="B3" s="532" t="str">
        <f>IF(Prime1!B1="","",CONCATENATE(Prime1!B1," &amp; Group"))</f>
        <v>NARENDRA KUMAR VYAS &amp; Group</v>
      </c>
      <c r="C3" s="532"/>
      <c r="D3" s="532"/>
      <c r="E3" s="532"/>
      <c r="F3" s="532"/>
      <c r="G3" s="532"/>
    </row>
    <row r="4" spans="1:11"/>
    <row r="5" spans="1:11">
      <c r="A5" s="533" t="s">
        <v>715</v>
      </c>
      <c r="B5" s="533"/>
      <c r="C5" s="533"/>
      <c r="D5" s="533"/>
      <c r="E5" s="533"/>
      <c r="F5" s="533"/>
      <c r="G5" s="533"/>
    </row>
    <row r="6" spans="1:11">
      <c r="B6" s="534" t="s">
        <v>716</v>
      </c>
      <c r="C6" s="534"/>
      <c r="D6" s="534"/>
      <c r="E6" s="534"/>
    </row>
    <row r="7" spans="1:11" ht="38.25">
      <c r="A7" s="48" t="s">
        <v>717</v>
      </c>
      <c r="B7" s="49" t="str">
        <f>Prime1!B14</f>
        <v>Provisionals</v>
      </c>
      <c r="C7" s="50" t="str">
        <f>Prime1!C14</f>
        <v>FY 2023-24</v>
      </c>
      <c r="D7" s="50" t="str">
        <f>Prime1!D14</f>
        <v>FY 2022-23</v>
      </c>
      <c r="E7" s="51" t="str">
        <f>Prime1!E14</f>
        <v>FY 2021-22</v>
      </c>
      <c r="F7" s="52" t="s">
        <v>718</v>
      </c>
      <c r="G7" s="52" t="s">
        <v>719</v>
      </c>
      <c r="I7" s="121"/>
      <c r="J7" s="121"/>
    </row>
    <row r="8" spans="1:11">
      <c r="A8" s="53" t="s">
        <v>846</v>
      </c>
      <c r="B8" s="70">
        <f>(IF(Prime1!$B$8="Y",Prime1!B15*Prime1!$B$9,0)+IF(Prime2!$B$8="Y",Prime2!B15*Prime2!$B$9,0)+IF(Prime3!$B$8="Y",Prime3!B15*Prime3!$B$9,0)+IF(Prime4!$B$8="Y",Prime4!B15*Prime4!$B$9,0)+IF(Prime5!$B$8="Y",Prime5!B15*Prime5!$B$9,0)+IF(Prime6!$B$8="Y",Prime6!B15*Prime6!$B$9,0)+IF(Prime7!$B$8="Y",Prime7!B15*Prime7!$B$9,0)+IF(Prime8!$B$8="Y",Prime8!B15*Prime8!$B$9,0)+IF(Prime9!$B$8="Y",Prime9!B15*Prime9!$B$9,0)+IF(Prime10!$B$8="Y",Prime10!B15*Prime10!$B$9,0))/100000</f>
        <v>0</v>
      </c>
      <c r="C8" s="70">
        <f>(IF(Prime1!$B$8="Y",Prime1!C15*Prime1!$B$9,0)+IF(Prime2!$B$8="Y",Prime2!C15*Prime2!$B$9,0)+IF(Prime3!$B$8="Y",Prime3!C15*Prime3!$B$9,0)+IF(Prime4!$B$8="Y",Prime4!C15*Prime4!$B$9,0)+IF(Prime5!$B$8="Y",Prime5!C15*Prime5!$B$9,0)+IF(Prime6!$B$8="Y",Prime6!C15*Prime6!$B$9,0)+IF(Prime7!$B$8="Y",Prime7!C15*Prime7!$B$9,0)+IF(Prime8!$B$8="Y",Prime8!C15*Prime8!$B$9,0)+IF(Prime9!$B$8="Y",Prime9!C15*Prime9!$B$9,0)+IF(Prime10!$B$8="Y",Prime10!C15*Prime10!$B$9,0))/100000</f>
        <v>0</v>
      </c>
      <c r="D8" s="70">
        <f>(IF(Prime1!$B$8="Y",Prime1!D15*Prime1!$B$9,0)+IF(Prime2!$B$8="Y",Prime2!D15*Prime2!$B$9,0)+IF(Prime3!$B$8="Y",Prime3!D15*Prime3!$B$9,0)+IF(Prime4!$B$8="Y",Prime4!D15*Prime4!$B$9,0)+IF(Prime5!$B$8="Y",Prime5!D15*Prime5!$B$9,0)+IF(Prime6!$B$8="Y",Prime6!D15*Prime6!$B$9,0)+IF(Prime7!$B$8="Y",Prime7!D15*Prime7!$B$9,0)+IF(Prime8!$B$8="Y",Prime8!D15*Prime8!$B$9,0)+IF(Prime9!$B$8="Y",Prime9!D15*Prime9!$B$9,0)+IF(Prime10!$B$8="Y",Prime10!D15*Prime10!$B$9,0))/100000</f>
        <v>0</v>
      </c>
      <c r="E8" s="113">
        <f>(IF(Prime1!$B$8="Y",Prime1!E15*Prime1!$B$9,0)+IF(Prime2!$B$8="Y",Prime2!E15*Prime2!$B$9,0)+IF(Prime3!$B$8="Y",Prime3!E15*Prime3!$B$9,0)+IF(Prime4!$B$8="Y",Prime4!E15*Prime4!$B$9,0)+IF(Prime5!$B$8="Y",Prime5!E15*Prime5!$B$9,0)+IF(Prime6!$B$8="Y",Prime6!E15*Prime6!$B$9,0)+IF(Prime7!$B$8="Y",Prime7!E15*Prime7!$B$9,0)+IF(Prime8!$B$8="Y",Prime8!E15*Prime8!$B$9,0)+IF(Prime9!$B$8="Y",Prime9!E15*Prime9!$B$9,0)+IF(Prime10!$B$8="Y",Prime10!E15*Prime10!$B$9,0))/100000</f>
        <v>0</v>
      </c>
      <c r="F8" s="56" t="str">
        <f>IFERROR((C8-D8)/D8,"-")</f>
        <v>-</v>
      </c>
      <c r="G8" s="56" t="str">
        <f>IFERROR((D8-E8)/E8,"-")</f>
        <v>-</v>
      </c>
      <c r="J8" s="6"/>
    </row>
    <row r="9" spans="1:11">
      <c r="A9" s="53" t="s">
        <v>847</v>
      </c>
      <c r="B9" s="70">
        <f>(IF(Prime1!$B$8="Y",Prime1!B16*Prime1!$B$9,0)+IF(Prime2!$B$8="Y",Prime2!B16*Prime2!$B$9,0)+IF(Prime3!$B$8="Y",Prime3!B16*Prime3!$B$9,0)+IF(Prime4!$B$8="Y",Prime4!B16*Prime4!$B$9,0)+IF(Prime5!$B$8="Y",Prime5!B16*Prime5!$B$9,0)+IF(Prime6!$B$8="Y",Prime6!B16*Prime6!$B$9,0)+IF(Prime7!$B$8="Y",Prime7!B16*Prime7!$B$9,0)+IF(Prime8!$B$8="Y",Prime8!B16*Prime8!$B$9,0)+IF(Prime9!$B$8="Y",Prime9!B16*Prime9!$B$9,0)+IF(Prime10!$B$8="Y",Prime10!B16*Prime10!$B$9,0))/100000</f>
        <v>0</v>
      </c>
      <c r="C9" s="70">
        <f>(IF(Prime1!$B$8="Y",Prime1!C16*Prime1!$B$9,0)+IF(Prime2!$B$8="Y",Prime2!C16*Prime2!$B$9,0)+IF(Prime3!$B$8="Y",Prime3!C16*Prime3!$B$9,0)+IF(Prime4!$B$8="Y",Prime4!C16*Prime4!$B$9,0)+IF(Prime5!$B$8="Y",Prime5!C16*Prime5!$B$9,0)+IF(Prime6!$B$8="Y",Prime6!C16*Prime6!$B$9,0)+IF(Prime7!$B$8="Y",Prime7!C16*Prime7!$B$9,0)+IF(Prime8!$B$8="Y",Prime8!C16*Prime8!$B$9,0)+IF(Prime9!$B$8="Y",Prime9!C16*Prime9!$B$9,0)+IF(Prime10!$B$8="Y",Prime10!C16*Prime10!$B$9,0))/100000</f>
        <v>0</v>
      </c>
      <c r="D9" s="70">
        <f>(IF(Prime1!$B$8="Y",Prime1!D16*Prime1!$B$9,0)+IF(Prime2!$B$8="Y",Prime2!D16*Prime2!$B$9,0)+IF(Prime3!$B$8="Y",Prime3!D16*Prime3!$B$9,0)+IF(Prime4!$B$8="Y",Prime4!D16*Prime4!$B$9,0)+IF(Prime5!$B$8="Y",Prime5!D16*Prime5!$B$9,0)+IF(Prime6!$B$8="Y",Prime6!D16*Prime6!$B$9,0)+IF(Prime7!$B$8="Y",Prime7!D16*Prime7!$B$9,0)+IF(Prime8!$B$8="Y",Prime8!D16*Prime8!$B$9,0)+IF(Prime9!$B$8="Y",Prime9!D16*Prime9!$B$9,0)+IF(Prime10!$B$8="Y",Prime10!D16*Prime10!$B$9,0))/100000</f>
        <v>0</v>
      </c>
      <c r="E9" s="113">
        <f>(IF(Prime1!$B$8="Y",Prime1!E16*Prime1!$B$9,0)+IF(Prime2!$B$8="Y",Prime2!E16*Prime2!$B$9,0)+IF(Prime3!$B$8="Y",Prime3!E16*Prime3!$B$9,0)+IF(Prime4!$B$8="Y",Prime4!E16*Prime4!$B$9,0)+IF(Prime5!$B$8="Y",Prime5!E16*Prime5!$B$9,0)+IF(Prime6!$B$8="Y",Prime6!E16*Prime6!$B$9,0)+IF(Prime7!$B$8="Y",Prime7!E16*Prime7!$B$9,0)+IF(Prime8!$B$8="Y",Prime8!E16*Prime8!$B$9,0)+IF(Prime9!$B$8="Y",Prime9!E16*Prime9!$B$9,0)+IF(Prime10!$B$8="Y",Prime10!E16*Prime10!$B$9,0))/100000</f>
        <v>0</v>
      </c>
      <c r="F9" s="56" t="str">
        <f t="shared" ref="F9:G19" si="0">IFERROR((C9-D9)/D9,"-")</f>
        <v>-</v>
      </c>
      <c r="G9" s="56" t="str">
        <f t="shared" si="0"/>
        <v>-</v>
      </c>
      <c r="J9" s="6"/>
    </row>
    <row r="10" spans="1:11">
      <c r="A10" s="53" t="s">
        <v>848</v>
      </c>
      <c r="B10" s="70">
        <f>(IF(Prime1!$B$8="Y",Prime1!B17*Prime1!$B$9,0)+IF(Prime2!$B$8="Y",Prime2!B17*Prime2!$B$9,0)+IF(Prime3!$B$8="Y",Prime3!B17*Prime3!$B$9,0)+IF(Prime4!$B$8="Y",Prime4!B17*Prime4!$B$9,0)+IF(Prime5!$B$8="Y",Prime5!B17*Prime5!$B$9,0)+IF(Prime6!$B$8="Y",Prime6!B17*Prime6!$B$9,0)+IF(Prime7!$B$8="Y",Prime7!B17*Prime7!$B$9,0)+IF(Prime8!$B$8="Y",Prime8!B17*Prime8!$B$9,0)+IF(Prime9!$B$8="Y",Prime9!B17*Prime9!$B$9,0)+IF(Prime10!$B$8="Y",Prime10!B17*Prime10!$B$9,0))/100000</f>
        <v>0</v>
      </c>
      <c r="C10" s="70">
        <f>(IF(Prime1!$B$8="Y",Prime1!C17*Prime1!$B$9,0)+IF(Prime2!$B$8="Y",Prime2!C17*Prime2!$B$9,0)+IF(Prime3!$B$8="Y",Prime3!C17*Prime3!$B$9,0)+IF(Prime4!$B$8="Y",Prime4!C17*Prime4!$B$9,0)+IF(Prime5!$B$8="Y",Prime5!C17*Prime5!$B$9,0)+IF(Prime6!$B$8="Y",Prime6!C17*Prime6!$B$9,0)+IF(Prime7!$B$8="Y",Prime7!C17*Prime7!$B$9,0)+IF(Prime8!$B$8="Y",Prime8!C17*Prime8!$B$9,0)+IF(Prime9!$B$8="Y",Prime9!C17*Prime9!$B$9,0)+IF(Prime10!$B$8="Y",Prime10!C17*Prime10!$B$9,0))/100000</f>
        <v>0</v>
      </c>
      <c r="D10" s="70">
        <f>(IF(Prime1!$B$8="Y",Prime1!D17*Prime1!$B$9,0)+IF(Prime2!$B$8="Y",Prime2!D17*Prime2!$B$9,0)+IF(Prime3!$B$8="Y",Prime3!D17*Prime3!$B$9,0)+IF(Prime4!$B$8="Y",Prime4!D17*Prime4!$B$9,0)+IF(Prime5!$B$8="Y",Prime5!D17*Prime5!$B$9,0)+IF(Prime6!$B$8="Y",Prime6!D17*Prime6!$B$9,0)+IF(Prime7!$B$8="Y",Prime7!D17*Prime7!$B$9,0)+IF(Prime8!$B$8="Y",Prime8!D17*Prime8!$B$9,0)+IF(Prime9!$B$8="Y",Prime9!D17*Prime9!$B$9,0)+IF(Prime10!$B$8="Y",Prime10!D17*Prime10!$B$9,0))/100000</f>
        <v>0</v>
      </c>
      <c r="E10" s="113">
        <f>(IF(Prime1!$B$8="Y",Prime1!E17*Prime1!$B$9,0)+IF(Prime2!$B$8="Y",Prime2!E17*Prime2!$B$9,0)+IF(Prime3!$B$8="Y",Prime3!E17*Prime3!$B$9,0)+IF(Prime4!$B$8="Y",Prime4!E17*Prime4!$B$9,0)+IF(Prime5!$B$8="Y",Prime5!E17*Prime5!$B$9,0)+IF(Prime6!$B$8="Y",Prime6!E17*Prime6!$B$9,0)+IF(Prime7!$B$8="Y",Prime7!E17*Prime7!$B$9,0)+IF(Prime8!$B$8="Y",Prime8!E17*Prime8!$B$9,0)+IF(Prime9!$B$8="Y",Prime9!E17*Prime9!$B$9,0)+IF(Prime10!$B$8="Y",Prime10!E17*Prime10!$B$9,0))/100000</f>
        <v>0</v>
      </c>
      <c r="F10" s="56" t="str">
        <f t="shared" si="0"/>
        <v>-</v>
      </c>
      <c r="G10" s="56" t="str">
        <f t="shared" si="0"/>
        <v>-</v>
      </c>
      <c r="J10" s="6"/>
    </row>
    <row r="11" spans="1:11">
      <c r="A11" s="53" t="s">
        <v>849</v>
      </c>
      <c r="B11" s="70">
        <f>(IF(Prime1!$B$8="Y",Prime1!B18*Prime1!$B$9,0)+IF(Prime2!$B$8="Y",Prime2!B18*Prime2!$B$9,0)+IF(Prime3!$B$8="Y",Prime3!B18*Prime3!$B$9,0)+IF(Prime4!$B$8="Y",Prime4!B18*Prime4!$B$9,0)+IF(Prime5!$B$8="Y",Prime5!B18*Prime5!$B$9,0)+IF(Prime6!$B$8="Y",Prime6!B18*Prime6!$B$9,0)+IF(Prime7!$B$8="Y",Prime7!B18*Prime7!$B$9,0)+IF(Prime8!$B$8="Y",Prime8!B18*Prime8!$B$9,0)+IF(Prime9!$B$8="Y",Prime9!B18*Prime9!$B$9,0)+IF(Prime10!$B$8="Y",Prime10!B18*Prime10!$B$9,0))/100000</f>
        <v>0</v>
      </c>
      <c r="C11" s="70">
        <f>(IF(Prime1!$B$8="Y",Prime1!C18*Prime1!$B$9,0)+IF(Prime2!$B$8="Y",Prime2!C18*Prime2!$B$9,0)+IF(Prime3!$B$8="Y",Prime3!C18*Prime3!$B$9,0)+IF(Prime4!$B$8="Y",Prime4!C18*Prime4!$B$9,0)+IF(Prime5!$B$8="Y",Prime5!C18*Prime5!$B$9,0)+IF(Prime6!$B$8="Y",Prime6!C18*Prime6!$B$9,0)+IF(Prime7!$B$8="Y",Prime7!C18*Prime7!$B$9,0)+IF(Prime8!$B$8="Y",Prime8!C18*Prime8!$B$9,0)+IF(Prime9!$B$8="Y",Prime9!C18*Prime9!$B$9,0)+IF(Prime10!$B$8="Y",Prime10!C18*Prime10!$B$9,0))/100000</f>
        <v>0</v>
      </c>
      <c r="D11" s="70">
        <f>(IF(Prime1!$B$8="Y",Prime1!D18*Prime1!$B$9,0)+IF(Prime2!$B$8="Y",Prime2!D18*Prime2!$B$9,0)+IF(Prime3!$B$8="Y",Prime3!D18*Prime3!$B$9,0)+IF(Prime4!$B$8="Y",Prime4!D18*Prime4!$B$9,0)+IF(Prime5!$B$8="Y",Prime5!D18*Prime5!$B$9,0)+IF(Prime6!$B$8="Y",Prime6!D18*Prime6!$B$9,0)+IF(Prime7!$B$8="Y",Prime7!D18*Prime7!$B$9,0)+IF(Prime8!$B$8="Y",Prime8!D18*Prime8!$B$9,0)+IF(Prime9!$B$8="Y",Prime9!D18*Prime9!$B$9,0)+IF(Prime10!$B$8="Y",Prime10!D18*Prime10!$B$9,0))/100000</f>
        <v>0</v>
      </c>
      <c r="E11" s="113">
        <f>(IF(Prime1!$B$8="Y",Prime1!E18*Prime1!$B$9,0)+IF(Prime2!$B$8="Y",Prime2!E18*Prime2!$B$9,0)+IF(Prime3!$B$8="Y",Prime3!E18*Prime3!$B$9,0)+IF(Prime4!$B$8="Y",Prime4!E18*Prime4!$B$9,0)+IF(Prime5!$B$8="Y",Prime5!E18*Prime5!$B$9,0)+IF(Prime6!$B$8="Y",Prime6!E18*Prime6!$B$9,0)+IF(Prime7!$B$8="Y",Prime7!E18*Prime7!$B$9,0)+IF(Prime8!$B$8="Y",Prime8!E18*Prime8!$B$9,0)+IF(Prime9!$B$8="Y",Prime9!E18*Prime9!$B$9,0)+IF(Prime10!$B$8="Y",Prime10!E18*Prime10!$B$9,0))/100000</f>
        <v>0</v>
      </c>
      <c r="F11" s="56" t="str">
        <f t="shared" si="0"/>
        <v>-</v>
      </c>
      <c r="G11" s="56" t="str">
        <f t="shared" si="0"/>
        <v>-</v>
      </c>
    </row>
    <row r="12" spans="1:11">
      <c r="A12" s="53" t="s">
        <v>850</v>
      </c>
      <c r="B12" s="70">
        <f>(IF(Prime1!$B$8="Y",Prime1!B19*Prime1!$B$9,0)+IF(Prime2!$B$8="Y",Prime2!B19*Prime2!$B$9,0)+IF(Prime3!$B$8="Y",Prime3!B19*Prime3!$B$9,0)+IF(Prime4!$B$8="Y",Prime4!B19*Prime4!$B$9,0)+IF(Prime5!$B$8="Y",Prime5!B19*Prime5!$B$9,0)+IF(Prime6!$B$8="Y",Prime6!B19*Prime6!$B$9,0)+IF(Prime7!$B$8="Y",Prime7!B19*Prime7!$B$9,0)+IF(Prime8!$B$8="Y",Prime8!B19*Prime8!$B$9,0)+IF(Prime9!$B$8="Y",Prime9!B19*Prime9!$B$9,0)+IF(Prime10!$B$8="Y",Prime10!B19*Prime10!$B$9,0))/100000</f>
        <v>0</v>
      </c>
      <c r="C12" s="70">
        <f>(IF(Prime1!$B$8="Y",Prime1!C19*Prime1!$B$9,0)+IF(Prime2!$B$8="Y",Prime2!C19*Prime2!$B$9,0)+IF(Prime3!$B$8="Y",Prime3!C19*Prime3!$B$9,0)+IF(Prime4!$B$8="Y",Prime4!C19*Prime4!$B$9,0)+IF(Prime5!$B$8="Y",Prime5!C19*Prime5!$B$9,0)+IF(Prime6!$B$8="Y",Prime6!C19*Prime6!$B$9,0)+IF(Prime7!$B$8="Y",Prime7!C19*Prime7!$B$9,0)+IF(Prime8!$B$8="Y",Prime8!C19*Prime8!$B$9,0)+IF(Prime9!$B$8="Y",Prime9!C19*Prime9!$B$9,0)+IF(Prime10!$B$8="Y",Prime10!C19*Prime10!$B$9,0))/100000</f>
        <v>0</v>
      </c>
      <c r="D12" s="70">
        <f>(IF(Prime1!$B$8="Y",Prime1!D19*Prime1!$B$9,0)+IF(Prime2!$B$8="Y",Prime2!D19*Prime2!$B$9,0)+IF(Prime3!$B$8="Y",Prime3!D19*Prime3!$B$9,0)+IF(Prime4!$B$8="Y",Prime4!D19*Prime4!$B$9,0)+IF(Prime5!$B$8="Y",Prime5!D19*Prime5!$B$9,0)+IF(Prime6!$B$8="Y",Prime6!D19*Prime6!$B$9,0)+IF(Prime7!$B$8="Y",Prime7!D19*Prime7!$B$9,0)+IF(Prime8!$B$8="Y",Prime8!D19*Prime8!$B$9,0)+IF(Prime9!$B$8="Y",Prime9!D19*Prime9!$B$9,0)+IF(Prime10!$B$8="Y",Prime10!D19*Prime10!$B$9,0))/100000</f>
        <v>0</v>
      </c>
      <c r="E12" s="113">
        <f>(IF(Prime1!$B$8="Y",Prime1!E19*Prime1!$B$9,0)+IF(Prime2!$B$8="Y",Prime2!E19*Prime2!$B$9,0)+IF(Prime3!$B$8="Y",Prime3!E19*Prime3!$B$9,0)+IF(Prime4!$B$8="Y",Prime4!E19*Prime4!$B$9,0)+IF(Prime5!$B$8="Y",Prime5!E19*Prime5!$B$9,0)+IF(Prime6!$B$8="Y",Prime6!E19*Prime6!$B$9,0)+IF(Prime7!$B$8="Y",Prime7!E19*Prime7!$B$9,0)+IF(Prime8!$B$8="Y",Prime8!E19*Prime8!$B$9,0)+IF(Prime9!$B$8="Y",Prime9!E19*Prime9!$B$9,0)+IF(Prime10!$B$8="Y",Prime10!E19*Prime10!$B$9,0))/100000</f>
        <v>0</v>
      </c>
      <c r="F12" s="56" t="str">
        <f t="shared" si="0"/>
        <v>-</v>
      </c>
      <c r="G12" s="56" t="str">
        <f t="shared" si="0"/>
        <v>-</v>
      </c>
    </row>
    <row r="13" spans="1:11">
      <c r="A13" s="53" t="s">
        <v>851</v>
      </c>
      <c r="B13" s="70">
        <f>(IF(Prime1!$B$8="Y",Prime1!B20*Prime1!$B$9,0)+IF(Prime2!$B$8="Y",Prime2!B20*Prime2!$B$9,0)+IF(Prime3!$B$8="Y",Prime3!B20*Prime3!$B$9,0)+IF(Prime4!$B$8="Y",Prime4!B20*Prime4!$B$9,0)+IF(Prime5!$B$8="Y",Prime5!B20*Prime5!$B$9,0)+IF(Prime6!$B$8="Y",Prime6!B20*Prime6!$B$9,0)+IF(Prime7!$B$8="Y",Prime7!B20*Prime7!$B$9,0)+IF(Prime8!$B$8="Y",Prime8!B20*Prime8!$B$9,0)+IF(Prime9!$B$8="Y",Prime9!B20*Prime9!$B$9,0)+IF(Prime10!$B$8="Y",Prime10!B20*Prime10!$B$9,0))/100000</f>
        <v>0</v>
      </c>
      <c r="C13" s="70">
        <f>(IF(Prime1!$B$8="Y",Prime1!C20*Prime1!$B$9,0)+IF(Prime2!$B$8="Y",Prime2!C20*Prime2!$B$9,0)+IF(Prime3!$B$8="Y",Prime3!C20*Prime3!$B$9,0)+IF(Prime4!$B$8="Y",Prime4!C20*Prime4!$B$9,0)+IF(Prime5!$B$8="Y",Prime5!C20*Prime5!$B$9,0)+IF(Prime6!$B$8="Y",Prime6!C20*Prime6!$B$9,0)+IF(Prime7!$B$8="Y",Prime7!C20*Prime7!$B$9,0)+IF(Prime8!$B$8="Y",Prime8!C20*Prime8!$B$9,0)+IF(Prime9!$B$8="Y",Prime9!C20*Prime9!$B$9,0)+IF(Prime10!$B$8="Y",Prime10!C20*Prime10!$B$9,0))/100000</f>
        <v>0</v>
      </c>
      <c r="D13" s="70">
        <f>(IF(Prime1!$B$8="Y",Prime1!D20*Prime1!$B$9,0)+IF(Prime2!$B$8="Y",Prime2!D20*Prime2!$B$9,0)+IF(Prime3!$B$8="Y",Prime3!D20*Prime3!$B$9,0)+IF(Prime4!$B$8="Y",Prime4!D20*Prime4!$B$9,0)+IF(Prime5!$B$8="Y",Prime5!D20*Prime5!$B$9,0)+IF(Prime6!$B$8="Y",Prime6!D20*Prime6!$B$9,0)+IF(Prime7!$B$8="Y",Prime7!D20*Prime7!$B$9,0)+IF(Prime8!$B$8="Y",Prime8!D20*Prime8!$B$9,0)+IF(Prime9!$B$8="Y",Prime9!D20*Prime9!$B$9,0)+IF(Prime10!$B$8="Y",Prime10!D20*Prime10!$B$9,0))/100000</f>
        <v>0</v>
      </c>
      <c r="E13" s="113">
        <f>(IF(Prime1!$B$8="Y",Prime1!E20*Prime1!$B$9,0)+IF(Prime2!$B$8="Y",Prime2!E20*Prime2!$B$9,0)+IF(Prime3!$B$8="Y",Prime3!E20*Prime3!$B$9,0)+IF(Prime4!$B$8="Y",Prime4!E20*Prime4!$B$9,0)+IF(Prime5!$B$8="Y",Prime5!E20*Prime5!$B$9,0)+IF(Prime6!$B$8="Y",Prime6!E20*Prime6!$B$9,0)+IF(Prime7!$B$8="Y",Prime7!E20*Prime7!$B$9,0)+IF(Prime8!$B$8="Y",Prime8!E20*Prime8!$B$9,0)+IF(Prime9!$B$8="Y",Prime9!E20*Prime9!$B$9,0)+IF(Prime10!$B$8="Y",Prime10!E20*Prime10!$B$9,0))/100000</f>
        <v>0</v>
      </c>
      <c r="F13" s="56" t="str">
        <f t="shared" si="0"/>
        <v>-</v>
      </c>
      <c r="G13" s="56" t="str">
        <f t="shared" si="0"/>
        <v>-</v>
      </c>
      <c r="H13" s="114"/>
      <c r="I13" s="122"/>
      <c r="J13" s="122"/>
      <c r="K13" s="122"/>
    </row>
    <row r="14" spans="1:11">
      <c r="A14" s="53" t="s">
        <v>852</v>
      </c>
      <c r="B14" s="70">
        <f>(IF(Prime1!$B$8="Y",Prime1!B21*Prime1!$B$9,0)+IF(Prime2!$B$8="Y",Prime2!B21*Prime2!$B$9,0)+IF(Prime3!$B$8="Y",Prime3!B21*Prime3!$B$9,0)+IF(Prime4!$B$8="Y",Prime4!B21*Prime4!$B$9,0)+IF(Prime5!$B$8="Y",Prime5!B21*Prime5!$B$9,0)+IF(Prime6!$B$8="Y",Prime6!B21*Prime6!$B$9,0)+IF(Prime7!$B$8="Y",Prime7!B21*Prime7!$B$9,0)+IF(Prime8!$B$8="Y",Prime8!B21*Prime8!$B$9,0)+IF(Prime9!$B$8="Y",Prime9!B21*Prime9!$B$9,0)+IF(Prime10!$B$8="Y",Prime10!B21*Prime10!$B$9,0))/100000</f>
        <v>0</v>
      </c>
      <c r="C14" s="70">
        <f>(IF(Prime1!$B$8="Y",Prime1!C21*Prime1!$B$9,0)+IF(Prime2!$B$8="Y",Prime2!C21*Prime2!$B$9,0)+IF(Prime3!$B$8="Y",Prime3!C21*Prime3!$B$9,0)+IF(Prime4!$B$8="Y",Prime4!C21*Prime4!$B$9,0)+IF(Prime5!$B$8="Y",Prime5!C21*Prime5!$B$9,0)+IF(Prime6!$B$8="Y",Prime6!C21*Prime6!$B$9,0)+IF(Prime7!$B$8="Y",Prime7!C21*Prime7!$B$9,0)+IF(Prime8!$B$8="Y",Prime8!C21*Prime8!$B$9,0)+IF(Prime9!$B$8="Y",Prime9!C21*Prime9!$B$9,0)+IF(Prime10!$B$8="Y",Prime10!C21*Prime10!$B$9,0))/100000</f>
        <v>0</v>
      </c>
      <c r="D14" s="70">
        <f>(IF(Prime1!$B$8="Y",Prime1!D21*Prime1!$B$9,0)+IF(Prime2!$B$8="Y",Prime2!D21*Prime2!$B$9,0)+IF(Prime3!$B$8="Y",Prime3!D21*Prime3!$B$9,0)+IF(Prime4!$B$8="Y",Prime4!D21*Prime4!$B$9,0)+IF(Prime5!$B$8="Y",Prime5!D21*Prime5!$B$9,0)+IF(Prime6!$B$8="Y",Prime6!D21*Prime6!$B$9,0)+IF(Prime7!$B$8="Y",Prime7!D21*Prime7!$B$9,0)+IF(Prime8!$B$8="Y",Prime8!D21*Prime8!$B$9,0)+IF(Prime9!$B$8="Y",Prime9!D21*Prime9!$B$9,0)+IF(Prime10!$B$8="Y",Prime10!D21*Prime10!$B$9,0))/100000</f>
        <v>0</v>
      </c>
      <c r="E14" s="113">
        <f>(IF(Prime1!$B$8="Y",Prime1!E21*Prime1!$B$9,0)+IF(Prime2!$B$8="Y",Prime2!E21*Prime2!$B$9,0)+IF(Prime3!$B$8="Y",Prime3!E21*Prime3!$B$9,0)+IF(Prime4!$B$8="Y",Prime4!E21*Prime4!$B$9,0)+IF(Prime5!$B$8="Y",Prime5!E21*Prime5!$B$9,0)+IF(Prime6!$B$8="Y",Prime6!E21*Prime6!$B$9,0)+IF(Prime7!$B$8="Y",Prime7!E21*Prime7!$B$9,0)+IF(Prime8!$B$8="Y",Prime8!E21*Prime8!$B$9,0)+IF(Prime9!$B$8="Y",Prime9!E21*Prime9!$B$9,0)+IF(Prime10!$B$8="Y",Prime10!E21*Prime10!$B$9,0))/100000</f>
        <v>0</v>
      </c>
      <c r="F14" s="56" t="str">
        <f t="shared" si="0"/>
        <v>-</v>
      </c>
      <c r="G14" s="56" t="str">
        <f t="shared" si="0"/>
        <v>-</v>
      </c>
      <c r="H14" s="115"/>
      <c r="I14" s="123"/>
      <c r="J14" s="124"/>
      <c r="K14" s="124"/>
    </row>
    <row r="15" spans="1:11">
      <c r="A15" s="53" t="s">
        <v>853</v>
      </c>
      <c r="B15" s="70">
        <f>(IF(Prime1!$B$8="Y",Prime1!B22*Prime1!$B$9,0)+IF(Prime2!$B$8="Y",Prime2!B22*Prime2!$B$9,0)+IF(Prime3!$B$8="Y",Prime3!B22*Prime3!$B$9,0)+IF(Prime4!$B$8="Y",Prime4!B22*Prime4!$B$9,0)+IF(Prime5!$B$8="Y",Prime5!B22*Prime5!$B$9,0)+IF(Prime6!$B$8="Y",Prime6!B22*Prime6!$B$9,0)+IF(Prime7!$B$8="Y",Prime7!B22*Prime7!$B$9,0)+IF(Prime8!$B$8="Y",Prime8!B22*Prime8!$B$9,0)+IF(Prime9!$B$8="Y",Prime9!B22*Prime9!$B$9,0)+IF(Prime10!$B$8="Y",Prime10!B22*Prime10!$B$9,0))/100000</f>
        <v>0</v>
      </c>
      <c r="C15" s="70">
        <f>(IF(Prime1!$B$8="Y",Prime1!C22*Prime1!$B$9,0)+IF(Prime2!$B$8="Y",Prime2!C22*Prime2!$B$9,0)+IF(Prime3!$B$8="Y",Prime3!C22*Prime3!$B$9,0)+IF(Prime4!$B$8="Y",Prime4!C22*Prime4!$B$9,0)+IF(Prime5!$B$8="Y",Prime5!C22*Prime5!$B$9,0)+IF(Prime6!$B$8="Y",Prime6!C22*Prime6!$B$9,0)+IF(Prime7!$B$8="Y",Prime7!C22*Prime7!$B$9,0)+IF(Prime8!$B$8="Y",Prime8!C22*Prime8!$B$9,0)+IF(Prime9!$B$8="Y",Prime9!C22*Prime9!$B$9,0)+IF(Prime10!$B$8="Y",Prime10!C22*Prime10!$B$9,0))/100000</f>
        <v>0</v>
      </c>
      <c r="D15" s="70">
        <f>(IF(Prime1!$B$8="Y",Prime1!D22*Prime1!$B$9,0)+IF(Prime2!$B$8="Y",Prime2!D22*Prime2!$B$9,0)+IF(Prime3!$B$8="Y",Prime3!D22*Prime3!$B$9,0)+IF(Prime4!$B$8="Y",Prime4!D22*Prime4!$B$9,0)+IF(Prime5!$B$8="Y",Prime5!D22*Prime5!$B$9,0)+IF(Prime6!$B$8="Y",Prime6!D22*Prime6!$B$9,0)+IF(Prime7!$B$8="Y",Prime7!D22*Prime7!$B$9,0)+IF(Prime8!$B$8="Y",Prime8!D22*Prime8!$B$9,0)+IF(Prime9!$B$8="Y",Prime9!D22*Prime9!$B$9,0)+IF(Prime10!$B$8="Y",Prime10!D22*Prime10!$B$9,0))/100000</f>
        <v>0</v>
      </c>
      <c r="E15" s="113">
        <f>(IF(Prime1!$B$8="Y",Prime1!E22*Prime1!$B$9,0)+IF(Prime2!$B$8="Y",Prime2!E22*Prime2!$B$9,0)+IF(Prime3!$B$8="Y",Prime3!E22*Prime3!$B$9,0)+IF(Prime4!$B$8="Y",Prime4!E22*Prime4!$B$9,0)+IF(Prime5!$B$8="Y",Prime5!E22*Prime5!$B$9,0)+IF(Prime6!$B$8="Y",Prime6!E22*Prime6!$B$9,0)+IF(Prime7!$B$8="Y",Prime7!E22*Prime7!$B$9,0)+IF(Prime8!$B$8="Y",Prime8!E22*Prime8!$B$9,0)+IF(Prime9!$B$8="Y",Prime9!E22*Prime9!$B$9,0)+IF(Prime10!$B$8="Y",Prime10!E22*Prime10!$B$9,0))/100000</f>
        <v>0</v>
      </c>
      <c r="F15" s="56" t="str">
        <f t="shared" si="0"/>
        <v>-</v>
      </c>
      <c r="G15" s="56" t="str">
        <f t="shared" si="0"/>
        <v>-</v>
      </c>
      <c r="I15" s="123"/>
      <c r="J15" s="124"/>
      <c r="K15" s="124"/>
    </row>
    <row r="16" spans="1:11" ht="25.5">
      <c r="A16" s="79" t="s">
        <v>854</v>
      </c>
      <c r="B16" s="70">
        <f>(IF(Prime1!$B$8="Y",Prime1!B23*Prime1!$B$9,0)+IF(Prime2!$B$8="Y",Prime2!B23*Prime2!$B$9,0)+IF(Prime3!$B$8="Y",Prime3!B23*Prime3!$B$9,0)+IF(Prime4!$B$8="Y",Prime4!B23*Prime4!$B$9,0)+IF(Prime5!$B$8="Y",Prime5!B23*Prime5!$B$9,0)+IF(Prime6!$B$8="Y",Prime6!B23*Prime6!$B$9,0)+IF(Prime7!$B$8="Y",Prime7!B23*Prime7!$B$9,0)+IF(Prime8!$B$8="Y",Prime8!B23*Prime8!$B$9,0)+IF(Prime9!$B$8="Y",Prime9!B23*Prime9!$B$9,0)+IF(Prime10!$B$8="Y",Prime10!B23*Prime10!$B$9,0))/100000</f>
        <v>0</v>
      </c>
      <c r="C16" s="70">
        <f>(IF(Prime1!$B$8="Y",Prime1!C23*Prime1!$B$9,0)+IF(Prime2!$B$8="Y",Prime2!C23*Prime2!$B$9,0)+IF(Prime3!$B$8="Y",Prime3!C23*Prime3!$B$9,0)+IF(Prime4!$B$8="Y",Prime4!C23*Prime4!$B$9,0)+IF(Prime5!$B$8="Y",Prime5!C23*Prime5!$B$9,0)+IF(Prime6!$B$8="Y",Prime6!C23*Prime6!$B$9,0)+IF(Prime7!$B$8="Y",Prime7!C23*Prime7!$B$9,0)+IF(Prime8!$B$8="Y",Prime8!C23*Prime8!$B$9,0)+IF(Prime9!$B$8="Y",Prime9!C23*Prime9!$B$9,0)+IF(Prime10!$B$8="Y",Prime10!C23*Prime10!$B$9,0))/100000</f>
        <v>0</v>
      </c>
      <c r="D16" s="70">
        <f>(IF(Prime1!$B$8="Y",Prime1!D23*Prime1!$B$9,0)+IF(Prime2!$B$8="Y",Prime2!D23*Prime2!$B$9,0)+IF(Prime3!$B$8="Y",Prime3!D23*Prime3!$B$9,0)+IF(Prime4!$B$8="Y",Prime4!D23*Prime4!$B$9,0)+IF(Prime5!$B$8="Y",Prime5!D23*Prime5!$B$9,0)+IF(Prime6!$B$8="Y",Prime6!D23*Prime6!$B$9,0)+IF(Prime7!$B$8="Y",Prime7!D23*Prime7!$B$9,0)+IF(Prime8!$B$8="Y",Prime8!D23*Prime8!$B$9,0)+IF(Prime9!$B$8="Y",Prime9!D23*Prime9!$B$9,0)+IF(Prime10!$B$8="Y",Prime10!D23*Prime10!$B$9,0))/100000</f>
        <v>0</v>
      </c>
      <c r="E16" s="113">
        <f>(IF(Prime1!$B$8="Y",Prime1!E23*Prime1!$B$9,0)+IF(Prime2!$B$8="Y",Prime2!E23*Prime2!$B$9,0)+IF(Prime3!$B$8="Y",Prime3!E23*Prime3!$B$9,0)+IF(Prime4!$B$8="Y",Prime4!E23*Prime4!$B$9,0)+IF(Prime5!$B$8="Y",Prime5!E23*Prime5!$B$9,0)+IF(Prime6!$B$8="Y",Prime6!E23*Prime6!$B$9,0)+IF(Prime7!$B$8="Y",Prime7!E23*Prime7!$B$9,0)+IF(Prime8!$B$8="Y",Prime8!E23*Prime8!$B$9,0)+IF(Prime9!$B$8="Y",Prime9!E23*Prime9!$B$9,0)+IF(Prime10!$B$8="Y",Prime10!E23*Prime10!$B$9,0))/100000</f>
        <v>0</v>
      </c>
      <c r="F16" s="56" t="str">
        <f t="shared" ref="F16" si="1">IFERROR((C16-D16)/D16,"-")</f>
        <v>-</v>
      </c>
      <c r="G16" s="56" t="str">
        <f t="shared" ref="G16" si="2">IFERROR((D16-E16)/E16,"-")</f>
        <v>-</v>
      </c>
      <c r="I16" s="125"/>
      <c r="J16" s="126"/>
      <c r="K16" s="126"/>
    </row>
    <row r="17" spans="1:12">
      <c r="A17" s="79" t="s">
        <v>855</v>
      </c>
      <c r="B17" s="70">
        <f>(IF(Prime1!$B$8="Y",Prime1!B24*Prime1!$B$9,0)+IF(Prime2!$B$8="Y",Prime2!B24*Prime2!$B$9,0)+IF(Prime3!$B$8="Y",Prime3!B24*Prime3!$B$9,0)+IF(Prime4!$B$8="Y",Prime4!B24*Prime4!$B$9,0)+IF(Prime5!$B$8="Y",Prime5!B24*Prime5!$B$9,0)+IF(Prime6!$B$8="Y",Prime6!B24*Prime6!$B$9,0)+IF(Prime7!$B$8="Y",Prime7!B24*Prime7!$B$9,0)+IF(Prime8!$B$8="Y",Prime8!B24*Prime8!$B$9,0)+IF(Prime9!$B$8="Y",Prime9!B24*Prime9!$B$9,0)+IF(Prime10!$B$8="Y",Prime10!B24*Prime10!$B$9,0))/100000</f>
        <v>0</v>
      </c>
      <c r="C17" s="70">
        <f>(IF(Prime1!$B$8="Y",Prime1!C24*Prime1!$B$9,0)+IF(Prime2!$B$8="Y",Prime2!C24*Prime2!$B$9,0)+IF(Prime3!$B$8="Y",Prime3!C24*Prime3!$B$9,0)+IF(Prime4!$B$8="Y",Prime4!C24*Prime4!$B$9,0)+IF(Prime5!$B$8="Y",Prime5!C24*Prime5!$B$9,0)+IF(Prime6!$B$8="Y",Prime6!C24*Prime6!$B$9,0)+IF(Prime7!$B$8="Y",Prime7!C24*Prime7!$B$9,0)+IF(Prime8!$B$8="Y",Prime8!C24*Prime8!$B$9,0)+IF(Prime9!$B$8="Y",Prime9!C24*Prime9!$B$9,0)+IF(Prime10!$B$8="Y",Prime10!C24*Prime10!$B$9,0))/100000</f>
        <v>0</v>
      </c>
      <c r="D17" s="70">
        <f>(IF(Prime1!$B$8="Y",Prime1!D24*Prime1!$B$9,0)+IF(Prime2!$B$8="Y",Prime2!D24*Prime2!$B$9,0)+IF(Prime3!$B$8="Y",Prime3!D24*Prime3!$B$9,0)+IF(Prime4!$B$8="Y",Prime4!D24*Prime4!$B$9,0)+IF(Prime5!$B$8="Y",Prime5!D24*Prime5!$B$9,0)+IF(Prime6!$B$8="Y",Prime6!D24*Prime6!$B$9,0)+IF(Prime7!$B$8="Y",Prime7!D24*Prime7!$B$9,0)+IF(Prime8!$B$8="Y",Prime8!D24*Prime8!$B$9,0)+IF(Prime9!$B$8="Y",Prime9!D24*Prime9!$B$9,0)+IF(Prime10!$B$8="Y",Prime10!D24*Prime10!$B$9,0))/100000</f>
        <v>0</v>
      </c>
      <c r="E17" s="113">
        <f>(IF(Prime1!$B$8="Y",Prime1!E24*Prime1!$B$9,0)+IF(Prime2!$B$8="Y",Prime2!E24*Prime2!$B$9,0)+IF(Prime3!$B$8="Y",Prime3!E24*Prime3!$B$9,0)+IF(Prime4!$B$8="Y",Prime4!E24*Prime4!$B$9,0)+IF(Prime5!$B$8="Y",Prime5!E24*Prime5!$B$9,0)+IF(Prime6!$B$8="Y",Prime6!E24*Prime6!$B$9,0)+IF(Prime7!$B$8="Y",Prime7!E24*Prime7!$B$9,0)+IF(Prime8!$B$8="Y",Prime8!E24*Prime8!$B$9,0)+IF(Prime9!$B$8="Y",Prime9!E24*Prime9!$B$9,0)+IF(Prime10!$B$8="Y",Prime10!E24*Prime10!$B$9,0))/100000</f>
        <v>0</v>
      </c>
      <c r="F17" s="56" t="str">
        <f t="shared" si="0"/>
        <v>-</v>
      </c>
      <c r="G17" s="56" t="str">
        <f t="shared" si="0"/>
        <v>-</v>
      </c>
    </row>
    <row r="18" spans="1:12">
      <c r="A18" s="53" t="s">
        <v>856</v>
      </c>
      <c r="B18" s="70">
        <f>(IF(Prime1!$B$8="Y",Prime1!B25*Prime1!$B$9,0)+IF(Prime2!$B$8="Y",Prime2!B25*Prime2!$B$9,0)+IF(Prime3!$B$8="Y",Prime3!B25*Prime3!$B$9,0)+IF(Prime4!$B$8="Y",Prime4!B25*Prime4!$B$9,0)+IF(Prime5!$B$8="Y",Prime5!B25*Prime5!$B$9,0)+IF(Prime6!$B$8="Y",Prime6!B25*Prime6!$B$9,0)+IF(Prime7!$B$8="Y",Prime7!B25*Prime7!$B$9,0)+IF(Prime8!$B$8="Y",Prime8!B25*Prime8!$B$9,0)+IF(Prime9!$B$8="Y",Prime9!B25*Prime9!$B$9,0)+IF(Prime10!$B$8="Y",Prime10!B25*Prime10!$B$9,0))/100000</f>
        <v>0</v>
      </c>
      <c r="C18" s="70">
        <f>(IF(Prime1!$B$8="Y",Prime1!C25*Prime1!$B$9,0)+IF(Prime2!$B$8="Y",Prime2!C25*Prime2!$B$9,0)+IF(Prime3!$B$8="Y",Prime3!C25*Prime3!$B$9,0)+IF(Prime4!$B$8="Y",Prime4!C25*Prime4!$B$9,0)+IF(Prime5!$B$8="Y",Prime5!C25*Prime5!$B$9,0)+IF(Prime6!$B$8="Y",Prime6!C25*Prime6!$B$9,0)+IF(Prime7!$B$8="Y",Prime7!C25*Prime7!$B$9,0)+IF(Prime8!$B$8="Y",Prime8!C25*Prime8!$B$9,0)+IF(Prime9!$B$8="Y",Prime9!C25*Prime9!$B$9,0)+IF(Prime10!$B$8="Y",Prime10!C25*Prime10!$B$9,0))/100000</f>
        <v>0</v>
      </c>
      <c r="D18" s="70">
        <f>(IF(Prime1!$B$8="Y",Prime1!D25*Prime1!$B$9,0)+IF(Prime2!$B$8="Y",Prime2!D25*Prime2!$B$9,0)+IF(Prime3!$B$8="Y",Prime3!D25*Prime3!$B$9,0)+IF(Prime4!$B$8="Y",Prime4!D25*Prime4!$B$9,0)+IF(Prime5!$B$8="Y",Prime5!D25*Prime5!$B$9,0)+IF(Prime6!$B$8="Y",Prime6!D25*Prime6!$B$9,0)+IF(Prime7!$B$8="Y",Prime7!D25*Prime7!$B$9,0)+IF(Prime8!$B$8="Y",Prime8!D25*Prime8!$B$9,0)+IF(Prime9!$B$8="Y",Prime9!D25*Prime9!$B$9,0)+IF(Prime10!$B$8="Y",Prime10!D25*Prime10!$B$9,0))/100000</f>
        <v>0</v>
      </c>
      <c r="E18" s="113">
        <f>(IF(Prime1!$B$8="Y",Prime1!E25*Prime1!$B$9,0)+IF(Prime2!$B$8="Y",Prime2!E25*Prime2!$B$9,0)+IF(Prime3!$B$8="Y",Prime3!E25*Prime3!$B$9,0)+IF(Prime4!$B$8="Y",Prime4!E25*Prime4!$B$9,0)+IF(Prime5!$B$8="Y",Prime5!E25*Prime5!$B$9,0)+IF(Prime6!$B$8="Y",Prime6!E25*Prime6!$B$9,0)+IF(Prime7!$B$8="Y",Prime7!E25*Prime7!$B$9,0)+IF(Prime8!$B$8="Y",Prime8!E25*Prime8!$B$9,0)+IF(Prime9!$B$8="Y",Prime9!E25*Prime9!$B$9,0)+IF(Prime10!$B$8="Y",Prime10!E25*Prime10!$B$9,0))/100000</f>
        <v>0</v>
      </c>
      <c r="F18" s="56" t="str">
        <f t="shared" si="0"/>
        <v>-</v>
      </c>
      <c r="G18" s="56" t="str">
        <f t="shared" si="0"/>
        <v>-</v>
      </c>
    </row>
    <row r="19" spans="1:12">
      <c r="A19" s="53" t="s">
        <v>857</v>
      </c>
      <c r="B19" s="70">
        <f>(IF(Prime1!$B$8="Y",Prime1!B26*Prime1!$B$9,0)+IF(Prime2!$B$8="Y",Prime2!B26*Prime2!$B$9,0)+IF(Prime3!$B$8="Y",Prime3!B26*Prime3!$B$9,0)+IF(Prime4!$B$8="Y",Prime4!B26*Prime4!$B$9,0)+IF(Prime5!$B$8="Y",Prime5!B26*Prime5!$B$9,0)+IF(Prime6!$B$8="Y",Prime6!B26*Prime6!$B$9,0)+IF(Prime7!$B$8="Y",Prime7!B26*Prime7!$B$9,0)+IF(Prime8!$B$8="Y",Prime8!B26*Prime8!$B$9,0)+IF(Prime9!$B$8="Y",Prime9!B26*Prime9!$B$9,0)+IF(Prime10!$B$8="Y",Prime10!B26*Prime10!$B$9,0))/100000</f>
        <v>0</v>
      </c>
      <c r="C19" s="70">
        <f>(IF(Prime1!$B$8="Y",Prime1!C26*Prime1!$B$9,0)+IF(Prime2!$B$8="Y",Prime2!C26*Prime2!$B$9,0)+IF(Prime3!$B$8="Y",Prime3!C26*Prime3!$B$9,0)+IF(Prime4!$B$8="Y",Prime4!C26*Prime4!$B$9,0)+IF(Prime5!$B$8="Y",Prime5!C26*Prime5!$B$9,0)+IF(Prime6!$B$8="Y",Prime6!C26*Prime6!$B$9,0)+IF(Prime7!$B$8="Y",Prime7!C26*Prime7!$B$9,0)+IF(Prime8!$B$8="Y",Prime8!C26*Prime8!$B$9,0)+IF(Prime9!$B$8="Y",Prime9!C26*Prime9!$B$9,0)+IF(Prime10!$B$8="Y",Prime10!C26*Prime10!$B$9,0))/100000</f>
        <v>0</v>
      </c>
      <c r="D19" s="70">
        <f>(IF(Prime1!$B$8="Y",Prime1!D26*Prime1!$B$9,0)+IF(Prime2!$B$8="Y",Prime2!D26*Prime2!$B$9,0)+IF(Prime3!$B$8="Y",Prime3!D26*Prime3!$B$9,0)+IF(Prime4!$B$8="Y",Prime4!D26*Prime4!$B$9,0)+IF(Prime5!$B$8="Y",Prime5!D26*Prime5!$B$9,0)+IF(Prime6!$B$8="Y",Prime6!D26*Prime6!$B$9,0)+IF(Prime7!$B$8="Y",Prime7!D26*Prime7!$B$9,0)+IF(Prime8!$B$8="Y",Prime8!D26*Prime8!$B$9,0)+IF(Prime9!$B$8="Y",Prime9!D26*Prime9!$B$9,0)+IF(Prime10!$B$8="Y",Prime10!D26*Prime10!$B$9,0))/100000</f>
        <v>0</v>
      </c>
      <c r="E19" s="113">
        <f>(IF(Prime1!$B$8="Y",Prime1!E26*Prime1!$B$9,0)+IF(Prime2!$B$8="Y",Prime2!E26*Prime2!$B$9,0)+IF(Prime3!$B$8="Y",Prime3!E26*Prime3!$B$9,0)+IF(Prime4!$B$8="Y",Prime4!E26*Prime4!$B$9,0)+IF(Prime5!$B$8="Y",Prime5!E26*Prime5!$B$9,0)+IF(Prime6!$B$8="Y",Prime6!E26*Prime6!$B$9,0)+IF(Prime7!$B$8="Y",Prime7!E26*Prime7!$B$9,0)+IF(Prime8!$B$8="Y",Prime8!E26*Prime8!$B$9,0)+IF(Prime9!$B$8="Y",Prime9!E26*Prime9!$B$9,0)+IF(Prime10!$B$8="Y",Prime10!E26*Prime10!$B$9,0))/100000</f>
        <v>0</v>
      </c>
      <c r="F19" s="56" t="str">
        <f t="shared" si="0"/>
        <v>-</v>
      </c>
      <c r="G19" s="56" t="str">
        <f t="shared" si="0"/>
        <v>-</v>
      </c>
      <c r="I19" s="127" t="s">
        <v>858</v>
      </c>
      <c r="J19" s="127" t="str">
        <f>B7</f>
        <v>Provisionals</v>
      </c>
      <c r="K19" s="127" t="str">
        <f>C7</f>
        <v>FY 2023-24</v>
      </c>
      <c r="L19" s="127" t="str">
        <f>D7</f>
        <v>FY 2022-23</v>
      </c>
    </row>
    <row r="20" spans="1:12">
      <c r="A20" s="48" t="s">
        <v>859</v>
      </c>
      <c r="B20" s="58">
        <f>SUM(B8:B19)</f>
        <v>0</v>
      </c>
      <c r="C20" s="58">
        <f>SUM(C8:C19)</f>
        <v>0</v>
      </c>
      <c r="D20" s="58">
        <f>SUM(D8:D19)</f>
        <v>0</v>
      </c>
      <c r="E20" s="116">
        <f>SUM(E8:E19)</f>
        <v>0</v>
      </c>
      <c r="F20" s="59" t="str">
        <f>IFERROR((C20/D20)-1,"-")</f>
        <v>-</v>
      </c>
      <c r="G20" s="59" t="str">
        <f>IFERROR((D20/E20)-1,"-")</f>
        <v>-</v>
      </c>
      <c r="I20" s="128" t="s">
        <v>58</v>
      </c>
      <c r="J20" s="128" t="s">
        <v>860</v>
      </c>
      <c r="K20" s="128" t="s">
        <v>860</v>
      </c>
      <c r="L20" s="128" t="s">
        <v>860</v>
      </c>
    </row>
    <row r="21" spans="1:12">
      <c r="A21" s="60" t="s">
        <v>726</v>
      </c>
      <c r="B21" s="70">
        <f>SUM(B22:B23)-B24</f>
        <v>0</v>
      </c>
      <c r="C21" s="70">
        <f t="shared" ref="C21:E21" si="3">SUM(C22:C23)-C24</f>
        <v>0</v>
      </c>
      <c r="D21" s="70">
        <f t="shared" si="3"/>
        <v>0</v>
      </c>
      <c r="E21" s="70">
        <f t="shared" si="3"/>
        <v>0</v>
      </c>
      <c r="F21" s="56" t="str">
        <f>IFERROR((C21-D21)/D21,"-")</f>
        <v>-</v>
      </c>
      <c r="G21" s="56" t="str">
        <f>IFERROR((D21-E21)/E21,"-")</f>
        <v>-</v>
      </c>
      <c r="I21" s="129" t="s">
        <v>861</v>
      </c>
      <c r="J21" s="130">
        <f>$B$31</f>
        <v>0</v>
      </c>
      <c r="K21" s="130">
        <f>$C$31</f>
        <v>0</v>
      </c>
      <c r="L21" s="130">
        <f>$D$31</f>
        <v>0</v>
      </c>
    </row>
    <row r="22" spans="1:12">
      <c r="A22" s="60" t="s">
        <v>862</v>
      </c>
      <c r="B22" s="70">
        <f>(IF(Prime1!$B$8="Y",Prime1!B29*Prime1!$B$9,0)+IF(Prime2!$B$8="Y",Prime2!B29*Prime2!$B$9,0)+IF(Prime3!$B$8="Y",Prime3!B29*Prime3!$B$9,0)+IF(Prime4!$B$8="Y",Prime4!B29*Prime4!$B$9,0)+IF(Prime5!$B$8="Y",Prime5!B29*Prime5!$B$9,0)+IF(Prime6!$B$8="Y",Prime6!B29*Prime6!$B$9,0)+IF(Prime7!$B$8="Y",Prime7!B29*Prime7!$B$9,0)+IF(Prime8!$B$8="Y",Prime8!B29*Prime8!$B$9,0)+IF(Prime9!$B$8="Y",Prime9!B29*Prime9!$B$9,0)+IF(Prime10!$B$8="Y",Prime10!B29*Prime10!$B$9,0))/100000</f>
        <v>0</v>
      </c>
      <c r="C22" s="70">
        <f>(IF(Prime1!$B$8="Y",Prime1!C29*Prime1!$B$9,0)+IF(Prime2!$B$8="Y",Prime2!C29*Prime2!$B$9,0)+IF(Prime3!$B$8="Y",Prime3!C29*Prime3!$B$9,0)+IF(Prime4!$B$8="Y",Prime4!C29*Prime4!$B$9,0)+IF(Prime5!$B$8="Y",Prime5!C29*Prime5!$B$9,0)+IF(Prime6!$B$8="Y",Prime6!C29*Prime6!$B$9,0)+IF(Prime7!$B$8="Y",Prime7!C29*Prime7!$B$9,0)+IF(Prime8!$B$8="Y",Prime8!C29*Prime8!$B$9,0)+IF(Prime9!$B$8="Y",Prime9!C29*Prime9!$B$9,0)+IF(Prime10!$B$8="Y",Prime10!C29*Prime10!$B$9,0))/100000</f>
        <v>0</v>
      </c>
      <c r="D22" s="70">
        <f>(IF(Prime1!$B$8="Y",Prime1!D29*Prime1!$B$9,0)+IF(Prime2!$B$8="Y",Prime2!D29*Prime2!$B$9,0)+IF(Prime3!$B$8="Y",Prime3!D29*Prime3!$B$9,0)+IF(Prime4!$B$8="Y",Prime4!D29*Prime4!$B$9,0)+IF(Prime5!$B$8="Y",Prime5!D29*Prime5!$B$9,0)+IF(Prime6!$B$8="Y",Prime6!D29*Prime6!$B$9,0)+IF(Prime7!$B$8="Y",Prime7!D29*Prime7!$B$9,0)+IF(Prime8!$B$8="Y",Prime8!D29*Prime8!$B$9,0)+IF(Prime9!$B$8="Y",Prime9!D29*Prime9!$B$9,0)+IF(Prime10!$B$8="Y",Prime10!D29*Prime10!$B$9,0))/100000</f>
        <v>0</v>
      </c>
      <c r="E22" s="113">
        <f>(IF(Prime1!$B$8="Y",Prime1!E29*Prime1!$B$9,0)+IF(Prime2!$B$8="Y",Prime2!E29*Prime2!$B$9,0)+IF(Prime3!$B$8="Y",Prime3!E29*Prime3!$B$9,0)+IF(Prime4!$B$8="Y",Prime4!E29*Prime4!$B$9,0)+IF(Prime5!$B$8="Y",Prime5!E29*Prime5!$B$9,0)+IF(Prime6!$B$8="Y",Prime6!E29*Prime6!$B$9,0)+IF(Prime7!$B$8="Y",Prime7!E29*Prime7!$B$9,0)+IF(Prime8!$B$8="Y",Prime8!E29*Prime8!$B$9,0)+IF(Prime9!$B$8="Y",Prime9!E29*Prime9!$B$9,0)+IF(Prime10!$B$8="Y",Prime10!E29*Prime10!$B$9,0))/100000</f>
        <v>0</v>
      </c>
      <c r="F22" s="56" t="str">
        <f t="shared" ref="F22:F25" si="4">IFERROR((C22-D22)/D22,"-")</f>
        <v>-</v>
      </c>
      <c r="G22" s="56" t="str">
        <f t="shared" ref="G22:G25" si="5">IFERROR((D22-E22)/E22,"-")</f>
        <v>-</v>
      </c>
      <c r="I22" s="129" t="s">
        <v>863</v>
      </c>
      <c r="J22" s="130">
        <f>$B$43</f>
        <v>0</v>
      </c>
      <c r="K22" s="130">
        <f>$C$43</f>
        <v>0</v>
      </c>
      <c r="L22" s="130">
        <f>$D$43</f>
        <v>0</v>
      </c>
    </row>
    <row r="23" spans="1:12" ht="25.5">
      <c r="A23" s="60" t="s">
        <v>864</v>
      </c>
      <c r="B23" s="70">
        <f>(IF(Prime1!$B$8="Y",Prime1!B30*Prime1!$B$9,0)+IF(Prime2!$B$8="Y",Prime2!B30*Prime2!$B$9,0)+IF(Prime3!$B$8="Y",Prime3!B30*Prime3!$B$9,0)+IF(Prime4!$B$8="Y",Prime4!B30*Prime4!$B$9,0)+IF(Prime5!$B$8="Y",Prime5!B30*Prime5!$B$9,0)+IF(Prime6!$B$8="Y",Prime6!B30*Prime6!$B$9,0)+IF(Prime7!$B$8="Y",Prime7!B30*Prime7!$B$9,0)+IF(Prime8!$B$8="Y",Prime8!B30*Prime8!$B$9,0)+IF(Prime9!$B$8="Y",Prime9!B30*Prime9!$B$9,0)+IF(Prime10!$B$8="Y",Prime10!B30*Prime10!$B$9,0))/100000</f>
        <v>0</v>
      </c>
      <c r="C23" s="70">
        <f>(IF(Prime1!$B$8="Y",Prime1!C30*Prime1!$B$9,0)+IF(Prime2!$B$8="Y",Prime2!C30*Prime2!$B$9,0)+IF(Prime3!$B$8="Y",Prime3!C30*Prime3!$B$9,0)+IF(Prime4!$B$8="Y",Prime4!C30*Prime4!$B$9,0)+IF(Prime5!$B$8="Y",Prime5!C30*Prime5!$B$9,0)+IF(Prime6!$B$8="Y",Prime6!C30*Prime6!$B$9,0)+IF(Prime7!$B$8="Y",Prime7!C30*Prime7!$B$9,0)+IF(Prime8!$B$8="Y",Prime8!C30*Prime8!$B$9,0)+IF(Prime9!$B$8="Y",Prime9!C30*Prime9!$B$9,0)+IF(Prime10!$B$8="Y",Prime10!C30*Prime10!$B$9,0))/100000</f>
        <v>0</v>
      </c>
      <c r="D23" s="70">
        <f>(IF(Prime1!$B$8="Y",Prime1!D30*Prime1!$B$9,0)+IF(Prime2!$B$8="Y",Prime2!D30*Prime2!$B$9,0)+IF(Prime3!$B$8="Y",Prime3!D30*Prime3!$B$9,0)+IF(Prime4!$B$8="Y",Prime4!D30*Prime4!$B$9,0)+IF(Prime5!$B$8="Y",Prime5!D30*Prime5!$B$9,0)+IF(Prime6!$B$8="Y",Prime6!D30*Prime6!$B$9,0)+IF(Prime7!$B$8="Y",Prime7!D30*Prime7!$B$9,0)+IF(Prime8!$B$8="Y",Prime8!D30*Prime8!$B$9,0)+IF(Prime9!$B$8="Y",Prime9!D30*Prime9!$B$9,0)+IF(Prime10!$B$8="Y",Prime10!D30*Prime10!$B$9,0))/100000</f>
        <v>0</v>
      </c>
      <c r="E23" s="113">
        <f>(IF(Prime1!$B$8="Y",Prime1!E30*Prime1!$B$9,0)+IF(Prime2!$B$8="Y",Prime2!E30*Prime2!$B$9,0)+IF(Prime3!$B$8="Y",Prime3!E30*Prime3!$B$9,0)+IF(Prime4!$B$8="Y",Prime4!E30*Prime4!$B$9,0)+IF(Prime5!$B$8="Y",Prime5!E30*Prime5!$B$9,0)+IF(Prime6!$B$8="Y",Prime6!E30*Prime6!$B$9,0)+IF(Prime7!$B$8="Y",Prime7!E30*Prime7!$B$9,0)+IF(Prime8!$B$8="Y",Prime8!E30*Prime8!$B$9,0)+IF(Prime9!$B$8="Y",Prime9!E30*Prime9!$B$9,0)+IF(Prime10!$B$8="Y",Prime10!E30*Prime10!$B$9,0))/100000</f>
        <v>0</v>
      </c>
      <c r="F23" s="56" t="str">
        <f t="shared" si="4"/>
        <v>-</v>
      </c>
      <c r="G23" s="56" t="str">
        <f t="shared" si="5"/>
        <v>-</v>
      </c>
      <c r="I23" s="129" t="s">
        <v>865</v>
      </c>
      <c r="J23" s="130">
        <f>$B$37</f>
        <v>0</v>
      </c>
      <c r="K23" s="130">
        <f>$C$37</f>
        <v>0</v>
      </c>
      <c r="L23" s="130">
        <f>$D$37</f>
        <v>0</v>
      </c>
    </row>
    <row r="24" spans="1:12" ht="25.5">
      <c r="A24" s="60" t="s">
        <v>866</v>
      </c>
      <c r="B24" s="70">
        <f>(IF(Prime1!$B$8="Y",Prime1!B31*Prime1!$B$9,0)+IF(Prime2!$B$8="Y",Prime2!B31*Prime2!$B$9,0)+IF(Prime3!$B$8="Y",Prime3!B31*Prime3!$B$9,0)+IF(Prime4!$B$8="Y",Prime4!B31*Prime4!$B$9,0)+IF(Prime5!$B$8="Y",Prime5!B31*Prime5!$B$9,0)+IF(Prime6!$B$8="Y",Prime6!B31*Prime6!$B$9,0)+IF(Prime7!$B$8="Y",Prime7!B31*Prime7!$B$9,0)+IF(Prime8!$B$8="Y",Prime8!B31*Prime8!$B$9,0)+IF(Prime9!$B$8="Y",Prime9!B31*Prime9!$B$9,0)+IF(Prime10!$B$8="Y",Prime10!B31*Prime10!$B$9,0))/100000</f>
        <v>0</v>
      </c>
      <c r="C24" s="70">
        <f>(IF(Prime1!$B$8="Y",Prime1!C31*Prime1!$B$9,0)+IF(Prime2!$B$8="Y",Prime2!C31*Prime2!$B$9,0)+IF(Prime3!$B$8="Y",Prime3!C31*Prime3!$B$9,0)+IF(Prime4!$B$8="Y",Prime4!C31*Prime4!$B$9,0)+IF(Prime5!$B$8="Y",Prime5!C31*Prime5!$B$9,0)+IF(Prime6!$B$8="Y",Prime6!C31*Prime6!$B$9,0)+IF(Prime7!$B$8="Y",Prime7!C31*Prime7!$B$9,0)+IF(Prime8!$B$8="Y",Prime8!C31*Prime8!$B$9,0)+IF(Prime9!$B$8="Y",Prime9!C31*Prime9!$B$9,0)+IF(Prime10!$B$8="Y",Prime10!C31*Prime10!$B$9,0))/100000</f>
        <v>0</v>
      </c>
      <c r="D24" s="70">
        <f>(IF(Prime1!$B$8="Y",Prime1!D31*Prime1!$B$9,0)+IF(Prime2!$B$8="Y",Prime2!D31*Prime2!$B$9,0)+IF(Prime3!$B$8="Y",Prime3!D31*Prime3!$B$9,0)+IF(Prime4!$B$8="Y",Prime4!D31*Prime4!$B$9,0)+IF(Prime5!$B$8="Y",Prime5!D31*Prime5!$B$9,0)+IF(Prime6!$B$8="Y",Prime6!D31*Prime6!$B$9,0)+IF(Prime7!$B$8="Y",Prime7!D31*Prime7!$B$9,0)+IF(Prime8!$B$8="Y",Prime8!D31*Prime8!$B$9,0)+IF(Prime9!$B$8="Y",Prime9!D31*Prime9!$B$9,0)+IF(Prime10!$B$8="Y",Prime10!D31*Prime10!$B$9,0))/100000</f>
        <v>0</v>
      </c>
      <c r="E24" s="113">
        <f>(IF(Prime1!$B$8="Y",Prime1!E31*Prime1!$B$9,0)+IF(Prime2!$B$8="Y",Prime2!E31*Prime2!$B$9,0)+IF(Prime3!$B$8="Y",Prime3!E31*Prime3!$B$9,0)+IF(Prime4!$B$8="Y",Prime4!E31*Prime4!$B$9,0)+IF(Prime5!$B$8="Y",Prime5!E31*Prime5!$B$9,0)+IF(Prime6!$B$8="Y",Prime6!E31*Prime6!$B$9,0)+IF(Prime7!$B$8="Y",Prime7!E31*Prime7!$B$9,0)+IF(Prime8!$B$8="Y",Prime8!E31*Prime8!$B$9,0)+IF(Prime9!$B$8="Y",Prime9!E31*Prime9!$B$9,0)+IF(Prime10!$B$8="Y",Prime10!E31*Prime10!$B$9,0))/100000</f>
        <v>0</v>
      </c>
      <c r="F24" s="56" t="str">
        <f t="shared" si="4"/>
        <v>-</v>
      </c>
      <c r="G24" s="56" t="str">
        <f t="shared" si="5"/>
        <v>-</v>
      </c>
      <c r="I24" s="129" t="s">
        <v>867</v>
      </c>
      <c r="J24" s="130">
        <f>'ExistingLoans&amp;Facilities&amp;RTR'!$N$103*12/100000</f>
        <v>0</v>
      </c>
      <c r="K24" s="130">
        <f>'ExistingLoans&amp;Facilities&amp;RTR'!$N$103*12/100000</f>
        <v>0</v>
      </c>
      <c r="L24" s="130">
        <f>'ExistingLoans&amp;Facilities&amp;RTR'!$N$103*12/100000</f>
        <v>0</v>
      </c>
    </row>
    <row r="25" spans="1:12">
      <c r="A25" s="60" t="s">
        <v>868</v>
      </c>
      <c r="B25" s="70">
        <f>(IF(Prime1!$B$8="Y",Prime1!B32*Prime1!$B$9,0)+IF(Prime2!$B$8="Y",Prime2!B32*Prime2!$B$9,0)+IF(Prime3!$B$8="Y",Prime3!B32*Prime3!$B$9,0)+IF(Prime4!$B$8="Y",Prime4!B32*Prime4!$B$9,0)+IF(Prime5!$B$8="Y",Prime5!B32*Prime5!$B$9,0)+IF(Prime6!$B$8="Y",Prime6!B32*Prime6!$B$9,0)+IF(Prime7!$B$8="Y",Prime7!B32*Prime7!$B$9,0)+IF(Prime8!$B$8="Y",Prime8!B32*Prime8!$B$9,0)+IF(Prime9!$B$8="Y",Prime9!B32*Prime9!$B$9,0)+IF(Prime10!$B$8="Y",Prime10!B32*Prime10!$B$9,0))/100000</f>
        <v>0</v>
      </c>
      <c r="C25" s="70">
        <f>(IF(Prime1!$B$8="Y",Prime1!C32*Prime1!$B$9,0)+IF(Prime2!$B$8="Y",Prime2!C32*Prime2!$B$9,0)+IF(Prime3!$B$8="Y",Prime3!C32*Prime3!$B$9,0)+IF(Prime4!$B$8="Y",Prime4!C32*Prime4!$B$9,0)+IF(Prime5!$B$8="Y",Prime5!C32*Prime5!$B$9,0)+IF(Prime6!$B$8="Y",Prime6!C32*Prime6!$B$9,0)+IF(Prime7!$B$8="Y",Prime7!C32*Prime7!$B$9,0)+IF(Prime8!$B$8="Y",Prime8!C32*Prime8!$B$9,0)+IF(Prime9!$B$8="Y",Prime9!C32*Prime9!$B$9,0)+IF(Prime10!$B$8="Y",Prime10!C32*Prime10!$B$9,0))/100000</f>
        <v>0</v>
      </c>
      <c r="D25" s="70">
        <f>(IF(Prime1!$B$8="Y",Prime1!D32*Prime1!$B$9,0)+IF(Prime2!$B$8="Y",Prime2!D32*Prime2!$B$9,0)+IF(Prime3!$B$8="Y",Prime3!D32*Prime3!$B$9,0)+IF(Prime4!$B$8="Y",Prime4!D32*Prime4!$B$9,0)+IF(Prime5!$B$8="Y",Prime5!D32*Prime5!$B$9,0)+IF(Prime6!$B$8="Y",Prime6!D32*Prime6!$B$9,0)+IF(Prime7!$B$8="Y",Prime7!D32*Prime7!$B$9,0)+IF(Prime8!$B$8="Y",Prime8!D32*Prime8!$B$9,0)+IF(Prime9!$B$8="Y",Prime9!D32*Prime9!$B$9,0)+IF(Prime10!$B$8="Y",Prime10!D32*Prime10!$B$9,0))/100000</f>
        <v>0</v>
      </c>
      <c r="E25" s="113">
        <f>(IF(Prime1!$B$8="Y",Prime1!E32*Prime1!$B$9,0)+IF(Prime2!$B$8="Y",Prime2!E32*Prime2!$B$9,0)+IF(Prime3!$B$8="Y",Prime3!E32*Prime3!$B$9,0)+IF(Prime4!$B$8="Y",Prime4!E32*Prime4!$B$9,0)+IF(Prime5!$B$8="Y",Prime5!E32*Prime5!$B$9,0)+IF(Prime6!$B$8="Y",Prime6!E32*Prime6!$B$9,0)+IF(Prime7!$B$8="Y",Prime7!E32*Prime7!$B$9,0)+IF(Prime8!$B$8="Y",Prime8!E32*Prime8!$B$9,0)+IF(Prime9!$B$8="Y",Prime9!E32*Prime9!$B$9,0)+IF(Prime10!$B$8="Y",Prime10!E32*Prime10!$B$9,0))/100000</f>
        <v>0</v>
      </c>
      <c r="F25" s="56" t="str">
        <f t="shared" si="4"/>
        <v>-</v>
      </c>
      <c r="G25" s="56" t="str">
        <f t="shared" si="5"/>
        <v>-</v>
      </c>
      <c r="I25" s="131" t="s">
        <v>869</v>
      </c>
      <c r="J25" s="132">
        <f>IFERROR((J21-J22)/(J23+J24),0)</f>
        <v>0</v>
      </c>
      <c r="K25" s="132">
        <f>IFERROR((K21-K22)/(K23+K24),0)</f>
        <v>0</v>
      </c>
      <c r="L25" s="132">
        <f>IFERROR((L21-L22)/(L23+L24),0)</f>
        <v>0</v>
      </c>
    </row>
    <row r="26" spans="1:12">
      <c r="A26" s="48" t="s">
        <v>870</v>
      </c>
      <c r="B26" s="58">
        <f>+B20-B21-B25</f>
        <v>0</v>
      </c>
      <c r="C26" s="58">
        <f>+C20-C21-C25</f>
        <v>0</v>
      </c>
      <c r="D26" s="58">
        <f>+D20-D21-D25</f>
        <v>0</v>
      </c>
      <c r="E26" s="116">
        <f>+E20-E21-E25</f>
        <v>0</v>
      </c>
      <c r="F26" s="59" t="str">
        <f>IFERROR((C26/D26)-1,"-")</f>
        <v>-</v>
      </c>
      <c r="G26" s="59" t="str">
        <f>IFERROR((D26/E26)-1,"-")</f>
        <v>-</v>
      </c>
      <c r="I26" s="550"/>
      <c r="J26" s="551"/>
      <c r="K26" s="551"/>
      <c r="L26" s="552"/>
    </row>
    <row r="27" spans="1:12">
      <c r="A27" s="60" t="s">
        <v>107</v>
      </c>
      <c r="B27" s="70">
        <f>(IF(Prime1!$B$8="Y",Prime1!B34*Prime1!$B$9,0)+IF(Prime2!$B$8="Y",Prime2!B34*Prime2!$B$9,0)+IF(Prime3!$B$8="Y",Prime3!B34*Prime3!$B$9,0)+IF(Prime4!$B$8="Y",Prime4!B34*Prime4!$B$9,0)+IF(Prime5!$B$8="Y",Prime5!B34*Prime5!$B$9,0)+IF(Prime6!$B$8="Y",Prime6!B34*Prime6!$B$9,0)+IF(Prime7!$B$8="Y",Prime7!B34*Prime7!$B$9,0)+IF(Prime8!$B$8="Y",Prime8!B34*Prime8!$B$9,0)+IF(Prime9!$B$8="Y",Prime9!B34*Prime9!$B$9,0)+IF(Prime10!$B$8="Y",Prime10!B34*Prime10!$B$9,0))/100000</f>
        <v>0</v>
      </c>
      <c r="C27" s="70">
        <f>(IF(Prime1!$B$8="Y",Prime1!C34*Prime1!$B$9,0)+IF(Prime2!$B$8="Y",Prime2!C34*Prime2!$B$9,0)+IF(Prime3!$B$8="Y",Prime3!C34*Prime3!$B$9,0)+IF(Prime4!$B$8="Y",Prime4!C34*Prime4!$B$9,0)+IF(Prime5!$B$8="Y",Prime5!C34*Prime5!$B$9,0)+IF(Prime6!$B$8="Y",Prime6!C34*Prime6!$B$9,0)+IF(Prime7!$B$8="Y",Prime7!C34*Prime7!$B$9,0)+IF(Prime8!$B$8="Y",Prime8!C34*Prime8!$B$9,0)+IF(Prime9!$B$8="Y",Prime9!C34*Prime9!$B$9,0)+IF(Prime10!$B$8="Y",Prime10!C34*Prime10!$B$9,0))/100000</f>
        <v>0</v>
      </c>
      <c r="D27" s="70">
        <f>(IF(Prime1!$B$8="Y",Prime1!D34*Prime1!$B$9,0)+IF(Prime2!$B$8="Y",Prime2!D34*Prime2!$B$9,0)+IF(Prime3!$B$8="Y",Prime3!D34*Prime3!$B$9,0)+IF(Prime4!$B$8="Y",Prime4!D34*Prime4!$B$9,0)+IF(Prime5!$B$8="Y",Prime5!D34*Prime5!$B$9,0)+IF(Prime6!$B$8="Y",Prime6!D34*Prime6!$B$9,0)+IF(Prime7!$B$8="Y",Prime7!D34*Prime7!$B$9,0)+IF(Prime8!$B$8="Y",Prime8!D34*Prime8!$B$9,0)+IF(Prime9!$B$8="Y",Prime9!D34*Prime9!$B$9,0)+IF(Prime10!$B$8="Y",Prime10!D34*Prime10!$B$9,0))/100000</f>
        <v>0</v>
      </c>
      <c r="E27" s="113">
        <f>(IF(Prime1!$B$8="Y",Prime1!E34*Prime1!$B$9,0)+IF(Prime2!$B$8="Y",Prime2!E34*Prime2!$B$9,0)+IF(Prime3!$B$8="Y",Prime3!E34*Prime3!$B$9,0)+IF(Prime4!$B$8="Y",Prime4!E34*Prime4!$B$9,0)+IF(Prime5!$B$8="Y",Prime5!E34*Prime5!$B$9,0)+IF(Prime6!$B$8="Y",Prime6!E34*Prime6!$B$9,0)+IF(Prime7!$B$8="Y",Prime7!E34*Prime7!$B$9,0)+IF(Prime8!$B$8="Y",Prime8!E34*Prime8!$B$9,0)+IF(Prime9!$B$8="Y",Prime9!E34*Prime9!$B$9,0)+IF(Prime10!$B$8="Y",Prime10!E34*Prime10!$B$9,0))/100000</f>
        <v>0</v>
      </c>
      <c r="F27" s="56" t="str">
        <f t="shared" ref="F27:G30" si="6">IFERROR((C27-D27)/D27,"-")</f>
        <v>-</v>
      </c>
      <c r="G27" s="56" t="str">
        <f t="shared" si="6"/>
        <v>-</v>
      </c>
      <c r="I27" s="133" t="s">
        <v>871</v>
      </c>
      <c r="J27" s="133" t="str">
        <f>J19</f>
        <v>Provisionals</v>
      </c>
      <c r="K27" s="133" t="str">
        <f>K19</f>
        <v>FY 2023-24</v>
      </c>
      <c r="L27" s="133" t="str">
        <f>L19</f>
        <v>FY 2022-23</v>
      </c>
    </row>
    <row r="28" spans="1:12">
      <c r="A28" s="60" t="s">
        <v>872</v>
      </c>
      <c r="B28" s="70">
        <f>(IF(Prime1!$B$8="Y",Prime1!B35*Prime1!$B$9,0)+IF(Prime2!$B$8="Y",Prime2!B35*Prime2!$B$9,0)+IF(Prime3!$B$8="Y",Prime3!B35*Prime3!$B$9,0)+IF(Prime4!$B$8="Y",Prime4!B35*Prime4!$B$9,0)+IF(Prime5!$B$8="Y",Prime5!B35*Prime5!$B$9,0)+IF(Prime6!$B$8="Y",Prime6!B35*Prime6!$B$9,0)+IF(Prime7!$B$8="Y",Prime7!B35*Prime7!$B$9,0)+IF(Prime8!$B$8="Y",Prime8!B35*Prime8!$B$9,0)+IF(Prime9!$B$8="Y",Prime9!B35*Prime9!$B$9,0)+IF(Prime10!$B$8="Y",Prime10!B35*Prime10!$B$9,0))/100000</f>
        <v>0</v>
      </c>
      <c r="C28" s="70">
        <f>(IF(Prime1!$B$8="Y",Prime1!C35*Prime1!$B$9,0)+IF(Prime2!$B$8="Y",Prime2!C35*Prime2!$B$9,0)+IF(Prime3!$B$8="Y",Prime3!C35*Prime3!$B$9,0)+IF(Prime4!$B$8="Y",Prime4!C35*Prime4!$B$9,0)+IF(Prime5!$B$8="Y",Prime5!C35*Prime5!$B$9,0)+IF(Prime6!$B$8="Y",Prime6!C35*Prime6!$B$9,0)+IF(Prime7!$B$8="Y",Prime7!C35*Prime7!$B$9,0)+IF(Prime8!$B$8="Y",Prime8!C35*Prime8!$B$9,0)+IF(Prime9!$B$8="Y",Prime9!C35*Prime9!$B$9,0)+IF(Prime10!$B$8="Y",Prime10!C35*Prime10!$B$9,0))/100000</f>
        <v>0</v>
      </c>
      <c r="D28" s="70">
        <f>(IF(Prime1!$B$8="Y",Prime1!D35*Prime1!$B$9,0)+IF(Prime2!$B$8="Y",Prime2!D35*Prime2!$B$9,0)+IF(Prime3!$B$8="Y",Prime3!D35*Prime3!$B$9,0)+IF(Prime4!$B$8="Y",Prime4!D35*Prime4!$B$9,0)+IF(Prime5!$B$8="Y",Prime5!D35*Prime5!$B$9,0)+IF(Prime6!$B$8="Y",Prime6!D35*Prime6!$B$9,0)+IF(Prime7!$B$8="Y",Prime7!D35*Prime7!$B$9,0)+IF(Prime8!$B$8="Y",Prime8!D35*Prime8!$B$9,0)+IF(Prime9!$B$8="Y",Prime9!D35*Prime9!$B$9,0)+IF(Prime10!$B$8="Y",Prime10!D35*Prime10!$B$9,0))/100000</f>
        <v>0</v>
      </c>
      <c r="E28" s="113">
        <f>(IF(Prime1!$B$8="Y",Prime1!E35*Prime1!$B$9,0)+IF(Prime2!$B$8="Y",Prime2!E35*Prime2!$B$9,0)+IF(Prime3!$B$8="Y",Prime3!E35*Prime3!$B$9,0)+IF(Prime4!$B$8="Y",Prime4!E35*Prime4!$B$9,0)+IF(Prime5!$B$8="Y",Prime5!E35*Prime5!$B$9,0)+IF(Prime6!$B$8="Y",Prime6!E35*Prime6!$B$9,0)+IF(Prime7!$B$8="Y",Prime7!E35*Prime7!$B$9,0)+IF(Prime8!$B$8="Y",Prime8!E35*Prime8!$B$9,0)+IF(Prime9!$B$8="Y",Prime9!E35*Prime9!$B$9,0)+IF(Prime10!$B$8="Y",Prime10!E35*Prime10!$B$9,0))/100000</f>
        <v>0</v>
      </c>
      <c r="F28" s="56" t="str">
        <f t="shared" si="6"/>
        <v>-</v>
      </c>
      <c r="G28" s="56" t="str">
        <f t="shared" si="6"/>
        <v>-</v>
      </c>
      <c r="I28" s="129" t="s">
        <v>861</v>
      </c>
      <c r="J28" s="130">
        <f>$B$31</f>
        <v>0</v>
      </c>
      <c r="K28" s="130">
        <f>$C$31</f>
        <v>0</v>
      </c>
      <c r="L28" s="130">
        <f>$D$31</f>
        <v>0</v>
      </c>
    </row>
    <row r="29" spans="1:12">
      <c r="A29" s="60" t="s">
        <v>873</v>
      </c>
      <c r="B29" s="70">
        <f>(IF(Prime1!$B$8="Y",Prime1!B36*Prime1!$B$9,0)+IF(Prime2!$B$8="Y",Prime2!B36*Prime2!$B$9,0)+IF(Prime3!$B$8="Y",Prime3!B36*Prime3!$B$9,0)+IF(Prime4!$B$8="Y",Prime4!B36*Prime4!$B$9,0)+IF(Prime5!$B$8="Y",Prime5!B36*Prime5!$B$9,0)+IF(Prime6!$B$8="Y",Prime6!B36*Prime6!$B$9,0)+IF(Prime7!$B$8="Y",Prime7!B36*Prime7!$B$9,0)+IF(Prime8!$B$8="Y",Prime8!B36*Prime8!$B$9,0)+IF(Prime9!$B$8="Y",Prime9!B36*Prime9!$B$9,0)+IF(Prime10!$B$8="Y",Prime10!B36*Prime10!$B$9,0))/100000</f>
        <v>0</v>
      </c>
      <c r="C29" s="70">
        <f>(IF(Prime1!$B$8="Y",Prime1!C36*Prime1!$B$9,0)+IF(Prime2!$B$8="Y",Prime2!C36*Prime2!$B$9,0)+IF(Prime3!$B$8="Y",Prime3!C36*Prime3!$B$9,0)+IF(Prime4!$B$8="Y",Prime4!C36*Prime4!$B$9,0)+IF(Prime5!$B$8="Y",Prime5!C36*Prime5!$B$9,0)+IF(Prime6!$B$8="Y",Prime6!C36*Prime6!$B$9,0)+IF(Prime7!$B$8="Y",Prime7!C36*Prime7!$B$9,0)+IF(Prime8!$B$8="Y",Prime8!C36*Prime8!$B$9,0)+IF(Prime9!$B$8="Y",Prime9!C36*Prime9!$B$9,0)+IF(Prime10!$B$8="Y",Prime10!C36*Prime10!$B$9,0))/100000</f>
        <v>0</v>
      </c>
      <c r="D29" s="70">
        <f>(IF(Prime1!$B$8="Y",Prime1!D36*Prime1!$B$9,0)+IF(Prime2!$B$8="Y",Prime2!D36*Prime2!$B$9,0)+IF(Prime3!$B$8="Y",Prime3!D36*Prime3!$B$9,0)+IF(Prime4!$B$8="Y",Prime4!D36*Prime4!$B$9,0)+IF(Prime5!$B$8="Y",Prime5!D36*Prime5!$B$9,0)+IF(Prime6!$B$8="Y",Prime6!D36*Prime6!$B$9,0)+IF(Prime7!$B$8="Y",Prime7!D36*Prime7!$B$9,0)+IF(Prime8!$B$8="Y",Prime8!D36*Prime8!$B$9,0)+IF(Prime9!$B$8="Y",Prime9!D36*Prime9!$B$9,0)+IF(Prime10!$B$8="Y",Prime10!D36*Prime10!$B$9,0))/100000</f>
        <v>0</v>
      </c>
      <c r="E29" s="113">
        <f>(IF(Prime1!$B$8="Y",Prime1!E36*Prime1!$B$9,0)+IF(Prime2!$B$8="Y",Prime2!E36*Prime2!$B$9,0)+IF(Prime3!$B$8="Y",Prime3!E36*Prime3!$B$9,0)+IF(Prime4!$B$8="Y",Prime4!E36*Prime4!$B$9,0)+IF(Prime5!$B$8="Y",Prime5!E36*Prime5!$B$9,0)+IF(Prime6!$B$8="Y",Prime6!E36*Prime6!$B$9,0)+IF(Prime7!$B$8="Y",Prime7!E36*Prime7!$B$9,0)+IF(Prime8!$B$8="Y",Prime8!E36*Prime8!$B$9,0)+IF(Prime9!$B$8="Y",Prime9!E36*Prime9!$B$9,0)+IF(Prime10!$B$8="Y",Prime10!E36*Prime10!$B$9,0))/100000</f>
        <v>0</v>
      </c>
      <c r="F29" s="56" t="str">
        <f t="shared" si="6"/>
        <v>-</v>
      </c>
      <c r="G29" s="56" t="str">
        <f t="shared" si="6"/>
        <v>-</v>
      </c>
      <c r="I29" s="129" t="s">
        <v>863</v>
      </c>
      <c r="J29" s="130">
        <f>$B$43</f>
        <v>0</v>
      </c>
      <c r="K29" s="130">
        <f>$C$43</f>
        <v>0</v>
      </c>
      <c r="L29" s="130">
        <f>$D$43</f>
        <v>0</v>
      </c>
    </row>
    <row r="30" spans="1:12" ht="25.5">
      <c r="A30" s="60" t="s">
        <v>874</v>
      </c>
      <c r="B30" s="70">
        <f>(IF(Prime1!$B$8="Y",Prime1!B37*Prime1!$B$9,0)+IF(Prime2!$B$8="Y",Prime2!B37*Prime2!$B$9,0)+IF(Prime3!$B$8="Y",Prime3!B37*Prime3!$B$9,0)+IF(Prime4!$B$8="Y",Prime4!B37*Prime4!$B$9,0)+IF(Prime5!$B$8="Y",Prime5!B37*Prime5!$B$9,0)+IF(Prime6!$B$8="Y",Prime6!B37*Prime6!$B$9,0)+IF(Prime7!$B$8="Y",Prime7!B37*Prime7!$B$9,0)+IF(Prime8!$B$8="Y",Prime8!B37*Prime8!$B$9,0)+IF(Prime9!$B$8="Y",Prime9!B37*Prime9!$B$9,0)+IF(Prime10!$B$8="Y",Prime10!B37*Prime10!$B$9,0))/100000</f>
        <v>0</v>
      </c>
      <c r="C30" s="70">
        <f>(IF(Prime1!$B$8="Y",Prime1!C37*Prime1!$B$9,0)+IF(Prime2!$B$8="Y",Prime2!C37*Prime2!$B$9,0)+IF(Prime3!$B$8="Y",Prime3!C37*Prime3!$B$9,0)+IF(Prime4!$B$8="Y",Prime4!C37*Prime4!$B$9,0)+IF(Prime5!$B$8="Y",Prime5!C37*Prime5!$B$9,0)+IF(Prime6!$B$8="Y",Prime6!C37*Prime6!$B$9,0)+IF(Prime7!$B$8="Y",Prime7!C37*Prime7!$B$9,0)+IF(Prime8!$B$8="Y",Prime8!C37*Prime8!$B$9,0)+IF(Prime9!$B$8="Y",Prime9!C37*Prime9!$B$9,0)+IF(Prime10!$B$8="Y",Prime10!C37*Prime10!$B$9,0))/100000</f>
        <v>0</v>
      </c>
      <c r="D30" s="70">
        <f>(IF(Prime1!$B$8="Y",Prime1!D37*Prime1!$B$9,0)+IF(Prime2!$B$8="Y",Prime2!D37*Prime2!$B$9,0)+IF(Prime3!$B$8="Y",Prime3!D37*Prime3!$B$9,0)+IF(Prime4!$B$8="Y",Prime4!D37*Prime4!$B$9,0)+IF(Prime5!$B$8="Y",Prime5!D37*Prime5!$B$9,0)+IF(Prime6!$B$8="Y",Prime6!D37*Prime6!$B$9,0)+IF(Prime7!$B$8="Y",Prime7!D37*Prime7!$B$9,0)+IF(Prime8!$B$8="Y",Prime8!D37*Prime8!$B$9,0)+IF(Prime9!$B$8="Y",Prime9!D37*Prime9!$B$9,0)+IF(Prime10!$B$8="Y",Prime10!D37*Prime10!$B$9,0))/100000</f>
        <v>0</v>
      </c>
      <c r="E30" s="113">
        <f>(IF(Prime1!$B$8="Y",Prime1!E37*Prime1!$B$9,0)+IF(Prime2!$B$8="Y",Prime2!E37*Prime2!$B$9,0)+IF(Prime3!$B$8="Y",Prime3!E37*Prime3!$B$9,0)+IF(Prime4!$B$8="Y",Prime4!E37*Prime4!$B$9,0)+IF(Prime5!$B$8="Y",Prime5!E37*Prime5!$B$9,0)+IF(Prime6!$B$8="Y",Prime6!E37*Prime6!$B$9,0)+IF(Prime7!$B$8="Y",Prime7!E37*Prime7!$B$9,0)+IF(Prime8!$B$8="Y",Prime8!E37*Prime8!$B$9,0)+IF(Prime9!$B$8="Y",Prime9!E37*Prime9!$B$9,0)+IF(Prime10!$B$8="Y",Prime10!E37*Prime10!$B$9,0))/100000</f>
        <v>0</v>
      </c>
      <c r="F30" s="56" t="str">
        <f t="shared" si="6"/>
        <v>-</v>
      </c>
      <c r="G30" s="56" t="str">
        <f t="shared" si="6"/>
        <v>-</v>
      </c>
      <c r="I30" s="129" t="s">
        <v>865</v>
      </c>
      <c r="J30" s="130">
        <f>$B$37</f>
        <v>0</v>
      </c>
      <c r="K30" s="130">
        <f>$C$37</f>
        <v>0</v>
      </c>
      <c r="L30" s="130">
        <f>$D$37</f>
        <v>0</v>
      </c>
    </row>
    <row r="31" spans="1:12" ht="38.25">
      <c r="A31" s="48" t="s">
        <v>861</v>
      </c>
      <c r="B31" s="58">
        <f>B26+B27-SUM(B28:B30)</f>
        <v>0</v>
      </c>
      <c r="C31" s="58">
        <f>C26+C27-SUM(C28:C30)</f>
        <v>0</v>
      </c>
      <c r="D31" s="58">
        <f>D26+D27-SUM(D28:D30)</f>
        <v>0</v>
      </c>
      <c r="E31" s="116">
        <f>E26+E27-SUM(E28:E30)</f>
        <v>0</v>
      </c>
      <c r="F31" s="59" t="str">
        <f>IFERROR((C31/D31)-1,"-")</f>
        <v>-</v>
      </c>
      <c r="G31" s="59" t="str">
        <f>IFERROR((D31/E31)-1,"-")</f>
        <v>-</v>
      </c>
      <c r="I31" s="129" t="s">
        <v>875</v>
      </c>
      <c r="J31" s="130">
        <f>('ExistingLoans&amp;Facilities&amp;RTR'!$N$103+BasicInput!$G$27)*12/100000</f>
        <v>3.9639600000000002</v>
      </c>
      <c r="K31" s="130">
        <f>('ExistingLoans&amp;Facilities&amp;RTR'!$N$103+BasicInput!$G$27)*12/100000</f>
        <v>3.9639600000000002</v>
      </c>
      <c r="L31" s="130">
        <f>('ExistingLoans&amp;Facilities&amp;RTR'!$N$103+BasicInput!$G$27)*12/100000</f>
        <v>3.9639600000000002</v>
      </c>
    </row>
    <row r="32" spans="1:12">
      <c r="A32" s="60" t="s">
        <v>876</v>
      </c>
      <c r="B32" s="70">
        <f>(IF(Prime1!$B$8="Y",Prime1!B39*Prime1!$B$9,0)+IF(Prime2!$B$8="Y",Prime2!B39*Prime2!$B$9,0)+IF(Prime3!$B$8="Y",Prime3!B39*Prime3!$B$9,0)+IF(Prime4!$B$8="Y",Prime4!B39*Prime4!$B$9,0)+IF(Prime5!$B$8="Y",Prime5!B39*Prime5!$B$9,0)+IF(Prime6!$B$8="Y",Prime6!B39*Prime6!$B$9,0)+IF(Prime7!$B$8="Y",Prime7!B39*Prime7!$B$9,0)+IF(Prime8!$B$8="Y",Prime8!B39*Prime8!$B$9,0)+IF(Prime9!$B$8="Y",Prime9!B39*Prime9!$B$9,0)+IF(Prime10!$B$8="Y",Prime10!B39*Prime10!$B$9,0))/100000</f>
        <v>0</v>
      </c>
      <c r="C32" s="70">
        <f>(IF(Prime1!$B$8="Y",Prime1!C39*Prime1!$B$9,0)+IF(Prime2!$B$8="Y",Prime2!C39*Prime2!$B$9,0)+IF(Prime3!$B$8="Y",Prime3!C39*Prime3!$B$9,0)+IF(Prime4!$B$8="Y",Prime4!C39*Prime4!$B$9,0)+IF(Prime5!$B$8="Y",Prime5!C39*Prime5!$B$9,0)+IF(Prime6!$B$8="Y",Prime6!C39*Prime6!$B$9,0)+IF(Prime7!$B$8="Y",Prime7!C39*Prime7!$B$9,0)+IF(Prime8!$B$8="Y",Prime8!C39*Prime8!$B$9,0)+IF(Prime9!$B$8="Y",Prime9!C39*Prime9!$B$9,0)+IF(Prime10!$B$8="Y",Prime10!C39*Prime10!$B$9,0))/100000</f>
        <v>0</v>
      </c>
      <c r="D32" s="70">
        <f>(IF(Prime1!$B$8="Y",Prime1!D39*Prime1!$B$9,0)+IF(Prime2!$B$8="Y",Prime2!D39*Prime2!$B$9,0)+IF(Prime3!$B$8="Y",Prime3!D39*Prime3!$B$9,0)+IF(Prime4!$B$8="Y",Prime4!D39*Prime4!$B$9,0)+IF(Prime5!$B$8="Y",Prime5!D39*Prime5!$B$9,0)+IF(Prime6!$B$8="Y",Prime6!D39*Prime6!$B$9,0)+IF(Prime7!$B$8="Y",Prime7!D39*Prime7!$B$9,0)+IF(Prime8!$B$8="Y",Prime8!D39*Prime8!$B$9,0)+IF(Prime9!$B$8="Y",Prime9!D39*Prime9!$B$9,0)+IF(Prime10!$B$8="Y",Prime10!D39*Prime10!$B$9,0))/100000</f>
        <v>0</v>
      </c>
      <c r="E32" s="113">
        <f>(IF(Prime1!$B$8="Y",Prime1!E39*Prime1!$B$9,0)+IF(Prime2!$B$8="Y",Prime2!E39*Prime2!$B$9,0)+IF(Prime3!$B$8="Y",Prime3!E39*Prime3!$B$9,0)+IF(Prime4!$B$8="Y",Prime4!E39*Prime4!$B$9,0)+IF(Prime5!$B$8="Y",Prime5!E39*Prime5!$B$9,0)+IF(Prime6!$B$8="Y",Prime6!E39*Prime6!$B$9,0)+IF(Prime7!$B$8="Y",Prime7!E39*Prime7!$B$9,0)+IF(Prime8!$B$8="Y",Prime8!E39*Prime8!$B$9,0)+IF(Prime9!$B$8="Y",Prime9!E39*Prime9!$B$9,0)+IF(Prime10!$B$8="Y",Prime10!E39*Prime10!$B$9,0))/100000</f>
        <v>0</v>
      </c>
      <c r="F32" s="56" t="str">
        <f t="shared" ref="F32:G35" si="7">IFERROR((C32-D32)/D32,"-")</f>
        <v>-</v>
      </c>
      <c r="G32" s="56" t="str">
        <f t="shared" si="7"/>
        <v>-</v>
      </c>
      <c r="I32" s="131" t="s">
        <v>869</v>
      </c>
      <c r="J32" s="132">
        <f>IFERROR((J28-J29)/(J30+J31),0)</f>
        <v>0</v>
      </c>
      <c r="K32" s="132">
        <f>IFERROR((K28-K29)/(K30+K31),0)</f>
        <v>0</v>
      </c>
      <c r="L32" s="132">
        <f>IFERROR((L28-L29)/(L30+L31),0)</f>
        <v>0</v>
      </c>
    </row>
    <row r="33" spans="1:7">
      <c r="A33" s="60" t="s">
        <v>877</v>
      </c>
      <c r="B33" s="70">
        <f>(IF(Prime1!$B$8="Y",Prime1!B40*Prime1!$B$9,0)+IF(Prime2!$B$8="Y",Prime2!B40*Prime2!$B$9,0)+IF(Prime3!$B$8="Y",Prime3!B40*Prime3!$B$9,0)+IF(Prime4!$B$8="Y",Prime4!B40*Prime4!$B$9,0)+IF(Prime5!$B$8="Y",Prime5!B40*Prime5!$B$9,0)+IF(Prime6!$B$8="Y",Prime6!B40*Prime6!$B$9,0)+IF(Prime7!$B$8="Y",Prime7!B40*Prime7!$B$9,0)+IF(Prime8!$B$8="Y",Prime8!B40*Prime8!$B$9,0)+IF(Prime9!$B$8="Y",Prime9!B40*Prime9!$B$9,0)+IF(Prime10!$B$8="Y",Prime10!B40*Prime10!$B$9,0))/100000</f>
        <v>0</v>
      </c>
      <c r="C33" s="70">
        <f>(IF(Prime1!$B$8="Y",Prime1!C40*Prime1!$B$9,0)+IF(Prime2!$B$8="Y",Prime2!C40*Prime2!$B$9,0)+IF(Prime3!$B$8="Y",Prime3!C40*Prime3!$B$9,0)+IF(Prime4!$B$8="Y",Prime4!C40*Prime4!$B$9,0)+IF(Prime5!$B$8="Y",Prime5!C40*Prime5!$B$9,0)+IF(Prime6!$B$8="Y",Prime6!C40*Prime6!$B$9,0)+IF(Prime7!$B$8="Y",Prime7!C40*Prime7!$B$9,0)+IF(Prime8!$B$8="Y",Prime8!C40*Prime8!$B$9,0)+IF(Prime9!$B$8="Y",Prime9!C40*Prime9!$B$9,0)+IF(Prime10!$B$8="Y",Prime10!C40*Prime10!$B$9,0))/100000</f>
        <v>0</v>
      </c>
      <c r="D33" s="70">
        <f>(IF(Prime1!$B$8="Y",Prime1!D40*Prime1!$B$9,0)+IF(Prime2!$B$8="Y",Prime2!D40*Prime2!$B$9,0)+IF(Prime3!$B$8="Y",Prime3!D40*Prime3!$B$9,0)+IF(Prime4!$B$8="Y",Prime4!D40*Prime4!$B$9,0)+IF(Prime5!$B$8="Y",Prime5!D40*Prime5!$B$9,0)+IF(Prime6!$B$8="Y",Prime6!D40*Prime6!$B$9,0)+IF(Prime7!$B$8="Y",Prime7!D40*Prime7!$B$9,0)+IF(Prime8!$B$8="Y",Prime8!D40*Prime8!$B$9,0)+IF(Prime9!$B$8="Y",Prime9!D40*Prime9!$B$9,0)+IF(Prime10!$B$8="Y",Prime10!D40*Prime10!$B$9,0))/100000</f>
        <v>0</v>
      </c>
      <c r="E33" s="113">
        <f>(IF(Prime1!$B$8="Y",Prime1!E40*Prime1!$B$9,0)+IF(Prime2!$B$8="Y",Prime2!E40*Prime2!$B$9,0)+IF(Prime3!$B$8="Y",Prime3!E40*Prime3!$B$9,0)+IF(Prime4!$B$8="Y",Prime4!E40*Prime4!$B$9,0)+IF(Prime5!$B$8="Y",Prime5!E40*Prime5!$B$9,0)+IF(Prime6!$B$8="Y",Prime6!E40*Prime6!$B$9,0)+IF(Prime7!$B$8="Y",Prime7!E40*Prime7!$B$9,0)+IF(Prime8!$B$8="Y",Prime8!E40*Prime8!$B$9,0)+IF(Prime9!$B$8="Y",Prime9!E40*Prime9!$B$9,0)+IF(Prime10!$B$8="Y",Prime10!E40*Prime10!$B$9,0))/100000</f>
        <v>0</v>
      </c>
      <c r="F33" s="56" t="str">
        <f t="shared" si="7"/>
        <v>-</v>
      </c>
      <c r="G33" s="56" t="str">
        <f t="shared" si="7"/>
        <v>-</v>
      </c>
    </row>
    <row r="34" spans="1:7">
      <c r="A34" s="62" t="s">
        <v>878</v>
      </c>
      <c r="B34" s="70">
        <f>(IF(Prime1!$B$8="Y",Prime1!B41*Prime1!$B$9,0)+IF(Prime2!$B$8="Y",Prime2!B41*Prime2!$B$9,0)+IF(Prime3!$B$8="Y",Prime3!B41*Prime3!$B$9,0)+IF(Prime4!$B$8="Y",Prime4!B41*Prime4!$B$9,0)+IF(Prime5!$B$8="Y",Prime5!B41*Prime5!$B$9,0)+IF(Prime6!$B$8="Y",Prime6!B41*Prime6!$B$9,0)+IF(Prime7!$B$8="Y",Prime7!B41*Prime7!$B$9,0)+IF(Prime8!$B$8="Y",Prime8!B41*Prime8!$B$9,0)+IF(Prime9!$B$8="Y",Prime9!B41*Prime9!$B$9,0)+IF(Prime10!$B$8="Y",Prime10!B41*Prime10!$B$9,0))/100000</f>
        <v>0</v>
      </c>
      <c r="C34" s="70">
        <f>(IF(Prime1!$B$8="Y",Prime1!C41*Prime1!$B$9,0)+IF(Prime2!$B$8="Y",Prime2!C41*Prime2!$B$9,0)+IF(Prime3!$B$8="Y",Prime3!C41*Prime3!$B$9,0)+IF(Prime4!$B$8="Y",Prime4!C41*Prime4!$B$9,0)+IF(Prime5!$B$8="Y",Prime5!C41*Prime5!$B$9,0)+IF(Prime6!$B$8="Y",Prime6!C41*Prime6!$B$9,0)+IF(Prime7!$B$8="Y",Prime7!C41*Prime7!$B$9,0)+IF(Prime8!$B$8="Y",Prime8!C41*Prime8!$B$9,0)+IF(Prime9!$B$8="Y",Prime9!C41*Prime9!$B$9,0)+IF(Prime10!$B$8="Y",Prime10!C41*Prime10!$B$9,0))/100000</f>
        <v>0</v>
      </c>
      <c r="D34" s="70">
        <f>(IF(Prime1!$B$8="Y",Prime1!D41*Prime1!$B$9,0)+IF(Prime2!$B$8="Y",Prime2!D41*Prime2!$B$9,0)+IF(Prime3!$B$8="Y",Prime3!D41*Prime3!$B$9,0)+IF(Prime4!$B$8="Y",Prime4!D41*Prime4!$B$9,0)+IF(Prime5!$B$8="Y",Prime5!D41*Prime5!$B$9,0)+IF(Prime6!$B$8="Y",Prime6!D41*Prime6!$B$9,0)+IF(Prime7!$B$8="Y",Prime7!D41*Prime7!$B$9,0)+IF(Prime8!$B$8="Y",Prime8!D41*Prime8!$B$9,0)+IF(Prime9!$B$8="Y",Prime9!D41*Prime9!$B$9,0)+IF(Prime10!$B$8="Y",Prime10!D41*Prime10!$B$9,0))/100000</f>
        <v>0</v>
      </c>
      <c r="E34" s="113">
        <f>(IF(Prime1!$B$8="Y",Prime1!E41*Prime1!$B$9,0)+IF(Prime2!$B$8="Y",Prime2!E41*Prime2!$B$9,0)+IF(Prime3!$B$8="Y",Prime3!E41*Prime3!$B$9,0)+IF(Prime4!$B$8="Y",Prime4!E41*Prime4!$B$9,0)+IF(Prime5!$B$8="Y",Prime5!E41*Prime5!$B$9,0)+IF(Prime6!$B$8="Y",Prime6!E41*Prime6!$B$9,0)+IF(Prime7!$B$8="Y",Prime7!E41*Prime7!$B$9,0)+IF(Prime8!$B$8="Y",Prime8!E41*Prime8!$B$9,0)+IF(Prime9!$B$8="Y",Prime9!E41*Prime9!$B$9,0)+IF(Prime10!$B$8="Y",Prime10!E41*Prime10!$B$9,0))/100000</f>
        <v>0</v>
      </c>
      <c r="F34" s="56" t="str">
        <f t="shared" si="7"/>
        <v>-</v>
      </c>
      <c r="G34" s="56" t="str">
        <f t="shared" si="7"/>
        <v>-</v>
      </c>
    </row>
    <row r="35" spans="1:7">
      <c r="A35" s="62" t="s">
        <v>184</v>
      </c>
      <c r="B35" s="70">
        <f>(IF(Prime1!$B$8="Y",Prime1!B42*Prime1!$B$9,0)+IF(Prime2!$B$8="Y",Prime2!B42*Prime2!$B$9,0)+IF(Prime3!$B$8="Y",Prime3!B42*Prime3!$B$9,0)+IF(Prime4!$B$8="Y",Prime4!B42*Prime4!$B$9,0)+IF(Prime5!$B$8="Y",Prime5!B42*Prime5!$B$9,0)+IF(Prime6!$B$8="Y",Prime6!B42*Prime6!$B$9,0)+IF(Prime7!$B$8="Y",Prime7!B42*Prime7!$B$9,0)+IF(Prime8!$B$8="Y",Prime8!B42*Prime8!$B$9,0)+IF(Prime9!$B$8="Y",Prime9!B42*Prime9!$B$9,0)+IF(Prime10!$B$8="Y",Prime10!B42*Prime10!$B$9,0))/100000</f>
        <v>0</v>
      </c>
      <c r="C35" s="70">
        <f>(IF(Prime1!$B$8="Y",Prime1!C42*Prime1!$B$9,0)+IF(Prime2!$B$8="Y",Prime2!C42*Prime2!$B$9,0)+IF(Prime3!$B$8="Y",Prime3!C42*Prime3!$B$9,0)+IF(Prime4!$B$8="Y",Prime4!C42*Prime4!$B$9,0)+IF(Prime5!$B$8="Y",Prime5!C42*Prime5!$B$9,0)+IF(Prime6!$B$8="Y",Prime6!C42*Prime6!$B$9,0)+IF(Prime7!$B$8="Y",Prime7!C42*Prime7!$B$9,0)+IF(Prime8!$B$8="Y",Prime8!C42*Prime8!$B$9,0)+IF(Prime9!$B$8="Y",Prime9!C42*Prime9!$B$9,0)+IF(Prime10!$B$8="Y",Prime10!C42*Prime10!$B$9,0))/100000</f>
        <v>0</v>
      </c>
      <c r="D35" s="70">
        <f>(IF(Prime1!$B$8="Y",Prime1!D42*Prime1!$B$9,0)+IF(Prime2!$B$8="Y",Prime2!D42*Prime2!$B$9,0)+IF(Prime3!$B$8="Y",Prime3!D42*Prime3!$B$9,0)+IF(Prime4!$B$8="Y",Prime4!D42*Prime4!$B$9,0)+IF(Prime5!$B$8="Y",Prime5!D42*Prime5!$B$9,0)+IF(Prime6!$B$8="Y",Prime6!D42*Prime6!$B$9,0)+IF(Prime7!$B$8="Y",Prime7!D42*Prime7!$B$9,0)+IF(Prime8!$B$8="Y",Prime8!D42*Prime8!$B$9,0)+IF(Prime9!$B$8="Y",Prime9!D42*Prime9!$B$9,0)+IF(Prime10!$B$8="Y",Prime10!D42*Prime10!$B$9,0))/100000</f>
        <v>0</v>
      </c>
      <c r="E35" s="113">
        <f>(IF(Prime1!$B$8="Y",Prime1!E42*Prime1!$B$9,0)+IF(Prime2!$B$8="Y",Prime2!E42*Prime2!$B$9,0)+IF(Prime3!$B$8="Y",Prime3!E42*Prime3!$B$9,0)+IF(Prime4!$B$8="Y",Prime4!E42*Prime4!$B$9,0)+IF(Prime5!$B$8="Y",Prime5!E42*Prime5!$B$9,0)+IF(Prime6!$B$8="Y",Prime6!E42*Prime6!$B$9,0)+IF(Prime7!$B$8="Y",Prime7!E42*Prime7!$B$9,0)+IF(Prime8!$B$8="Y",Prime8!E42*Prime8!$B$9,0)+IF(Prime9!$B$8="Y",Prime9!E42*Prime9!$B$9,0)+IF(Prime10!$B$8="Y",Prime10!E42*Prime10!$B$9,0))/100000</f>
        <v>0</v>
      </c>
      <c r="F35" s="56" t="str">
        <f t="shared" si="7"/>
        <v>-</v>
      </c>
      <c r="G35" s="56" t="str">
        <f t="shared" si="7"/>
        <v>-</v>
      </c>
    </row>
    <row r="36" spans="1:7">
      <c r="A36" s="48" t="s">
        <v>879</v>
      </c>
      <c r="B36" s="58">
        <f>+B31-SUM(B32:B35)</f>
        <v>0</v>
      </c>
      <c r="C36" s="58">
        <f>+C31-SUM(C32:C35)</f>
        <v>0</v>
      </c>
      <c r="D36" s="58">
        <f>+D31-SUM(D32:D35)</f>
        <v>0</v>
      </c>
      <c r="E36" s="116">
        <f>+E31-SUM(E32:E35)</f>
        <v>0</v>
      </c>
      <c r="F36" s="59" t="str">
        <f>IFERROR((C36/D36)-1,"-")</f>
        <v>-</v>
      </c>
      <c r="G36" s="59" t="str">
        <f>IFERROR((D36/E36)-1,"-")</f>
        <v>-</v>
      </c>
    </row>
    <row r="37" spans="1:7">
      <c r="A37" s="60" t="s">
        <v>880</v>
      </c>
      <c r="B37" s="70">
        <f>(IF(Prime1!$B$8="Y",Prime1!B44*Prime1!$B$9,0)+IF(Prime2!$B$8="Y",Prime2!B44*Prime2!$B$9,0)+IF(Prime3!$B$8="Y",Prime3!B44*Prime3!$B$9,0)+IF(Prime4!$B$8="Y",Prime4!B44*Prime4!$B$9,0)+IF(Prime5!$B$8="Y",Prime5!B44*Prime5!$B$9,0)+IF(Prime6!$B$8="Y",Prime6!B44*Prime6!$B$9,0)+IF(Prime7!$B$8="Y",Prime7!B44*Prime7!$B$9,0)+IF(Prime8!$B$8="Y",Prime8!B44*Prime8!$B$9,0)+IF(Prime9!$B$8="Y",Prime9!B44*Prime9!$B$9,0)+IF(Prime10!$B$8="Y",Prime10!B44*Prime10!$B$9,0))/100000</f>
        <v>0</v>
      </c>
      <c r="C37" s="70">
        <f>(IF(Prime1!$B$8="Y",Prime1!C44*Prime1!$B$9,0)+IF(Prime2!$B$8="Y",Prime2!C44*Prime2!$B$9,0)+IF(Prime3!$B$8="Y",Prime3!C44*Prime3!$B$9,0)+IF(Prime4!$B$8="Y",Prime4!C44*Prime4!$B$9,0)+IF(Prime5!$B$8="Y",Prime5!C44*Prime5!$B$9,0)+IF(Prime6!$B$8="Y",Prime6!C44*Prime6!$B$9,0)+IF(Prime7!$B$8="Y",Prime7!C44*Prime7!$B$9,0)+IF(Prime8!$B$8="Y",Prime8!C44*Prime8!$B$9,0)+IF(Prime9!$B$8="Y",Prime9!C44*Prime9!$B$9,0)+IF(Prime10!$B$8="Y",Prime10!C44*Prime10!$B$9,0))/100000</f>
        <v>0</v>
      </c>
      <c r="D37" s="70">
        <f>(IF(Prime1!$B$8="Y",Prime1!D44*Prime1!$B$9,0)+IF(Prime2!$B$8="Y",Prime2!D44*Prime2!$B$9,0)+IF(Prime3!$B$8="Y",Prime3!D44*Prime3!$B$9,0)+IF(Prime4!$B$8="Y",Prime4!D44*Prime4!$B$9,0)+IF(Prime5!$B$8="Y",Prime5!D44*Prime5!$B$9,0)+IF(Prime6!$B$8="Y",Prime6!D44*Prime6!$B$9,0)+IF(Prime7!$B$8="Y",Prime7!D44*Prime7!$B$9,0)+IF(Prime8!$B$8="Y",Prime8!D44*Prime8!$B$9,0)+IF(Prime9!$B$8="Y",Prime9!D44*Prime9!$B$9,0)+IF(Prime10!$B$8="Y",Prime10!D44*Prime10!$B$9,0))/100000</f>
        <v>0</v>
      </c>
      <c r="E37" s="113">
        <f>(IF(Prime1!$B$8="Y",Prime1!E44*Prime1!$B$9,0)+IF(Prime2!$B$8="Y",Prime2!E44*Prime2!$B$9,0)+IF(Prime3!$B$8="Y",Prime3!E44*Prime3!$B$9,0)+IF(Prime4!$B$8="Y",Prime4!E44*Prime4!$B$9,0)+IF(Prime5!$B$8="Y",Prime5!E44*Prime5!$B$9,0)+IF(Prime6!$B$8="Y",Prime6!E44*Prime6!$B$9,0)+IF(Prime7!$B$8="Y",Prime7!E44*Prime7!$B$9,0)+IF(Prime8!$B$8="Y",Prime8!E44*Prime8!$B$9,0)+IF(Prime9!$B$8="Y",Prime9!E44*Prime9!$B$9,0)+IF(Prime10!$B$8="Y",Prime10!E44*Prime10!$B$9,0))/100000</f>
        <v>0</v>
      </c>
      <c r="F37" s="56" t="str">
        <f>IFERROR((C37-D37)/D37,"-")</f>
        <v>-</v>
      </c>
      <c r="G37" s="56" t="str">
        <f>IFERROR((D37-E37)/E37,"-")</f>
        <v>-</v>
      </c>
    </row>
    <row r="38" spans="1:7">
      <c r="A38" s="60" t="s">
        <v>881</v>
      </c>
      <c r="B38" s="70">
        <f>(IF(Prime1!$B$8="Y",Prime1!B45*Prime1!$B$9,0)+IF(Prime2!$B$8="Y",Prime2!B45*Prime2!$B$9,0)+IF(Prime3!$B$8="Y",Prime3!B45*Prime3!$B$9,0)+IF(Prime4!$B$8="Y",Prime4!B45*Prime4!$B$9,0)+IF(Prime5!$B$8="Y",Prime5!B45*Prime5!$B$9,0)+IF(Prime6!$B$8="Y",Prime6!B45*Prime6!$B$9,0)+IF(Prime7!$B$8="Y",Prime7!B45*Prime7!$B$9,0)+IF(Prime8!$B$8="Y",Prime8!B45*Prime8!$B$9,0)+IF(Prime9!$B$8="Y",Prime9!B45*Prime9!$B$9,0)+IF(Prime10!$B$8="Y",Prime10!B45*Prime10!$B$9,0))/100000</f>
        <v>0</v>
      </c>
      <c r="C38" s="70">
        <f>(IF(Prime1!$B$8="Y",Prime1!C45*Prime1!$B$9,0)+IF(Prime2!$B$8="Y",Prime2!C45*Prime2!$B$9,0)+IF(Prime3!$B$8="Y",Prime3!C45*Prime3!$B$9,0)+IF(Prime4!$B$8="Y",Prime4!C45*Prime4!$B$9,0)+IF(Prime5!$B$8="Y",Prime5!C45*Prime5!$B$9,0)+IF(Prime6!$B$8="Y",Prime6!C45*Prime6!$B$9,0)+IF(Prime7!$B$8="Y",Prime7!C45*Prime7!$B$9,0)+IF(Prime8!$B$8="Y",Prime8!C45*Prime8!$B$9,0)+IF(Prime9!$B$8="Y",Prime9!C45*Prime9!$B$9,0)+IF(Prime10!$B$8="Y",Prime10!C45*Prime10!$B$9,0))/100000</f>
        <v>0</v>
      </c>
      <c r="D38" s="70">
        <f>(IF(Prime1!$B$8="Y",Prime1!D45*Prime1!$B$9,0)+IF(Prime2!$B$8="Y",Prime2!D45*Prime2!$B$9,0)+IF(Prime3!$B$8="Y",Prime3!D45*Prime3!$B$9,0)+IF(Prime4!$B$8="Y",Prime4!D45*Prime4!$B$9,0)+IF(Prime5!$B$8="Y",Prime5!D45*Prime5!$B$9,0)+IF(Prime6!$B$8="Y",Prime6!D45*Prime6!$B$9,0)+IF(Prime7!$B$8="Y",Prime7!D45*Prime7!$B$9,0)+IF(Prime8!$B$8="Y",Prime8!D45*Prime8!$B$9,0)+IF(Prime9!$B$8="Y",Prime9!D45*Prime9!$B$9,0)+IF(Prime10!$B$8="Y",Prime10!D45*Prime10!$B$9,0))/100000</f>
        <v>0</v>
      </c>
      <c r="E38" s="113">
        <f>(IF(Prime1!$B$8="Y",Prime1!E45*Prime1!$B$9,0)+IF(Prime2!$B$8="Y",Prime2!E45*Prime2!$B$9,0)+IF(Prime3!$B$8="Y",Prime3!E45*Prime3!$B$9,0)+IF(Prime4!$B$8="Y",Prime4!E45*Prime4!$B$9,0)+IF(Prime5!$B$8="Y",Prime5!E45*Prime5!$B$9,0)+IF(Prime6!$B$8="Y",Prime6!E45*Prime6!$B$9,0)+IF(Prime7!$B$8="Y",Prime7!E45*Prime7!$B$9,0)+IF(Prime8!$B$8="Y",Prime8!E45*Prime8!$B$9,0)+IF(Prime9!$B$8="Y",Prime9!E45*Prime9!$B$9,0)+IF(Prime10!$B$8="Y",Prime10!E45*Prime10!$B$9,0))/100000</f>
        <v>0</v>
      </c>
      <c r="F38" s="56" t="str">
        <f>IFERROR((C38-D38)/D38,"-")</f>
        <v>-</v>
      </c>
      <c r="G38" s="56" t="str">
        <f>IFERROR((D38-E38)/E38,"-")</f>
        <v>-</v>
      </c>
    </row>
    <row r="39" spans="1:7">
      <c r="A39" s="60" t="s">
        <v>882</v>
      </c>
      <c r="B39" s="70">
        <f>(IF(Prime1!$B$8="Y",Prime1!B46*Prime1!$B$9,0)+IF(Prime2!$B$8="Y",Prime2!B46*Prime2!$B$9,0)+IF(Prime3!$B$8="Y",Prime3!B46*Prime3!$B$9,0)+IF(Prime4!$B$8="Y",Prime4!B46*Prime4!$B$9,0)+IF(Prime5!$B$8="Y",Prime5!B46*Prime5!$B$9,0)+IF(Prime6!$B$8="Y",Prime6!B46*Prime6!$B$9,0)+IF(Prime7!$B$8="Y",Prime7!B46*Prime7!$B$9,0)+IF(Prime8!$B$8="Y",Prime8!B46*Prime8!$B$9,0)+IF(Prime9!$B$8="Y",Prime9!B46*Prime9!$B$9,0)+IF(Prime10!$B$8="Y",Prime10!B46*Prime10!$B$9,0))/100000</f>
        <v>0</v>
      </c>
      <c r="C39" s="70">
        <f>(IF(Prime1!$B$8="Y",Prime1!C46*Prime1!$B$9,0)+IF(Prime2!$B$8="Y",Prime2!C46*Prime2!$B$9,0)+IF(Prime3!$B$8="Y",Prime3!C46*Prime3!$B$9,0)+IF(Prime4!$B$8="Y",Prime4!C46*Prime4!$B$9,0)+IF(Prime5!$B$8="Y",Prime5!C46*Prime5!$B$9,0)+IF(Prime6!$B$8="Y",Prime6!C46*Prime6!$B$9,0)+IF(Prime7!$B$8="Y",Prime7!C46*Prime7!$B$9,0)+IF(Prime8!$B$8="Y",Prime8!C46*Prime8!$B$9,0)+IF(Prime9!$B$8="Y",Prime9!C46*Prime9!$B$9,0)+IF(Prime10!$B$8="Y",Prime10!C46*Prime10!$B$9,0))/100000</f>
        <v>0</v>
      </c>
      <c r="D39" s="70">
        <f>(IF(Prime1!$B$8="Y",Prime1!D46*Prime1!$B$9,0)+IF(Prime2!$B$8="Y",Prime2!D46*Prime2!$B$9,0)+IF(Prime3!$B$8="Y",Prime3!D46*Prime3!$B$9,0)+IF(Prime4!$B$8="Y",Prime4!D46*Prime4!$B$9,0)+IF(Prime5!$B$8="Y",Prime5!D46*Prime5!$B$9,0)+IF(Prime6!$B$8="Y",Prime6!D46*Prime6!$B$9,0)+IF(Prime7!$B$8="Y",Prime7!D46*Prime7!$B$9,0)+IF(Prime8!$B$8="Y",Prime8!D46*Prime8!$B$9,0)+IF(Prime9!$B$8="Y",Prime9!D46*Prime9!$B$9,0)+IF(Prime10!$B$8="Y",Prime10!D46*Prime10!$B$9,0))/100000</f>
        <v>0</v>
      </c>
      <c r="E39" s="113">
        <f>(IF(Prime1!$B$8="Y",Prime1!E46*Prime1!$B$9,0)+IF(Prime2!$B$8="Y",Prime2!E46*Prime2!$B$9,0)+IF(Prime3!$B$8="Y",Prime3!E46*Prime3!$B$9,0)+IF(Prime4!$B$8="Y",Prime4!E46*Prime4!$B$9,0)+IF(Prime5!$B$8="Y",Prime5!E46*Prime5!$B$9,0)+IF(Prime6!$B$8="Y",Prime6!E46*Prime6!$B$9,0)+IF(Prime7!$B$8="Y",Prime7!E46*Prime7!$B$9,0)+IF(Prime8!$B$8="Y",Prime8!E46*Prime8!$B$9,0)+IF(Prime9!$B$8="Y",Prime9!E46*Prime9!$B$9,0)+IF(Prime10!$B$8="Y",Prime10!E46*Prime10!$B$9,0))/100000</f>
        <v>0</v>
      </c>
      <c r="F39" s="56" t="str">
        <f t="shared" ref="F39:G49" si="8">IFERROR((C39-D39)/D39,"-")</f>
        <v>-</v>
      </c>
      <c r="G39" s="56" t="str">
        <f t="shared" si="8"/>
        <v>-</v>
      </c>
    </row>
    <row r="40" spans="1:7">
      <c r="A40" s="60" t="s">
        <v>883</v>
      </c>
      <c r="B40" s="70">
        <f>(IF(Prime1!$B$8="Y",Prime1!B47*Prime1!$B$9,0)+IF(Prime2!$B$8="Y",Prime2!B47*Prime2!$B$9,0)+IF(Prime3!$B$8="Y",Prime3!B47*Prime3!$B$9,0)+IF(Prime4!$B$8="Y",Prime4!B47*Prime4!$B$9,0)+IF(Prime5!$B$8="Y",Prime5!B47*Prime5!$B$9,0)+IF(Prime6!$B$8="Y",Prime6!B47*Prime6!$B$9,0)+IF(Prime7!$B$8="Y",Prime7!B47*Prime7!$B$9,0)+IF(Prime8!$B$8="Y",Prime8!B47*Prime8!$B$9,0)+IF(Prime9!$B$8="Y",Prime9!B47*Prime9!$B$9,0)+IF(Prime10!$B$8="Y",Prime10!B47*Prime10!$B$9,0))/100000</f>
        <v>0</v>
      </c>
      <c r="C40" s="70">
        <f>(IF(Prime1!$B$8="Y",Prime1!C47*Prime1!$B$9,0)+IF(Prime2!$B$8="Y",Prime2!C47*Prime2!$B$9,0)+IF(Prime3!$B$8="Y",Prime3!C47*Prime3!$B$9,0)+IF(Prime4!$B$8="Y",Prime4!C47*Prime4!$B$9,0)+IF(Prime5!$B$8="Y",Prime5!C47*Prime5!$B$9,0)+IF(Prime6!$B$8="Y",Prime6!C47*Prime6!$B$9,0)+IF(Prime7!$B$8="Y",Prime7!C47*Prime7!$B$9,0)+IF(Prime8!$B$8="Y",Prime8!C47*Prime8!$B$9,0)+IF(Prime9!$B$8="Y",Prime9!C47*Prime9!$B$9,0)+IF(Prime10!$B$8="Y",Prime10!C47*Prime10!$B$9,0))/100000</f>
        <v>0</v>
      </c>
      <c r="D40" s="70">
        <f>(IF(Prime1!$B$8="Y",Prime1!D47*Prime1!$B$9,0)+IF(Prime2!$B$8="Y",Prime2!D47*Prime2!$B$9,0)+IF(Prime3!$B$8="Y",Prime3!D47*Prime3!$B$9,0)+IF(Prime4!$B$8="Y",Prime4!D47*Prime4!$B$9,0)+IF(Prime5!$B$8="Y",Prime5!D47*Prime5!$B$9,0)+IF(Prime6!$B$8="Y",Prime6!D47*Prime6!$B$9,0)+IF(Prime7!$B$8="Y",Prime7!D47*Prime7!$B$9,0)+IF(Prime8!$B$8="Y",Prime8!D47*Prime8!$B$9,0)+IF(Prime9!$B$8="Y",Prime9!D47*Prime9!$B$9,0)+IF(Prime10!$B$8="Y",Prime10!D47*Prime10!$B$9,0))/100000</f>
        <v>0</v>
      </c>
      <c r="E40" s="113">
        <f>(IF(Prime1!$B$8="Y",Prime1!E47*Prime1!$B$9,0)+IF(Prime2!$B$8="Y",Prime2!E47*Prime2!$B$9,0)+IF(Prime3!$B$8="Y",Prime3!E47*Prime3!$B$9,0)+IF(Prime4!$B$8="Y",Prime4!E47*Prime4!$B$9,0)+IF(Prime5!$B$8="Y",Prime5!E47*Prime5!$B$9,0)+IF(Prime6!$B$8="Y",Prime6!E47*Prime6!$B$9,0)+IF(Prime7!$B$8="Y",Prime7!E47*Prime7!$B$9,0)+IF(Prime8!$B$8="Y",Prime8!E47*Prime8!$B$9,0)+IF(Prime9!$B$8="Y",Prime9!E47*Prime9!$B$9,0)+IF(Prime10!$B$8="Y",Prime10!E47*Prime10!$B$9,0))/100000</f>
        <v>0</v>
      </c>
      <c r="F40" s="56" t="str">
        <f t="shared" si="8"/>
        <v>-</v>
      </c>
      <c r="G40" s="56" t="str">
        <f t="shared" si="8"/>
        <v>-</v>
      </c>
    </row>
    <row r="41" spans="1:7">
      <c r="A41" s="60" t="s">
        <v>884</v>
      </c>
      <c r="B41" s="70">
        <f>(IF(Prime1!$B$8="Y",Prime1!B48*Prime1!$B$9,0)+IF(Prime2!$B$8="Y",Prime2!B48*Prime2!$B$9,0)+IF(Prime3!$B$8="Y",Prime3!B48*Prime3!$B$9,0)+IF(Prime4!$B$8="Y",Prime4!B48*Prime4!$B$9,0)+IF(Prime5!$B$8="Y",Prime5!B48*Prime5!$B$9,0)+IF(Prime6!$B$8="Y",Prime6!B48*Prime6!$B$9,0)+IF(Prime7!$B$8="Y",Prime7!B48*Prime7!$B$9,0)+IF(Prime8!$B$8="Y",Prime8!B48*Prime8!$B$9,0)+IF(Prime9!$B$8="Y",Prime9!B48*Prime9!$B$9,0)+IF(Prime10!$B$8="Y",Prime10!B48*Prime10!$B$9,0))/100000</f>
        <v>0</v>
      </c>
      <c r="C41" s="70">
        <f>(IF(Prime1!$B$8="Y",Prime1!C48*Prime1!$B$9,0)+IF(Prime2!$B$8="Y",Prime2!C48*Prime2!$B$9,0)+IF(Prime3!$B$8="Y",Prime3!C48*Prime3!$B$9,0)+IF(Prime4!$B$8="Y",Prime4!C48*Prime4!$B$9,0)+IF(Prime5!$B$8="Y",Prime5!C48*Prime5!$B$9,0)+IF(Prime6!$B$8="Y",Prime6!C48*Prime6!$B$9,0)+IF(Prime7!$B$8="Y",Prime7!C48*Prime7!$B$9,0)+IF(Prime8!$B$8="Y",Prime8!C48*Prime8!$B$9,0)+IF(Prime9!$B$8="Y",Prime9!C48*Prime9!$B$9,0)+IF(Prime10!$B$8="Y",Prime10!C48*Prime10!$B$9,0))/100000</f>
        <v>0</v>
      </c>
      <c r="D41" s="70">
        <f>(IF(Prime1!$B$8="Y",Prime1!D48*Prime1!$B$9,0)+IF(Prime2!$B$8="Y",Prime2!D48*Prime2!$B$9,0)+IF(Prime3!$B$8="Y",Prime3!D48*Prime3!$B$9,0)+IF(Prime4!$B$8="Y",Prime4!D48*Prime4!$B$9,0)+IF(Prime5!$B$8="Y",Prime5!D48*Prime5!$B$9,0)+IF(Prime6!$B$8="Y",Prime6!D48*Prime6!$B$9,0)+IF(Prime7!$B$8="Y",Prime7!D48*Prime7!$B$9,0)+IF(Prime8!$B$8="Y",Prime8!D48*Prime8!$B$9,0)+IF(Prime9!$B$8="Y",Prime9!D48*Prime9!$B$9,0)+IF(Prime10!$B$8="Y",Prime10!D48*Prime10!$B$9,0))/100000</f>
        <v>0</v>
      </c>
      <c r="E41" s="113">
        <f>(IF(Prime1!$B$8="Y",Prime1!E48*Prime1!$B$9,0)+IF(Prime2!$B$8="Y",Prime2!E48*Prime2!$B$9,0)+IF(Prime3!$B$8="Y",Prime3!E48*Prime3!$B$9,0)+IF(Prime4!$B$8="Y",Prime4!E48*Prime4!$B$9,0)+IF(Prime5!$B$8="Y",Prime5!E48*Prime5!$B$9,0)+IF(Prime6!$B$8="Y",Prime6!E48*Prime6!$B$9,0)+IF(Prime7!$B$8="Y",Prime7!E48*Prime7!$B$9,0)+IF(Prime8!$B$8="Y",Prime8!E48*Prime8!$B$9,0)+IF(Prime9!$B$8="Y",Prime9!E48*Prime9!$B$9,0)+IF(Prime10!$B$8="Y",Prime10!E48*Prime10!$B$9,0))/100000</f>
        <v>0</v>
      </c>
      <c r="F41" s="56" t="str">
        <f t="shared" si="8"/>
        <v>-</v>
      </c>
      <c r="G41" s="56" t="str">
        <f t="shared" si="8"/>
        <v>-</v>
      </c>
    </row>
    <row r="42" spans="1:7">
      <c r="A42" s="48" t="s">
        <v>741</v>
      </c>
      <c r="B42" s="58">
        <f>+B36-SUM(B37:B41)</f>
        <v>0</v>
      </c>
      <c r="C42" s="58">
        <f>+C36-SUM(C37:C41)</f>
        <v>0</v>
      </c>
      <c r="D42" s="58">
        <f>+D36-SUM(D37:D41)</f>
        <v>0</v>
      </c>
      <c r="E42" s="116">
        <f>+E36-SUM(E37:E41)</f>
        <v>0</v>
      </c>
      <c r="F42" s="59" t="str">
        <f t="shared" si="8"/>
        <v>-</v>
      </c>
      <c r="G42" s="59" t="str">
        <f t="shared" si="8"/>
        <v>-</v>
      </c>
    </row>
    <row r="43" spans="1:7">
      <c r="A43" s="62" t="s">
        <v>742</v>
      </c>
      <c r="B43" s="70">
        <f>(IF(Prime1!$B$8="Y",Prime1!B50*Prime1!$B$9,0)+IF(Prime2!$B$8="Y",Prime2!B50*Prime2!$B$9,0)+IF(Prime3!$B$8="Y",Prime3!B50*Prime3!$B$9,0)+IF(Prime4!$B$8="Y",Prime4!B50*Prime4!$B$9,0)+IF(Prime5!$B$8="Y",Prime5!B50*Prime5!$B$9,0)+IF(Prime6!$B$8="Y",Prime6!B50*Prime6!$B$9,0)+IF(Prime7!$B$8="Y",Prime7!B50*Prime7!$B$9,0)+IF(Prime8!$B$8="Y",Prime8!B50*Prime8!$B$9,0)+IF(Prime9!$B$8="Y",Prime9!B50*Prime9!$B$9,0)+IF(Prime10!$B$8="Y",Prime10!B50*Prime10!$B$9,0))/100000</f>
        <v>0</v>
      </c>
      <c r="C43" s="70">
        <f>(IF(Prime1!$B$8="Y",Prime1!C50*Prime1!$B$9,0)+IF(Prime2!$B$8="Y",Prime2!C50*Prime2!$B$9,0)+IF(Prime3!$B$8="Y",Prime3!C50*Prime3!$B$9,0)+IF(Prime4!$B$8="Y",Prime4!C50*Prime4!$B$9,0)+IF(Prime5!$B$8="Y",Prime5!C50*Prime5!$B$9,0)+IF(Prime6!$B$8="Y",Prime6!C50*Prime6!$B$9,0)+IF(Prime7!$B$8="Y",Prime7!C50*Prime7!$B$9,0)+IF(Prime8!$B$8="Y",Prime8!C50*Prime8!$B$9,0)+IF(Prime9!$B$8="Y",Prime9!C50*Prime9!$B$9,0)+IF(Prime10!$B$8="Y",Prime10!C50*Prime10!$B$9,0))/100000</f>
        <v>0</v>
      </c>
      <c r="D43" s="70">
        <f>(IF(Prime1!$B$8="Y",Prime1!D50*Prime1!$B$9,0)+IF(Prime2!$B$8="Y",Prime2!D50*Prime2!$B$9,0)+IF(Prime3!$B$8="Y",Prime3!D50*Prime3!$B$9,0)+IF(Prime4!$B$8="Y",Prime4!D50*Prime4!$B$9,0)+IF(Prime5!$B$8="Y",Prime5!D50*Prime5!$B$9,0)+IF(Prime6!$B$8="Y",Prime6!D50*Prime6!$B$9,0)+IF(Prime7!$B$8="Y",Prime7!D50*Prime7!$B$9,0)+IF(Prime8!$B$8="Y",Prime8!D50*Prime8!$B$9,0)+IF(Prime9!$B$8="Y",Prime9!D50*Prime9!$B$9,0)+IF(Prime10!$B$8="Y",Prime10!D50*Prime10!$B$9,0))/100000</f>
        <v>0</v>
      </c>
      <c r="E43" s="113">
        <f>(IF(Prime1!$B$8="Y",Prime1!E50*Prime1!$B$9,0)+IF(Prime2!$B$8="Y",Prime2!E50*Prime2!$B$9,0)+IF(Prime3!$B$8="Y",Prime3!E50*Prime3!$B$9,0)+IF(Prime4!$B$8="Y",Prime4!E50*Prime4!$B$9,0)+IF(Prime5!$B$8="Y",Prime5!E50*Prime5!$B$9,0)+IF(Prime6!$B$8="Y",Prime6!E50*Prime6!$B$9,0)+IF(Prime7!$B$8="Y",Prime7!E50*Prime7!$B$9,0)+IF(Prime8!$B$8="Y",Prime8!E50*Prime8!$B$9,0)+IF(Prime9!$B$8="Y",Prime9!E50*Prime9!$B$9,0)+IF(Prime10!$B$8="Y",Prime10!E50*Prime10!$B$9,0))/100000</f>
        <v>0</v>
      </c>
      <c r="F43" s="56" t="str">
        <f t="shared" si="8"/>
        <v>-</v>
      </c>
      <c r="G43" s="56" t="str">
        <f t="shared" si="8"/>
        <v>-</v>
      </c>
    </row>
    <row r="44" spans="1:7">
      <c r="A44" s="48" t="s">
        <v>743</v>
      </c>
      <c r="B44" s="58">
        <f>+B42-B43</f>
        <v>0</v>
      </c>
      <c r="C44" s="58">
        <f>+C42-C43</f>
        <v>0</v>
      </c>
      <c r="D44" s="58">
        <f>+D42-D43</f>
        <v>0</v>
      </c>
      <c r="E44" s="116">
        <f>+E42-E43</f>
        <v>0</v>
      </c>
      <c r="F44" s="59" t="str">
        <f t="shared" si="8"/>
        <v>-</v>
      </c>
      <c r="G44" s="59" t="str">
        <f t="shared" si="8"/>
        <v>-</v>
      </c>
    </row>
    <row r="45" spans="1:7">
      <c r="A45" s="62" t="s">
        <v>885</v>
      </c>
      <c r="B45" s="70">
        <f>(IF(Prime1!$B$8="Y",Prime1!B52*Prime1!$B$9,0)+IF(Prime2!$B$8="Y",Prime2!B52*Prime2!$B$9,0)+IF(Prime3!$B$8="Y",Prime3!B52*Prime3!$B$9,0)+IF(Prime4!$B$8="Y",Prime4!B52*Prime4!$B$9,0)+IF(Prime5!$B$8="Y",Prime5!B52*Prime5!$B$9,0)+IF(Prime6!$B$8="Y",Prime6!B52*Prime6!$B$9,0)+IF(Prime7!$B$8="Y",Prime7!B52*Prime7!$B$9,0)+IF(Prime8!$B$8="Y",Prime8!B52*Prime8!$B$9,0)+IF(Prime9!$B$8="Y",Prime9!B52*Prime9!$B$9,0)+IF(Prime10!$B$8="Y",Prime10!B52*Prime10!$B$9,0))/100000</f>
        <v>0</v>
      </c>
      <c r="C45" s="70">
        <f>(IF(Prime1!$B$8="Y",Prime1!C52*Prime1!$B$9,0)+IF(Prime2!$B$8="Y",Prime2!C52*Prime2!$B$9,0)+IF(Prime3!$B$8="Y",Prime3!C52*Prime3!$B$9,0)+IF(Prime4!$B$8="Y",Prime4!C52*Prime4!$B$9,0)+IF(Prime5!$B$8="Y",Prime5!C52*Prime5!$B$9,0)+IF(Prime6!$B$8="Y",Prime6!C52*Prime6!$B$9,0)+IF(Prime7!$B$8="Y",Prime7!C52*Prime7!$B$9,0)+IF(Prime8!$B$8="Y",Prime8!C52*Prime8!$B$9,0)+IF(Prime9!$B$8="Y",Prime9!C52*Prime9!$B$9,0)+IF(Prime10!$B$8="Y",Prime10!C52*Prime10!$B$9,0))/100000</f>
        <v>0</v>
      </c>
      <c r="D45" s="70">
        <f>(IF(Prime1!$B$8="Y",Prime1!D52*Prime1!$B$9,0)+IF(Prime2!$B$8="Y",Prime2!D52*Prime2!$B$9,0)+IF(Prime3!$B$8="Y",Prime3!D52*Prime3!$B$9,0)+IF(Prime4!$B$8="Y",Prime4!D52*Prime4!$B$9,0)+IF(Prime5!$B$8="Y",Prime5!D52*Prime5!$B$9,0)+IF(Prime6!$B$8="Y",Prime6!D52*Prime6!$B$9,0)+IF(Prime7!$B$8="Y",Prime7!D52*Prime7!$B$9,0)+IF(Prime8!$B$8="Y",Prime8!D52*Prime8!$B$9,0)+IF(Prime9!$B$8="Y",Prime9!D52*Prime9!$B$9,0)+IF(Prime10!$B$8="Y",Prime10!D52*Prime10!$B$9,0))/100000</f>
        <v>0</v>
      </c>
      <c r="E45" s="113">
        <f>(IF(Prime1!$B$8="Y",Prime1!E52*Prime1!$B$9,0)+IF(Prime2!$B$8="Y",Prime2!E52*Prime2!$B$9,0)+IF(Prime3!$B$8="Y",Prime3!E52*Prime3!$B$9,0)+IF(Prime4!$B$8="Y",Prime4!E52*Prime4!$B$9,0)+IF(Prime5!$B$8="Y",Prime5!E52*Prime5!$B$9,0)+IF(Prime6!$B$8="Y",Prime6!E52*Prime6!$B$9,0)+IF(Prime7!$B$8="Y",Prime7!E52*Prime7!$B$9,0)+IF(Prime8!$B$8="Y",Prime8!E52*Prime8!$B$9,0)+IF(Prime9!$B$8="Y",Prime9!E52*Prime9!$B$9,0)+IF(Prime10!$B$8="Y",Prime10!E52*Prime10!$B$9,0))/100000</f>
        <v>0</v>
      </c>
      <c r="F45" s="56" t="str">
        <f t="shared" si="8"/>
        <v>-</v>
      </c>
      <c r="G45" s="56" t="str">
        <f t="shared" si="8"/>
        <v>-</v>
      </c>
    </row>
    <row r="46" spans="1:7">
      <c r="A46" s="62" t="s">
        <v>886</v>
      </c>
      <c r="B46" s="70">
        <f>(IF(Prime1!$B$8="Y",Prime1!B53*Prime1!$B$9,0)+IF(Prime2!$B$8="Y",Prime2!B53*Prime2!$B$9,0)+IF(Prime3!$B$8="Y",Prime3!B53*Prime3!$B$9,0)+IF(Prime4!$B$8="Y",Prime4!B53*Prime4!$B$9,0)+IF(Prime5!$B$8="Y",Prime5!B53*Prime5!$B$9,0)+IF(Prime6!$B$8="Y",Prime6!B53*Prime6!$B$9,0)+IF(Prime7!$B$8="Y",Prime7!B53*Prime7!$B$9,0)+IF(Prime8!$B$8="Y",Prime8!B53*Prime8!$B$9,0)+IF(Prime9!$B$8="Y",Prime9!B53*Prime9!$B$9,0)+IF(Prime10!$B$8="Y",Prime10!B53*Prime10!$B$9,0))/100000</f>
        <v>0</v>
      </c>
      <c r="C46" s="70">
        <f>(IF(Prime1!$B$8="Y",Prime1!C53*Prime1!$B$9,0)+IF(Prime2!$B$8="Y",Prime2!C53*Prime2!$B$9,0)+IF(Prime3!$B$8="Y",Prime3!C53*Prime3!$B$9,0)+IF(Prime4!$B$8="Y",Prime4!C53*Prime4!$B$9,0)+IF(Prime5!$B$8="Y",Prime5!C53*Prime5!$B$9,0)+IF(Prime6!$B$8="Y",Prime6!C53*Prime6!$B$9,0)+IF(Prime7!$B$8="Y",Prime7!C53*Prime7!$B$9,0)+IF(Prime8!$B$8="Y",Prime8!C53*Prime8!$B$9,0)+IF(Prime9!$B$8="Y",Prime9!C53*Prime9!$B$9,0)+IF(Prime10!$B$8="Y",Prime10!C53*Prime10!$B$9,0))/100000</f>
        <v>0</v>
      </c>
      <c r="D46" s="70">
        <f>(IF(Prime1!$B$8="Y",Prime1!D53*Prime1!$B$9,0)+IF(Prime2!$B$8="Y",Prime2!D53*Prime2!$B$9,0)+IF(Prime3!$B$8="Y",Prime3!D53*Prime3!$B$9,0)+IF(Prime4!$B$8="Y",Prime4!D53*Prime4!$B$9,0)+IF(Prime5!$B$8="Y",Prime5!D53*Prime5!$B$9,0)+IF(Prime6!$B$8="Y",Prime6!D53*Prime6!$B$9,0)+IF(Prime7!$B$8="Y",Prime7!D53*Prime7!$B$9,0)+IF(Prime8!$B$8="Y",Prime8!D53*Prime8!$B$9,0)+IF(Prime9!$B$8="Y",Prime9!D53*Prime9!$B$9,0)+IF(Prime10!$B$8="Y",Prime10!D53*Prime10!$B$9,0))/100000</f>
        <v>0</v>
      </c>
      <c r="E46" s="113">
        <f>(IF(Prime1!$B$8="Y",Prime1!E53*Prime1!$B$9,0)+IF(Prime2!$B$8="Y",Prime2!E53*Prime2!$B$9,0)+IF(Prime3!$B$8="Y",Prime3!E53*Prime3!$B$9,0)+IF(Prime4!$B$8="Y",Prime4!E53*Prime4!$B$9,0)+IF(Prime5!$B$8="Y",Prime5!E53*Prime5!$B$9,0)+IF(Prime6!$B$8="Y",Prime6!E53*Prime6!$B$9,0)+IF(Prime7!$B$8="Y",Prime7!E53*Prime7!$B$9,0)+IF(Prime8!$B$8="Y",Prime8!E53*Prime8!$B$9,0)+IF(Prime9!$B$8="Y",Prime9!E53*Prime9!$B$9,0)+IF(Prime10!$B$8="Y",Prime10!E53*Prime10!$B$9,0))/100000</f>
        <v>0</v>
      </c>
      <c r="F46" s="56" t="str">
        <f t="shared" si="8"/>
        <v>-</v>
      </c>
      <c r="G46" s="56" t="str">
        <f t="shared" si="8"/>
        <v>-</v>
      </c>
    </row>
    <row r="47" spans="1:7">
      <c r="A47" s="48" t="s">
        <v>749</v>
      </c>
      <c r="B47" s="58">
        <f>+B44-SUM(B45:B46)</f>
        <v>0</v>
      </c>
      <c r="C47" s="58">
        <f>+C44-SUM(C45:C46)</f>
        <v>0</v>
      </c>
      <c r="D47" s="58">
        <f>+D44-SUM(D45:D46)</f>
        <v>0</v>
      </c>
      <c r="E47" s="116">
        <f>+E44-SUM(E45:E46)</f>
        <v>0</v>
      </c>
      <c r="F47" s="59" t="str">
        <f t="shared" si="8"/>
        <v>-</v>
      </c>
      <c r="G47" s="59" t="str">
        <f t="shared" si="8"/>
        <v>-</v>
      </c>
    </row>
    <row r="48" spans="1:7">
      <c r="A48" s="48" t="s">
        <v>887</v>
      </c>
      <c r="B48" s="58">
        <f>+B44+B41+B39+B32+B40</f>
        <v>0</v>
      </c>
      <c r="C48" s="58">
        <f>+C44+C41+C39+C32+C40</f>
        <v>0</v>
      </c>
      <c r="D48" s="58">
        <f>+D44+D41+D39+D32+D40</f>
        <v>0</v>
      </c>
      <c r="E48" s="116">
        <f>+E44+E41+E39+E32+E40</f>
        <v>0</v>
      </c>
      <c r="F48" s="59" t="str">
        <f t="shared" si="8"/>
        <v>-</v>
      </c>
      <c r="G48" s="59" t="str">
        <f t="shared" si="8"/>
        <v>-</v>
      </c>
    </row>
    <row r="49" spans="1:7">
      <c r="A49" s="48" t="s">
        <v>888</v>
      </c>
      <c r="B49" s="58">
        <f>B31-B43</f>
        <v>0</v>
      </c>
      <c r="C49" s="58">
        <f>C31-C43</f>
        <v>0</v>
      </c>
      <c r="D49" s="58">
        <f>D31-D43</f>
        <v>0</v>
      </c>
      <c r="E49" s="116">
        <f>E31-E43</f>
        <v>0</v>
      </c>
      <c r="F49" s="59" t="str">
        <f t="shared" si="8"/>
        <v>-</v>
      </c>
      <c r="G49" s="59" t="str">
        <f t="shared" si="8"/>
        <v>-</v>
      </c>
    </row>
    <row r="50" spans="1:7" ht="12.75" customHeight="1">
      <c r="A50" s="63"/>
      <c r="B50" s="47" t="s">
        <v>716</v>
      </c>
      <c r="C50" s="47"/>
      <c r="D50" s="47"/>
      <c r="E50" s="47"/>
      <c r="F50" s="64"/>
      <c r="G50" s="64"/>
    </row>
    <row r="51" spans="1:7" ht="38.25">
      <c r="A51" s="48" t="s">
        <v>750</v>
      </c>
      <c r="B51" s="117" t="str">
        <f>Prime1!B58</f>
        <v>Provisionals</v>
      </c>
      <c r="C51" s="65" t="str">
        <f>Prime1!C58</f>
        <v>31/03/2024</v>
      </c>
      <c r="D51" s="65" t="str">
        <f>Prime1!D58</f>
        <v>31/03/2023</v>
      </c>
      <c r="E51" s="66" t="str">
        <f>Prime1!E58</f>
        <v>31/03/2022</v>
      </c>
      <c r="F51" s="52" t="s">
        <v>718</v>
      </c>
      <c r="G51" s="52" t="s">
        <v>719</v>
      </c>
    </row>
    <row r="52" spans="1:7">
      <c r="A52" s="60" t="s">
        <v>889</v>
      </c>
      <c r="B52" s="70">
        <f>(IF(Prime1!$B$8="Y",Prime1!B59*Prime1!$B$9,0)+IF(Prime2!$B$8="Y",Prime2!B59*Prime2!$B$9,0)+IF(Prime3!$B$8="Y",Prime3!B59*Prime3!$B$9,0)+IF(Prime4!$B$8="Y",Prime4!B59*Prime4!$B$9,0)+IF(Prime5!$B$8="Y",Prime5!B59*Prime5!$B$9,0)+IF(Prime6!$B$8="Y",Prime6!B59*Prime6!$B$9,0)+IF(Prime7!$B$8="Y",Prime7!B59*Prime7!$B$9,0)+IF(Prime8!$B$8="Y",Prime8!B59*Prime8!$B$9,0)+IF(Prime9!$B$8="Y",Prime9!B59*Prime9!$B$9,0)+IF(Prime10!$B$8="Y",Prime10!B59*Prime10!$B$9,0))/100000</f>
        <v>0</v>
      </c>
      <c r="C52" s="70">
        <f>(IF(Prime1!$B$8="Y",Prime1!C59*Prime1!$B$9,0)+IF(Prime2!$B$8="Y",Prime2!C59*Prime2!$B$9,0)+IF(Prime3!$B$8="Y",Prime3!C59*Prime3!$B$9,0)+IF(Prime4!$B$8="Y",Prime4!C59*Prime4!$B$9,0)+IF(Prime5!$B$8="Y",Prime5!C59*Prime5!$B$9,0)+IF(Prime6!$B$8="Y",Prime6!C59*Prime6!$B$9,0)+IF(Prime7!$B$8="Y",Prime7!C59*Prime7!$B$9,0)+IF(Prime8!$B$8="Y",Prime8!C59*Prime8!$B$9,0)+IF(Prime9!$B$8="Y",Prime9!C59*Prime9!$B$9,0)+IF(Prime10!$B$8="Y",Prime10!C59*Prime10!$B$9,0))/100000</f>
        <v>0</v>
      </c>
      <c r="D52" s="70">
        <f>(IF(Prime1!$B$8="Y",Prime1!D59*Prime1!$B$9,0)+IF(Prime2!$B$8="Y",Prime2!D59*Prime2!$B$9,0)+IF(Prime3!$B$8="Y",Prime3!D59*Prime3!$B$9,0)+IF(Prime4!$B$8="Y",Prime4!D59*Prime4!$B$9,0)+IF(Prime5!$B$8="Y",Prime5!D59*Prime5!$B$9,0)+IF(Prime6!$B$8="Y",Prime6!D59*Prime6!$B$9,0)+IF(Prime7!$B$8="Y",Prime7!D59*Prime7!$B$9,0)+IF(Prime8!$B$8="Y",Prime8!D59*Prime8!$B$9,0)+IF(Prime9!$B$8="Y",Prime9!D59*Prime9!$B$9,0)+IF(Prime10!$B$8="Y",Prime10!D59*Prime10!$B$9,0))/100000</f>
        <v>0</v>
      </c>
      <c r="E52" s="113">
        <f>(IF(Prime1!$B$8="Y",Prime1!E59*Prime1!$B$9,0)+IF(Prime2!$B$8="Y",Prime2!E59*Prime2!$B$9,0)+IF(Prime3!$B$8="Y",Prime3!E59*Prime3!$B$9,0)+IF(Prime4!$B$8="Y",Prime4!E59*Prime4!$B$9,0)+IF(Prime5!$B$8="Y",Prime5!E59*Prime5!$B$9,0)+IF(Prime6!$B$8="Y",Prime6!E59*Prime6!$B$9,0)+IF(Prime7!$B$8="Y",Prime7!E59*Prime7!$B$9,0)+IF(Prime8!$B$8="Y",Prime8!E59*Prime8!$B$9,0)+IF(Prime9!$B$8="Y",Prime9!E59*Prime9!$B$9,0)+IF(Prime10!$B$8="Y",Prime10!E59*Prime10!$B$9,0))/100000</f>
        <v>0</v>
      </c>
      <c r="F52" s="56" t="str">
        <f t="shared" ref="F52:G91" si="9">IFERROR((C52-D52)/D52,"-")</f>
        <v>-</v>
      </c>
      <c r="G52" s="56" t="str">
        <f t="shared" si="9"/>
        <v>-</v>
      </c>
    </row>
    <row r="53" spans="1:7">
      <c r="A53" s="60" t="s">
        <v>890</v>
      </c>
      <c r="B53" s="70">
        <f>(IF(Prime1!$B$8="Y",Prime1!B60*Prime1!$B$9,0)+IF(Prime2!$B$8="Y",Prime2!B60*Prime2!$B$9,0)+IF(Prime3!$B$8="Y",Prime3!B60*Prime3!$B$9,0)+IF(Prime4!$B$8="Y",Prime4!B60*Prime4!$B$9,0)+IF(Prime5!$B$8="Y",Prime5!B60*Prime5!$B$9,0)+IF(Prime6!$B$8="Y",Prime6!B60*Prime6!$B$9,0)+IF(Prime7!$B$8="Y",Prime7!B60*Prime7!$B$9,0)+IF(Prime8!$B$8="Y",Prime8!B60*Prime8!$B$9,0)+IF(Prime9!$B$8="Y",Prime9!B60*Prime9!$B$9,0)+IF(Prime10!$B$8="Y",Prime10!B60*Prime10!$B$9,0))/100000</f>
        <v>0</v>
      </c>
      <c r="C53" s="70">
        <f>(IF(Prime1!$B$8="Y",Prime1!C60*Prime1!$B$9,0)+IF(Prime2!$B$8="Y",Prime2!C60*Prime2!$B$9,0)+IF(Prime3!$B$8="Y",Prime3!C60*Prime3!$B$9,0)+IF(Prime4!$B$8="Y",Prime4!C60*Prime4!$B$9,0)+IF(Prime5!$B$8="Y",Prime5!C60*Prime5!$B$9,0)+IF(Prime6!$B$8="Y",Prime6!C60*Prime6!$B$9,0)+IF(Prime7!$B$8="Y",Prime7!C60*Prime7!$B$9,0)+IF(Prime8!$B$8="Y",Prime8!C60*Prime8!$B$9,0)+IF(Prime9!$B$8="Y",Prime9!C60*Prime9!$B$9,0)+IF(Prime10!$B$8="Y",Prime10!C60*Prime10!$B$9,0))/100000</f>
        <v>0</v>
      </c>
      <c r="D53" s="70">
        <f>(IF(Prime1!$B$8="Y",Prime1!D60*Prime1!$B$9,0)+IF(Prime2!$B$8="Y",Prime2!D60*Prime2!$B$9,0)+IF(Prime3!$B$8="Y",Prime3!D60*Prime3!$B$9,0)+IF(Prime4!$B$8="Y",Prime4!D60*Prime4!$B$9,0)+IF(Prime5!$B$8="Y",Prime5!D60*Prime5!$B$9,0)+IF(Prime6!$B$8="Y",Prime6!D60*Prime6!$B$9,0)+IF(Prime7!$B$8="Y",Prime7!D60*Prime7!$B$9,0)+IF(Prime8!$B$8="Y",Prime8!D60*Prime8!$B$9,0)+IF(Prime9!$B$8="Y",Prime9!D60*Prime9!$B$9,0)+IF(Prime10!$B$8="Y",Prime10!D60*Prime10!$B$9,0))/100000</f>
        <v>0</v>
      </c>
      <c r="E53" s="113">
        <f>(IF(Prime1!$B$8="Y",Prime1!E60*Prime1!$B$9,0)+IF(Prime2!$B$8="Y",Prime2!E60*Prime2!$B$9,0)+IF(Prime3!$B$8="Y",Prime3!E60*Prime3!$B$9,0)+IF(Prime4!$B$8="Y",Prime4!E60*Prime4!$B$9,0)+IF(Prime5!$B$8="Y",Prime5!E60*Prime5!$B$9,0)+IF(Prime6!$B$8="Y",Prime6!E60*Prime6!$B$9,0)+IF(Prime7!$B$8="Y",Prime7!E60*Prime7!$B$9,0)+IF(Prime8!$B$8="Y",Prime8!E60*Prime8!$B$9,0)+IF(Prime9!$B$8="Y",Prime9!E60*Prime9!$B$9,0)+IF(Prime10!$B$8="Y",Prime10!E60*Prime10!$B$9,0))/100000</f>
        <v>0</v>
      </c>
      <c r="F53" s="56" t="str">
        <f t="shared" si="9"/>
        <v>-</v>
      </c>
      <c r="G53" s="56" t="str">
        <f t="shared" si="9"/>
        <v>-</v>
      </c>
    </row>
    <row r="54" spans="1:7">
      <c r="A54" s="60" t="s">
        <v>891</v>
      </c>
      <c r="B54" s="70">
        <f>(IF(Prime1!$B$8="Y",Prime1!B61*Prime1!$B$9,0)+IF(Prime2!$B$8="Y",Prime2!B61*Prime2!$B$9,0)+IF(Prime3!$B$8="Y",Prime3!B61*Prime3!$B$9,0)+IF(Prime4!$B$8="Y",Prime4!B61*Prime4!$B$9,0)+IF(Prime5!$B$8="Y",Prime5!B61*Prime5!$B$9,0)+IF(Prime6!$B$8="Y",Prime6!B61*Prime6!$B$9,0)+IF(Prime7!$B$8="Y",Prime7!B61*Prime7!$B$9,0)+IF(Prime8!$B$8="Y",Prime8!B61*Prime8!$B$9,0)+IF(Prime9!$B$8="Y",Prime9!B61*Prime9!$B$9,0)+IF(Prime10!$B$8="Y",Prime10!B61*Prime10!$B$9,0))/100000</f>
        <v>0</v>
      </c>
      <c r="C54" s="70">
        <f>(IF(Prime1!$B$8="Y",Prime1!C61*Prime1!$B$9,0)+IF(Prime2!$B$8="Y",Prime2!C61*Prime2!$B$9,0)+IF(Prime3!$B$8="Y",Prime3!C61*Prime3!$B$9,0)+IF(Prime4!$B$8="Y",Prime4!C61*Prime4!$B$9,0)+IF(Prime5!$B$8="Y",Prime5!C61*Prime5!$B$9,0)+IF(Prime6!$B$8="Y",Prime6!C61*Prime6!$B$9,0)+IF(Prime7!$B$8="Y",Prime7!C61*Prime7!$B$9,0)+IF(Prime8!$B$8="Y",Prime8!C61*Prime8!$B$9,0)+IF(Prime9!$B$8="Y",Prime9!C61*Prime9!$B$9,0)+IF(Prime10!$B$8="Y",Prime10!C61*Prime10!$B$9,0))/100000</f>
        <v>0</v>
      </c>
      <c r="D54" s="70">
        <f>(IF(Prime1!$B$8="Y",Prime1!D61*Prime1!$B$9,0)+IF(Prime2!$B$8="Y",Prime2!D61*Prime2!$B$9,0)+IF(Prime3!$B$8="Y",Prime3!D61*Prime3!$B$9,0)+IF(Prime4!$B$8="Y",Prime4!D61*Prime4!$B$9,0)+IF(Prime5!$B$8="Y",Prime5!D61*Prime5!$B$9,0)+IF(Prime6!$B$8="Y",Prime6!D61*Prime6!$B$9,0)+IF(Prime7!$B$8="Y",Prime7!D61*Prime7!$B$9,0)+IF(Prime8!$B$8="Y",Prime8!D61*Prime8!$B$9,0)+IF(Prime9!$B$8="Y",Prime9!D61*Prime9!$B$9,0)+IF(Prime10!$B$8="Y",Prime10!D61*Prime10!$B$9,0))/100000</f>
        <v>0</v>
      </c>
      <c r="E54" s="113">
        <f>(IF(Prime1!$B$8="Y",Prime1!E61*Prime1!$B$9,0)+IF(Prime2!$B$8="Y",Prime2!E61*Prime2!$B$9,0)+IF(Prime3!$B$8="Y",Prime3!E61*Prime3!$B$9,0)+IF(Prime4!$B$8="Y",Prime4!E61*Prime4!$B$9,0)+IF(Prime5!$B$8="Y",Prime5!E61*Prime5!$B$9,0)+IF(Prime6!$B$8="Y",Prime6!E61*Prime6!$B$9,0)+IF(Prime7!$B$8="Y",Prime7!E61*Prime7!$B$9,0)+IF(Prime8!$B$8="Y",Prime8!E61*Prime8!$B$9,0)+IF(Prime9!$B$8="Y",Prime9!E61*Prime9!$B$9,0)+IF(Prime10!$B$8="Y",Prime10!E61*Prime10!$B$9,0))/100000</f>
        <v>0</v>
      </c>
      <c r="F54" s="56" t="str">
        <f t="shared" si="9"/>
        <v>-</v>
      </c>
      <c r="G54" s="56" t="str">
        <f t="shared" si="9"/>
        <v>-</v>
      </c>
    </row>
    <row r="55" spans="1:7">
      <c r="A55" s="60" t="s">
        <v>892</v>
      </c>
      <c r="B55" s="70">
        <f>(IF(Prime1!$B$8="Y",Prime1!B62*Prime1!$B$9,0)+IF(Prime2!$B$8="Y",Prime2!B62*Prime2!$B$9,0)+IF(Prime3!$B$8="Y",Prime3!B62*Prime3!$B$9,0)+IF(Prime4!$B$8="Y",Prime4!B62*Prime4!$B$9,0)+IF(Prime5!$B$8="Y",Prime5!B62*Prime5!$B$9,0)+IF(Prime6!$B$8="Y",Prime6!B62*Prime6!$B$9,0)+IF(Prime7!$B$8="Y",Prime7!B62*Prime7!$B$9,0)+IF(Prime8!$B$8="Y",Prime8!B62*Prime8!$B$9,0)+IF(Prime9!$B$8="Y",Prime9!B62*Prime9!$B$9,0)+IF(Prime10!$B$8="Y",Prime10!B62*Prime10!$B$9,0))/100000</f>
        <v>0</v>
      </c>
      <c r="C55" s="70">
        <f>(IF(Prime1!$B$8="Y",Prime1!C62*Prime1!$B$9,0)+IF(Prime2!$B$8="Y",Prime2!C62*Prime2!$B$9,0)+IF(Prime3!$B$8="Y",Prime3!C62*Prime3!$B$9,0)+IF(Prime4!$B$8="Y",Prime4!C62*Prime4!$B$9,0)+IF(Prime5!$B$8="Y",Prime5!C62*Prime5!$B$9,0)+IF(Prime6!$B$8="Y",Prime6!C62*Prime6!$B$9,0)+IF(Prime7!$B$8="Y",Prime7!C62*Prime7!$B$9,0)+IF(Prime8!$B$8="Y",Prime8!C62*Prime8!$B$9,0)+IF(Prime9!$B$8="Y",Prime9!C62*Prime9!$B$9,0)+IF(Prime10!$B$8="Y",Prime10!C62*Prime10!$B$9,0))/100000</f>
        <v>0</v>
      </c>
      <c r="D55" s="70">
        <f>(IF(Prime1!$B$8="Y",Prime1!D62*Prime1!$B$9,0)+IF(Prime2!$B$8="Y",Prime2!D62*Prime2!$B$9,0)+IF(Prime3!$B$8="Y",Prime3!D62*Prime3!$B$9,0)+IF(Prime4!$B$8="Y",Prime4!D62*Prime4!$B$9,0)+IF(Prime5!$B$8="Y",Prime5!D62*Prime5!$B$9,0)+IF(Prime6!$B$8="Y",Prime6!D62*Prime6!$B$9,0)+IF(Prime7!$B$8="Y",Prime7!D62*Prime7!$B$9,0)+IF(Prime8!$B$8="Y",Prime8!D62*Prime8!$B$9,0)+IF(Prime9!$B$8="Y",Prime9!D62*Prime9!$B$9,0)+IF(Prime10!$B$8="Y",Prime10!D62*Prime10!$B$9,0))/100000</f>
        <v>0</v>
      </c>
      <c r="E55" s="113">
        <f>(IF(Prime1!$B$8="Y",Prime1!E62*Prime1!$B$9,0)+IF(Prime2!$B$8="Y",Prime2!E62*Prime2!$B$9,0)+IF(Prime3!$B$8="Y",Prime3!E62*Prime3!$B$9,0)+IF(Prime4!$B$8="Y",Prime4!E62*Prime4!$B$9,0)+IF(Prime5!$B$8="Y",Prime5!E62*Prime5!$B$9,0)+IF(Prime6!$B$8="Y",Prime6!E62*Prime6!$B$9,0)+IF(Prime7!$B$8="Y",Prime7!E62*Prime7!$B$9,0)+IF(Prime8!$B$8="Y",Prime8!E62*Prime8!$B$9,0)+IF(Prime9!$B$8="Y",Prime9!E62*Prime9!$B$9,0)+IF(Prime10!$B$8="Y",Prime10!E62*Prime10!$B$9,0))/100000</f>
        <v>0</v>
      </c>
      <c r="F55" s="56" t="str">
        <f t="shared" si="9"/>
        <v>-</v>
      </c>
      <c r="G55" s="56" t="str">
        <f t="shared" si="9"/>
        <v>-</v>
      </c>
    </row>
    <row r="56" spans="1:7">
      <c r="A56" s="48" t="s">
        <v>893</v>
      </c>
      <c r="B56" s="58">
        <f>SUM(B52:B54)-B55</f>
        <v>0</v>
      </c>
      <c r="C56" s="58">
        <f>SUM(C52:C54)-C55</f>
        <v>0</v>
      </c>
      <c r="D56" s="58">
        <f>SUM(D52:D54)-D55</f>
        <v>0</v>
      </c>
      <c r="E56" s="116">
        <f>SUM(E52:E54)-E55</f>
        <v>0</v>
      </c>
      <c r="F56" s="59" t="str">
        <f t="shared" si="9"/>
        <v>-</v>
      </c>
      <c r="G56" s="59" t="str">
        <f t="shared" si="9"/>
        <v>-</v>
      </c>
    </row>
    <row r="57" spans="1:7">
      <c r="A57" s="60" t="s">
        <v>894</v>
      </c>
      <c r="B57" s="70">
        <f>(IF(Prime1!$B$8="Y",Prime1!B64*Prime1!$B$9,0)+IF(Prime2!$B$8="Y",Prime2!B64*Prime2!$B$9,0)+IF(Prime3!$B$8="Y",Prime3!B64*Prime3!$B$9,0)+IF(Prime4!$B$8="Y",Prime4!B64*Prime4!$B$9,0)+IF(Prime5!$B$8="Y",Prime5!B64*Prime5!$B$9,0)+IF(Prime6!$B$8="Y",Prime6!B64*Prime6!$B$9,0)+IF(Prime7!$B$8="Y",Prime7!B64*Prime7!$B$9,0)+IF(Prime8!$B$8="Y",Prime8!B64*Prime8!$B$9,0)+IF(Prime9!$B$8="Y",Prime9!B64*Prime9!$B$9,0)+IF(Prime10!$B$8="Y",Prime10!B64*Prime10!$B$9,0))/100000</f>
        <v>0</v>
      </c>
      <c r="C57" s="70">
        <f>(IF(Prime1!$B$8="Y",Prime1!C64*Prime1!$B$9,0)+IF(Prime2!$B$8="Y",Prime2!C64*Prime2!$B$9,0)+IF(Prime3!$B$8="Y",Prime3!C64*Prime3!$B$9,0)+IF(Prime4!$B$8="Y",Prime4!C64*Prime4!$B$9,0)+IF(Prime5!$B$8="Y",Prime5!C64*Prime5!$B$9,0)+IF(Prime6!$B$8="Y",Prime6!C64*Prime6!$B$9,0)+IF(Prime7!$B$8="Y",Prime7!C64*Prime7!$B$9,0)+IF(Prime8!$B$8="Y",Prime8!C64*Prime8!$B$9,0)+IF(Prime9!$B$8="Y",Prime9!C64*Prime9!$B$9,0)+IF(Prime10!$B$8="Y",Prime10!C64*Prime10!$B$9,0))/100000</f>
        <v>0</v>
      </c>
      <c r="D57" s="70">
        <f>(IF(Prime1!$B$8="Y",Prime1!D64*Prime1!$B$9,0)+IF(Prime2!$B$8="Y",Prime2!D64*Prime2!$B$9,0)+IF(Prime3!$B$8="Y",Prime3!D64*Prime3!$B$9,0)+IF(Prime4!$B$8="Y",Prime4!D64*Prime4!$B$9,0)+IF(Prime5!$B$8="Y",Prime5!D64*Prime5!$B$9,0)+IF(Prime6!$B$8="Y",Prime6!D64*Prime6!$B$9,0)+IF(Prime7!$B$8="Y",Prime7!D64*Prime7!$B$9,0)+IF(Prime8!$B$8="Y",Prime8!D64*Prime8!$B$9,0)+IF(Prime9!$B$8="Y",Prime9!D64*Prime9!$B$9,0)+IF(Prime10!$B$8="Y",Prime10!D64*Prime10!$B$9,0))/100000</f>
        <v>0</v>
      </c>
      <c r="E57" s="113">
        <f>(IF(Prime1!$B$8="Y",Prime1!E64*Prime1!$B$9,0)+IF(Prime2!$B$8="Y",Prime2!E64*Prime2!$B$9,0)+IF(Prime3!$B$8="Y",Prime3!E64*Prime3!$B$9,0)+IF(Prime4!$B$8="Y",Prime4!E64*Prime4!$B$9,0)+IF(Prime5!$B$8="Y",Prime5!E64*Prime5!$B$9,0)+IF(Prime6!$B$8="Y",Prime6!E64*Prime6!$B$9,0)+IF(Prime7!$B$8="Y",Prime7!E64*Prime7!$B$9,0)+IF(Prime8!$B$8="Y",Prime8!E64*Prime8!$B$9,0)+IF(Prime9!$B$8="Y",Prime9!E64*Prime9!$B$9,0)+IF(Prime10!$B$8="Y",Prime10!E64*Prime10!$B$9,0))/100000</f>
        <v>0</v>
      </c>
      <c r="F57" s="56" t="str">
        <f t="shared" si="9"/>
        <v>-</v>
      </c>
      <c r="G57" s="56" t="str">
        <f t="shared" si="9"/>
        <v>-</v>
      </c>
    </row>
    <row r="58" spans="1:7">
      <c r="A58" s="60" t="s">
        <v>895</v>
      </c>
      <c r="B58" s="70">
        <f>(IF(Prime1!$B$8="Y",Prime1!B65*Prime1!$B$9,0)+IF(Prime2!$B$8="Y",Prime2!B65*Prime2!$B$9,0)+IF(Prime3!$B$8="Y",Prime3!B65*Prime3!$B$9,0)+IF(Prime4!$B$8="Y",Prime4!B65*Prime4!$B$9,0)+IF(Prime5!$B$8="Y",Prime5!B65*Prime5!$B$9,0)+IF(Prime6!$B$8="Y",Prime6!B65*Prime6!$B$9,0)+IF(Prime7!$B$8="Y",Prime7!B65*Prime7!$B$9,0)+IF(Prime8!$B$8="Y",Prime8!B65*Prime8!$B$9,0)+IF(Prime9!$B$8="Y",Prime9!B65*Prime9!$B$9,0)+IF(Prime10!$B$8="Y",Prime10!B65*Prime10!$B$9,0))/100000</f>
        <v>0</v>
      </c>
      <c r="C58" s="70">
        <f>(IF(Prime1!$B$8="Y",Prime1!C65*Prime1!$B$9,0)+IF(Prime2!$B$8="Y",Prime2!C65*Prime2!$B$9,0)+IF(Prime3!$B$8="Y",Prime3!C65*Prime3!$B$9,0)+IF(Prime4!$B$8="Y",Prime4!C65*Prime4!$B$9,0)+IF(Prime5!$B$8="Y",Prime5!C65*Prime5!$B$9,0)+IF(Prime6!$B$8="Y",Prime6!C65*Prime6!$B$9,0)+IF(Prime7!$B$8="Y",Prime7!C65*Prime7!$B$9,0)+IF(Prime8!$B$8="Y",Prime8!C65*Prime8!$B$9,0)+IF(Prime9!$B$8="Y",Prime9!C65*Prime9!$B$9,0)+IF(Prime10!$B$8="Y",Prime10!C65*Prime10!$B$9,0))/100000</f>
        <v>0</v>
      </c>
      <c r="D58" s="70">
        <f>(IF(Prime1!$B$8="Y",Prime1!D65*Prime1!$B$9,0)+IF(Prime2!$B$8="Y",Prime2!D65*Prime2!$B$9,0)+IF(Prime3!$B$8="Y",Prime3!D65*Prime3!$B$9,0)+IF(Prime4!$B$8="Y",Prime4!D65*Prime4!$B$9,0)+IF(Prime5!$B$8="Y",Prime5!D65*Prime5!$B$9,0)+IF(Prime6!$B$8="Y",Prime6!D65*Prime6!$B$9,0)+IF(Prime7!$B$8="Y",Prime7!D65*Prime7!$B$9,0)+IF(Prime8!$B$8="Y",Prime8!D65*Prime8!$B$9,0)+IF(Prime9!$B$8="Y",Prime9!D65*Prime9!$B$9,0)+IF(Prime10!$B$8="Y",Prime10!D65*Prime10!$B$9,0))/100000</f>
        <v>0</v>
      </c>
      <c r="E58" s="113">
        <f>(IF(Prime1!$B$8="Y",Prime1!E65*Prime1!$B$9,0)+IF(Prime2!$B$8="Y",Prime2!E65*Prime2!$B$9,0)+IF(Prime3!$B$8="Y",Prime3!E65*Prime3!$B$9,0)+IF(Prime4!$B$8="Y",Prime4!E65*Prime4!$B$9,0)+IF(Prime5!$B$8="Y",Prime5!E65*Prime5!$B$9,0)+IF(Prime6!$B$8="Y",Prime6!E65*Prime6!$B$9,0)+IF(Prime7!$B$8="Y",Prime7!E65*Prime7!$B$9,0)+IF(Prime8!$B$8="Y",Prime8!E65*Prime8!$B$9,0)+IF(Prime9!$B$8="Y",Prime9!E65*Prime9!$B$9,0)+IF(Prime10!$B$8="Y",Prime10!E65*Prime10!$B$9,0))/100000</f>
        <v>0</v>
      </c>
      <c r="F58" s="56" t="str">
        <f t="shared" si="9"/>
        <v>-</v>
      </c>
      <c r="G58" s="56" t="str">
        <f t="shared" si="9"/>
        <v>-</v>
      </c>
    </row>
    <row r="59" spans="1:7">
      <c r="A59" s="48" t="s">
        <v>896</v>
      </c>
      <c r="B59" s="58">
        <f>+SUM(B56:B57)-B58</f>
        <v>0</v>
      </c>
      <c r="C59" s="58">
        <f>+SUM(C56:C57)-C58</f>
        <v>0</v>
      </c>
      <c r="D59" s="58">
        <f>+SUM(D56:D57)-D58</f>
        <v>0</v>
      </c>
      <c r="E59" s="116">
        <f>+SUM(E56:E57)-E58</f>
        <v>0</v>
      </c>
      <c r="F59" s="59" t="str">
        <f t="shared" si="9"/>
        <v>-</v>
      </c>
      <c r="G59" s="59" t="str">
        <f t="shared" si="9"/>
        <v>-</v>
      </c>
    </row>
    <row r="60" spans="1:7">
      <c r="A60" s="60" t="s">
        <v>897</v>
      </c>
      <c r="B60" s="70">
        <f>(IF(Prime1!$B$8="Y",Prime1!B67*Prime1!$B$9,0)+IF(Prime2!$B$8="Y",Prime2!B67*Prime2!$B$9,0)+IF(Prime3!$B$8="Y",Prime3!B67*Prime3!$B$9,0)+IF(Prime4!$B$8="Y",Prime4!B67*Prime4!$B$9,0)+IF(Prime5!$B$8="Y",Prime5!B67*Prime5!$B$9,0)+IF(Prime6!$B$8="Y",Prime6!B67*Prime6!$B$9,0)+IF(Prime7!$B$8="Y",Prime7!B67*Prime7!$B$9,0)+IF(Prime8!$B$8="Y",Prime8!B67*Prime8!$B$9,0)+IF(Prime9!$B$8="Y",Prime9!B67*Prime9!$B$9,0)+IF(Prime10!$B$8="Y",Prime10!B67*Prime10!$B$9,0))/100000</f>
        <v>0</v>
      </c>
      <c r="C60" s="70">
        <f>(IF(Prime1!$B$8="Y",Prime1!C67*Prime1!$B$9,0)+IF(Prime2!$B$8="Y",Prime2!C67*Prime2!$B$9,0)+IF(Prime3!$B$8="Y",Prime3!C67*Prime3!$B$9,0)+IF(Prime4!$B$8="Y",Prime4!C67*Prime4!$B$9,0)+IF(Prime5!$B$8="Y",Prime5!C67*Prime5!$B$9,0)+IF(Prime6!$B$8="Y",Prime6!C67*Prime6!$B$9,0)+IF(Prime7!$B$8="Y",Prime7!C67*Prime7!$B$9,0)+IF(Prime8!$B$8="Y",Prime8!C67*Prime8!$B$9,0)+IF(Prime9!$B$8="Y",Prime9!C67*Prime9!$B$9,0)+IF(Prime10!$B$8="Y",Prime10!C67*Prime10!$B$9,0))/100000</f>
        <v>0</v>
      </c>
      <c r="D60" s="70">
        <f>(IF(Prime1!$B$8="Y",Prime1!D67*Prime1!$B$9,0)+IF(Prime2!$B$8="Y",Prime2!D67*Prime2!$B$9,0)+IF(Prime3!$B$8="Y",Prime3!D67*Prime3!$B$9,0)+IF(Prime4!$B$8="Y",Prime4!D67*Prime4!$B$9,0)+IF(Prime5!$B$8="Y",Prime5!D67*Prime5!$B$9,0)+IF(Prime6!$B$8="Y",Prime6!D67*Prime6!$B$9,0)+IF(Prime7!$B$8="Y",Prime7!D67*Prime7!$B$9,0)+IF(Prime8!$B$8="Y",Prime8!D67*Prime8!$B$9,0)+IF(Prime9!$B$8="Y",Prime9!D67*Prime9!$B$9,0)+IF(Prime10!$B$8="Y",Prime10!D67*Prime10!$B$9,0))/100000</f>
        <v>0</v>
      </c>
      <c r="E60" s="113">
        <f>(IF(Prime1!$B$8="Y",Prime1!E67*Prime1!$B$9,0)+IF(Prime2!$B$8="Y",Prime2!E67*Prime2!$B$9,0)+IF(Prime3!$B$8="Y",Prime3!E67*Prime3!$B$9,0)+IF(Prime4!$B$8="Y",Prime4!E67*Prime4!$B$9,0)+IF(Prime5!$B$8="Y",Prime5!E67*Prime5!$B$9,0)+IF(Prime6!$B$8="Y",Prime6!E67*Prime6!$B$9,0)+IF(Prime7!$B$8="Y",Prime7!E67*Prime7!$B$9,0)+IF(Prime8!$B$8="Y",Prime8!E67*Prime8!$B$9,0)+IF(Prime9!$B$8="Y",Prime9!E67*Prime9!$B$9,0)+IF(Prime10!$B$8="Y",Prime10!E67*Prime10!$B$9,0))/100000</f>
        <v>0</v>
      </c>
      <c r="F60" s="56" t="str">
        <f t="shared" si="9"/>
        <v>-</v>
      </c>
      <c r="G60" s="56" t="str">
        <f t="shared" si="9"/>
        <v>-</v>
      </c>
    </row>
    <row r="61" spans="1:7">
      <c r="A61" s="60" t="s">
        <v>898</v>
      </c>
      <c r="B61" s="70">
        <f>(IF(Prime1!$B$8="Y",Prime1!B68*Prime1!$B$9,0)+IF(Prime2!$B$8="Y",Prime2!B68*Prime2!$B$9,0)+IF(Prime3!$B$8="Y",Prime3!B68*Prime3!$B$9,0)+IF(Prime4!$B$8="Y",Prime4!B68*Prime4!$B$9,0)+IF(Prime5!$B$8="Y",Prime5!B68*Prime5!$B$9,0)+IF(Prime6!$B$8="Y",Prime6!B68*Prime6!$B$9,0)+IF(Prime7!$B$8="Y",Prime7!B68*Prime7!$B$9,0)+IF(Prime8!$B$8="Y",Prime8!B68*Prime8!$B$9,0)+IF(Prime9!$B$8="Y",Prime9!B68*Prime9!$B$9,0)+IF(Prime10!$B$8="Y",Prime10!B68*Prime10!$B$9,0))/100000</f>
        <v>0</v>
      </c>
      <c r="C61" s="70">
        <f>(IF(Prime1!$B$8="Y",Prime1!C68*Prime1!$B$9,0)+IF(Prime2!$B$8="Y",Prime2!C68*Prime2!$B$9,0)+IF(Prime3!$B$8="Y",Prime3!C68*Prime3!$B$9,0)+IF(Prime4!$B$8="Y",Prime4!C68*Prime4!$B$9,0)+IF(Prime5!$B$8="Y",Prime5!C68*Prime5!$B$9,0)+IF(Prime6!$B$8="Y",Prime6!C68*Prime6!$B$9,0)+IF(Prime7!$B$8="Y",Prime7!C68*Prime7!$B$9,0)+IF(Prime8!$B$8="Y",Prime8!C68*Prime8!$B$9,0)+IF(Prime9!$B$8="Y",Prime9!C68*Prime9!$B$9,0)+IF(Prime10!$B$8="Y",Prime10!C68*Prime10!$B$9,0))/100000</f>
        <v>0</v>
      </c>
      <c r="D61" s="70">
        <f>(IF(Prime1!$B$8="Y",Prime1!D68*Prime1!$B$9,0)+IF(Prime2!$B$8="Y",Prime2!D68*Prime2!$B$9,0)+IF(Prime3!$B$8="Y",Prime3!D68*Prime3!$B$9,0)+IF(Prime4!$B$8="Y",Prime4!D68*Prime4!$B$9,0)+IF(Prime5!$B$8="Y",Prime5!D68*Prime5!$B$9,0)+IF(Prime6!$B$8="Y",Prime6!D68*Prime6!$B$9,0)+IF(Prime7!$B$8="Y",Prime7!D68*Prime7!$B$9,0)+IF(Prime8!$B$8="Y",Prime8!D68*Prime8!$B$9,0)+IF(Prime9!$B$8="Y",Prime9!D68*Prime9!$B$9,0)+IF(Prime10!$B$8="Y",Prime10!D68*Prime10!$B$9,0))/100000</f>
        <v>0</v>
      </c>
      <c r="E61" s="113">
        <f>(IF(Prime1!$B$8="Y",Prime1!E68*Prime1!$B$9,0)+IF(Prime2!$B$8="Y",Prime2!E68*Prime2!$B$9,0)+IF(Prime3!$B$8="Y",Prime3!E68*Prime3!$B$9,0)+IF(Prime4!$B$8="Y",Prime4!E68*Prime4!$B$9,0)+IF(Prime5!$B$8="Y",Prime5!E68*Prime5!$B$9,0)+IF(Prime6!$B$8="Y",Prime6!E68*Prime6!$B$9,0)+IF(Prime7!$B$8="Y",Prime7!E68*Prime7!$B$9,0)+IF(Prime8!$B$8="Y",Prime8!E68*Prime8!$B$9,0)+IF(Prime9!$B$8="Y",Prime9!E68*Prime9!$B$9,0)+IF(Prime10!$B$8="Y",Prime10!E68*Prime10!$B$9,0))/100000</f>
        <v>0</v>
      </c>
      <c r="F61" s="56" t="str">
        <f t="shared" si="9"/>
        <v>-</v>
      </c>
      <c r="G61" s="56" t="str">
        <f t="shared" si="9"/>
        <v>-</v>
      </c>
    </row>
    <row r="62" spans="1:7">
      <c r="A62" s="48" t="s">
        <v>899</v>
      </c>
      <c r="B62" s="58">
        <f>+SUM(B59:B61)</f>
        <v>0</v>
      </c>
      <c r="C62" s="58">
        <f>+SUM(C59:C61)</f>
        <v>0</v>
      </c>
      <c r="D62" s="58">
        <f>+SUM(D59:D61)</f>
        <v>0</v>
      </c>
      <c r="E62" s="116">
        <f>+SUM(E59:E61)</f>
        <v>0</v>
      </c>
      <c r="F62" s="59" t="str">
        <f t="shared" si="9"/>
        <v>-</v>
      </c>
      <c r="G62" s="59" t="str">
        <f t="shared" si="9"/>
        <v>-</v>
      </c>
    </row>
    <row r="63" spans="1:7">
      <c r="A63" s="62"/>
      <c r="B63" s="118"/>
      <c r="C63" s="119"/>
      <c r="D63" s="119"/>
      <c r="E63" s="120"/>
      <c r="F63" s="56"/>
      <c r="G63" s="56"/>
    </row>
    <row r="64" spans="1:7">
      <c r="A64" s="62" t="s">
        <v>900</v>
      </c>
      <c r="B64" s="70">
        <f>(IF(Prime1!$B$8="Y",Prime1!B71*Prime1!$B$9,0)+IF(Prime2!$B$8="Y",Prime2!B71*Prime2!$B$9,0)+IF(Prime3!$B$8="Y",Prime3!B71*Prime3!$B$9,0)+IF(Prime4!$B$8="Y",Prime4!B71*Prime4!$B$9,0)+IF(Prime5!$B$8="Y",Prime5!B71*Prime5!$B$9,0)+IF(Prime6!$B$8="Y",Prime6!B71*Prime6!$B$9,0)+IF(Prime7!$B$8="Y",Prime7!B71*Prime7!$B$9,0)+IF(Prime8!$B$8="Y",Prime8!B71*Prime8!$B$9,0)+IF(Prime9!$B$8="Y",Prime9!B71*Prime9!$B$9,0)+IF(Prime10!$B$8="Y",Prime10!B71*Prime10!$B$9,0))/100000</f>
        <v>0</v>
      </c>
      <c r="C64" s="70">
        <f>(IF(Prime1!$B$8="Y",Prime1!C71*Prime1!$B$9,0)+IF(Prime2!$B$8="Y",Prime2!C71*Prime2!$B$9,0)+IF(Prime3!$B$8="Y",Prime3!C71*Prime3!$B$9,0)+IF(Prime4!$B$8="Y",Prime4!C71*Prime4!$B$9,0)+IF(Prime5!$B$8="Y",Prime5!C71*Prime5!$B$9,0)+IF(Prime6!$B$8="Y",Prime6!C71*Prime6!$B$9,0)+IF(Prime7!$B$8="Y",Prime7!C71*Prime7!$B$9,0)+IF(Prime8!$B$8="Y",Prime8!C71*Prime8!$B$9,0)+IF(Prime9!$B$8="Y",Prime9!C71*Prime9!$B$9,0)+IF(Prime10!$B$8="Y",Prime10!C71*Prime10!$B$9,0))/100000</f>
        <v>0</v>
      </c>
      <c r="D64" s="70">
        <f>(IF(Prime1!$B$8="Y",Prime1!D71*Prime1!$B$9,0)+IF(Prime2!$B$8="Y",Prime2!D71*Prime2!$B$9,0)+IF(Prime3!$B$8="Y",Prime3!D71*Prime3!$B$9,0)+IF(Prime4!$B$8="Y",Prime4!D71*Prime4!$B$9,0)+IF(Prime5!$B$8="Y",Prime5!D71*Prime5!$B$9,0)+IF(Prime6!$B$8="Y",Prime6!D71*Prime6!$B$9,0)+IF(Prime7!$B$8="Y",Prime7!D71*Prime7!$B$9,0)+IF(Prime8!$B$8="Y",Prime8!D71*Prime8!$B$9,0)+IF(Prime9!$B$8="Y",Prime9!D71*Prime9!$B$9,0)+IF(Prime10!$B$8="Y",Prime10!D71*Prime10!$B$9,0))/100000</f>
        <v>0</v>
      </c>
      <c r="E64" s="113">
        <f>(IF(Prime1!$B$8="Y",Prime1!E71*Prime1!$B$9,0)+IF(Prime2!$B$8="Y",Prime2!E71*Prime2!$B$9,0)+IF(Prime3!$B$8="Y",Prime3!E71*Prime3!$B$9,0)+IF(Prime4!$B$8="Y",Prime4!E71*Prime4!$B$9,0)+IF(Prime5!$B$8="Y",Prime5!E71*Prime5!$B$9,0)+IF(Prime6!$B$8="Y",Prime6!E71*Prime6!$B$9,0)+IF(Prime7!$B$8="Y",Prime7!E71*Prime7!$B$9,0)+IF(Prime8!$B$8="Y",Prime8!E71*Prime8!$B$9,0)+IF(Prime9!$B$8="Y",Prime9!E71*Prime9!$B$9,0)+IF(Prime10!$B$8="Y",Prime10!E71*Prime10!$B$9,0))/100000</f>
        <v>0</v>
      </c>
      <c r="F64" s="56" t="str">
        <f t="shared" ref="F64" si="10">IFERROR((C64-D64)/D64,"-")</f>
        <v>-</v>
      </c>
      <c r="G64" s="56" t="str">
        <f t="shared" ref="G64" si="11">IFERROR((D64-E64)/E64,"-")</f>
        <v>-</v>
      </c>
    </row>
    <row r="65" spans="1:7">
      <c r="A65" s="60" t="s">
        <v>901</v>
      </c>
      <c r="B65" s="70">
        <f>(IF(Prime1!$B$8="Y",Prime1!B72*Prime1!$B$9,0)+IF(Prime2!$B$8="Y",Prime2!B72*Prime2!$B$9,0)+IF(Prime3!$B$8="Y",Prime3!B72*Prime3!$B$9,0)+IF(Prime4!$B$8="Y",Prime4!B72*Prime4!$B$9,0)+IF(Prime5!$B$8="Y",Prime5!B72*Prime5!$B$9,0)+IF(Prime6!$B$8="Y",Prime6!B72*Prime6!$B$9,0)+IF(Prime7!$B$8="Y",Prime7!B72*Prime7!$B$9,0)+IF(Prime8!$B$8="Y",Prime8!B72*Prime8!$B$9,0)+IF(Prime9!$B$8="Y",Prime9!B72*Prime9!$B$9,0)+IF(Prime10!$B$8="Y",Prime10!B72*Prime10!$B$9,0))/100000</f>
        <v>0</v>
      </c>
      <c r="C65" s="70">
        <f>(IF(Prime1!$B$8="Y",Prime1!C72*Prime1!$B$9,0)+IF(Prime2!$B$8="Y",Prime2!C72*Prime2!$B$9,0)+IF(Prime3!$B$8="Y",Prime3!C72*Prime3!$B$9,0)+IF(Prime4!$B$8="Y",Prime4!C72*Prime4!$B$9,0)+IF(Prime5!$B$8="Y",Prime5!C72*Prime5!$B$9,0)+IF(Prime6!$B$8="Y",Prime6!C72*Prime6!$B$9,0)+IF(Prime7!$B$8="Y",Prime7!C72*Prime7!$B$9,0)+IF(Prime8!$B$8="Y",Prime8!C72*Prime8!$B$9,0)+IF(Prime9!$B$8="Y",Prime9!C72*Prime9!$B$9,0)+IF(Prime10!$B$8="Y",Prime10!C72*Prime10!$B$9,0))/100000</f>
        <v>0</v>
      </c>
      <c r="D65" s="70">
        <f>(IF(Prime1!$B$8="Y",Prime1!D72*Prime1!$B$9,0)+IF(Prime2!$B$8="Y",Prime2!D72*Prime2!$B$9,0)+IF(Prime3!$B$8="Y",Prime3!D72*Prime3!$B$9,0)+IF(Prime4!$B$8="Y",Prime4!D72*Prime4!$B$9,0)+IF(Prime5!$B$8="Y",Prime5!D72*Prime5!$B$9,0)+IF(Prime6!$B$8="Y",Prime6!D72*Prime6!$B$9,0)+IF(Prime7!$B$8="Y",Prime7!D72*Prime7!$B$9,0)+IF(Prime8!$B$8="Y",Prime8!D72*Prime8!$B$9,0)+IF(Prime9!$B$8="Y",Prime9!D72*Prime9!$B$9,0)+IF(Prime10!$B$8="Y",Prime10!D72*Prime10!$B$9,0))/100000</f>
        <v>0</v>
      </c>
      <c r="E65" s="113">
        <f>(IF(Prime1!$B$8="Y",Prime1!E72*Prime1!$B$9,0)+IF(Prime2!$B$8="Y",Prime2!E72*Prime2!$B$9,0)+IF(Prime3!$B$8="Y",Prime3!E72*Prime3!$B$9,0)+IF(Prime4!$B$8="Y",Prime4!E72*Prime4!$B$9,0)+IF(Prime5!$B$8="Y",Prime5!E72*Prime5!$B$9,0)+IF(Prime6!$B$8="Y",Prime6!E72*Prime6!$B$9,0)+IF(Prime7!$B$8="Y",Prime7!E72*Prime7!$B$9,0)+IF(Prime8!$B$8="Y",Prime8!E72*Prime8!$B$9,0)+IF(Prime9!$B$8="Y",Prime9!E72*Prime9!$B$9,0)+IF(Prime10!$B$8="Y",Prime10!E72*Prime10!$B$9,0))/100000</f>
        <v>0</v>
      </c>
      <c r="F65" s="56" t="str">
        <f t="shared" si="9"/>
        <v>-</v>
      </c>
      <c r="G65" s="56" t="str">
        <f t="shared" si="9"/>
        <v>-</v>
      </c>
    </row>
    <row r="66" spans="1:7">
      <c r="A66" s="60" t="s">
        <v>902</v>
      </c>
      <c r="B66" s="70">
        <f>(IF(Prime1!$B$8="Y",Prime1!B73*Prime1!$B$9,0)+IF(Prime2!$B$8="Y",Prime2!B73*Prime2!$B$9,0)+IF(Prime3!$B$8="Y",Prime3!B73*Prime3!$B$9,0)+IF(Prime4!$B$8="Y",Prime4!B73*Prime4!$B$9,0)+IF(Prime5!$B$8="Y",Prime5!B73*Prime5!$B$9,0)+IF(Prime6!$B$8="Y",Prime6!B73*Prime6!$B$9,0)+IF(Prime7!$B$8="Y",Prime7!B73*Prime7!$B$9,0)+IF(Prime8!$B$8="Y",Prime8!B73*Prime8!$B$9,0)+IF(Prime9!$B$8="Y",Prime9!B73*Prime9!$B$9,0)+IF(Prime10!$B$8="Y",Prime10!B73*Prime10!$B$9,0))/100000</f>
        <v>0</v>
      </c>
      <c r="C66" s="70">
        <f>(IF(Prime1!$B$8="Y",Prime1!C73*Prime1!$B$9,0)+IF(Prime2!$B$8="Y",Prime2!C73*Prime2!$B$9,0)+IF(Prime3!$B$8="Y",Prime3!C73*Prime3!$B$9,0)+IF(Prime4!$B$8="Y",Prime4!C73*Prime4!$B$9,0)+IF(Prime5!$B$8="Y",Prime5!C73*Prime5!$B$9,0)+IF(Prime6!$B$8="Y",Prime6!C73*Prime6!$B$9,0)+IF(Prime7!$B$8="Y",Prime7!C73*Prime7!$B$9,0)+IF(Prime8!$B$8="Y",Prime8!C73*Prime8!$B$9,0)+IF(Prime9!$B$8="Y",Prime9!C73*Prime9!$B$9,0)+IF(Prime10!$B$8="Y",Prime10!C73*Prime10!$B$9,0))/100000</f>
        <v>0</v>
      </c>
      <c r="D66" s="70">
        <f>(IF(Prime1!$B$8="Y",Prime1!D73*Prime1!$B$9,0)+IF(Prime2!$B$8="Y",Prime2!D73*Prime2!$B$9,0)+IF(Prime3!$B$8="Y",Prime3!D73*Prime3!$B$9,0)+IF(Prime4!$B$8="Y",Prime4!D73*Prime4!$B$9,0)+IF(Prime5!$B$8="Y",Prime5!D73*Prime5!$B$9,0)+IF(Prime6!$B$8="Y",Prime6!D73*Prime6!$B$9,0)+IF(Prime7!$B$8="Y",Prime7!D73*Prime7!$B$9,0)+IF(Prime8!$B$8="Y",Prime8!D73*Prime8!$B$9,0)+IF(Prime9!$B$8="Y",Prime9!D73*Prime9!$B$9,0)+IF(Prime10!$B$8="Y",Prime10!D73*Prime10!$B$9,0))/100000</f>
        <v>0</v>
      </c>
      <c r="E66" s="113">
        <f>(IF(Prime1!$B$8="Y",Prime1!E73*Prime1!$B$9,0)+IF(Prime2!$B$8="Y",Prime2!E73*Prime2!$B$9,0)+IF(Prime3!$B$8="Y",Prime3!E73*Prime3!$B$9,0)+IF(Prime4!$B$8="Y",Prime4!E73*Prime4!$B$9,0)+IF(Prime5!$B$8="Y",Prime5!E73*Prime5!$B$9,0)+IF(Prime6!$B$8="Y",Prime6!E73*Prime6!$B$9,0)+IF(Prime7!$B$8="Y",Prime7!E73*Prime7!$B$9,0)+IF(Prime8!$B$8="Y",Prime8!E73*Prime8!$B$9,0)+IF(Prime9!$B$8="Y",Prime9!E73*Prime9!$B$9,0)+IF(Prime10!$B$8="Y",Prime10!E73*Prime10!$B$9,0))/100000</f>
        <v>0</v>
      </c>
      <c r="F66" s="56" t="str">
        <f t="shared" si="9"/>
        <v>-</v>
      </c>
      <c r="G66" s="56" t="str">
        <f t="shared" si="9"/>
        <v>-</v>
      </c>
    </row>
    <row r="67" spans="1:7">
      <c r="A67" s="48" t="s">
        <v>781</v>
      </c>
      <c r="B67" s="58">
        <f>SUM(B68,B73,B76,B77,B78)</f>
        <v>0</v>
      </c>
      <c r="C67" s="58">
        <f>SUM(C68,C73,C76,C77,C78)</f>
        <v>0</v>
      </c>
      <c r="D67" s="58">
        <f>SUM(D68,D73,D76,D77,D78)</f>
        <v>0</v>
      </c>
      <c r="E67" s="58">
        <f>SUM(E68,E73,E76,E77,E78)</f>
        <v>0</v>
      </c>
      <c r="F67" s="59" t="str">
        <f t="shared" si="9"/>
        <v>-</v>
      </c>
      <c r="G67" s="59" t="str">
        <f t="shared" si="9"/>
        <v>-</v>
      </c>
    </row>
    <row r="68" spans="1:7">
      <c r="A68" s="60" t="s">
        <v>903</v>
      </c>
      <c r="B68" s="70">
        <f>SUM(B69:B72)</f>
        <v>0</v>
      </c>
      <c r="C68" s="70">
        <f>SUM(C69:C72)</f>
        <v>0</v>
      </c>
      <c r="D68" s="70">
        <f>SUM(D69:D72)</f>
        <v>0</v>
      </c>
      <c r="E68" s="70">
        <f>SUM(E69:E72)</f>
        <v>0</v>
      </c>
      <c r="F68" s="56" t="str">
        <f t="shared" si="9"/>
        <v>-</v>
      </c>
      <c r="G68" s="56" t="str">
        <f t="shared" si="9"/>
        <v>-</v>
      </c>
    </row>
    <row r="69" spans="1:7">
      <c r="A69" s="60" t="s">
        <v>904</v>
      </c>
      <c r="B69" s="70">
        <f>(IF(Prime1!$B$8="Y",Prime1!B76*Prime1!$B$9,0)+IF(Prime2!$B$8="Y",Prime2!B76*Prime2!$B$9,0)+IF(Prime3!$B$8="Y",Prime3!B76*Prime3!$B$9,0)+IF(Prime4!$B$8="Y",Prime4!B76*Prime4!$B$9,0)+IF(Prime5!$B$8="Y",Prime5!B76*Prime5!$B$9,0)+IF(Prime6!$B$8="Y",Prime6!B76*Prime6!$B$9,0)+IF(Prime7!$B$8="Y",Prime7!B76*Prime7!$B$9,0)+IF(Prime8!$B$8="Y",Prime8!B76*Prime8!$B$9,0)+IF(Prime9!$B$8="Y",Prime9!B76*Prime9!$B$9,0)+IF(Prime10!$B$8="Y",Prime10!B76*Prime10!$B$9,0))/100000</f>
        <v>0</v>
      </c>
      <c r="C69" s="70">
        <f>(IF(Prime1!$B$8="Y",Prime1!C76*Prime1!$B$9,0)+IF(Prime2!$B$8="Y",Prime2!C76*Prime2!$B$9,0)+IF(Prime3!$B$8="Y",Prime3!C76*Prime3!$B$9,0)+IF(Prime4!$B$8="Y",Prime4!C76*Prime4!$B$9,0)+IF(Prime5!$B$8="Y",Prime5!C76*Prime5!$B$9,0)+IF(Prime6!$B$8="Y",Prime6!C76*Prime6!$B$9,0)+IF(Prime7!$B$8="Y",Prime7!C76*Prime7!$B$9,0)+IF(Prime8!$B$8="Y",Prime8!C76*Prime8!$B$9,0)+IF(Prime9!$B$8="Y",Prime9!C76*Prime9!$B$9,0)+IF(Prime10!$B$8="Y",Prime10!C76*Prime10!$B$9,0))/100000</f>
        <v>0</v>
      </c>
      <c r="D69" s="70">
        <f>(IF(Prime1!$B$8="Y",Prime1!D76*Prime1!$B$9,0)+IF(Prime2!$B$8="Y",Prime2!D76*Prime2!$B$9,0)+IF(Prime3!$B$8="Y",Prime3!D76*Prime3!$B$9,0)+IF(Prime4!$B$8="Y",Prime4!D76*Prime4!$B$9,0)+IF(Prime5!$B$8="Y",Prime5!D76*Prime5!$B$9,0)+IF(Prime6!$B$8="Y",Prime6!D76*Prime6!$B$9,0)+IF(Prime7!$B$8="Y",Prime7!D76*Prime7!$B$9,0)+IF(Prime8!$B$8="Y",Prime8!D76*Prime8!$B$9,0)+IF(Prime9!$B$8="Y",Prime9!D76*Prime9!$B$9,0)+IF(Prime10!$B$8="Y",Prime10!D76*Prime10!$B$9,0))/100000</f>
        <v>0</v>
      </c>
      <c r="E69" s="113">
        <f>(IF(Prime1!$B$8="Y",Prime1!E76*Prime1!$B$9,0)+IF(Prime2!$B$8="Y",Prime2!E76*Prime2!$B$9,0)+IF(Prime3!$B$8="Y",Prime3!E76*Prime3!$B$9,0)+IF(Prime4!$B$8="Y",Prime4!E76*Prime4!$B$9,0)+IF(Prime5!$B$8="Y",Prime5!E76*Prime5!$B$9,0)+IF(Prime6!$B$8="Y",Prime6!E76*Prime6!$B$9,0)+IF(Prime7!$B$8="Y",Prime7!E76*Prime7!$B$9,0)+IF(Prime8!$B$8="Y",Prime8!E76*Prime8!$B$9,0)+IF(Prime9!$B$8="Y",Prime9!E76*Prime9!$B$9,0)+IF(Prime10!$B$8="Y",Prime10!E76*Prime10!$B$9,0))/100000</f>
        <v>0</v>
      </c>
      <c r="F69" s="56" t="str">
        <f t="shared" ref="F69:F72" si="12">IFERROR((C69-D69)/D69,"-")</f>
        <v>-</v>
      </c>
      <c r="G69" s="56" t="str">
        <f t="shared" ref="G69:G72" si="13">IFERROR((D69-E69)/E69,"-")</f>
        <v>-</v>
      </c>
    </row>
    <row r="70" spans="1:7">
      <c r="A70" s="60" t="s">
        <v>905</v>
      </c>
      <c r="B70" s="70">
        <f>(IF(Prime1!$B$8="Y",Prime1!B77*Prime1!$B$9,0)+IF(Prime2!$B$8="Y",Prime2!B77*Prime2!$B$9,0)+IF(Prime3!$B$8="Y",Prime3!B77*Prime3!$B$9,0)+IF(Prime4!$B$8="Y",Prime4!B77*Prime4!$B$9,0)+IF(Prime5!$B$8="Y",Prime5!B77*Prime5!$B$9,0)+IF(Prime6!$B$8="Y",Prime6!B77*Prime6!$B$9,0)+IF(Prime7!$B$8="Y",Prime7!B77*Prime7!$B$9,0)+IF(Prime8!$B$8="Y",Prime8!B77*Prime8!$B$9,0)+IF(Prime9!$B$8="Y",Prime9!B77*Prime9!$B$9,0)+IF(Prime10!$B$8="Y",Prime10!B77*Prime10!$B$9,0))/100000</f>
        <v>0</v>
      </c>
      <c r="C70" s="70">
        <f>(IF(Prime1!$B$8="Y",Prime1!C77*Prime1!$B$9,0)+IF(Prime2!$B$8="Y",Prime2!C77*Prime2!$B$9,0)+IF(Prime3!$B$8="Y",Prime3!C77*Prime3!$B$9,0)+IF(Prime4!$B$8="Y",Prime4!C77*Prime4!$B$9,0)+IF(Prime5!$B$8="Y",Prime5!C77*Prime5!$B$9,0)+IF(Prime6!$B$8="Y",Prime6!C77*Prime6!$B$9,0)+IF(Prime7!$B$8="Y",Prime7!C77*Prime7!$B$9,0)+IF(Prime8!$B$8="Y",Prime8!C77*Prime8!$B$9,0)+IF(Prime9!$B$8="Y",Prime9!C77*Prime9!$B$9,0)+IF(Prime10!$B$8="Y",Prime10!C77*Prime10!$B$9,0))/100000</f>
        <v>0</v>
      </c>
      <c r="D70" s="70">
        <f>(IF(Prime1!$B$8="Y",Prime1!D77*Prime1!$B$9,0)+IF(Prime2!$B$8="Y",Prime2!D77*Prime2!$B$9,0)+IF(Prime3!$B$8="Y",Prime3!D77*Prime3!$B$9,0)+IF(Prime4!$B$8="Y",Prime4!D77*Prime4!$B$9,0)+IF(Prime5!$B$8="Y",Prime5!D77*Prime5!$B$9,0)+IF(Prime6!$B$8="Y",Prime6!D77*Prime6!$B$9,0)+IF(Prime7!$B$8="Y",Prime7!D77*Prime7!$B$9,0)+IF(Prime8!$B$8="Y",Prime8!D77*Prime8!$B$9,0)+IF(Prime9!$B$8="Y",Prime9!D77*Prime9!$B$9,0)+IF(Prime10!$B$8="Y",Prime10!D77*Prime10!$B$9,0))/100000</f>
        <v>0</v>
      </c>
      <c r="E70" s="113">
        <f>(IF(Prime1!$B$8="Y",Prime1!E77*Prime1!$B$9,0)+IF(Prime2!$B$8="Y",Prime2!E77*Prime2!$B$9,0)+IF(Prime3!$B$8="Y",Prime3!E77*Prime3!$B$9,0)+IF(Prime4!$B$8="Y",Prime4!E77*Prime4!$B$9,0)+IF(Prime5!$B$8="Y",Prime5!E77*Prime5!$B$9,0)+IF(Prime6!$B$8="Y",Prime6!E77*Prime6!$B$9,0)+IF(Prime7!$B$8="Y",Prime7!E77*Prime7!$B$9,0)+IF(Prime8!$B$8="Y",Prime8!E77*Prime8!$B$9,0)+IF(Prime9!$B$8="Y",Prime9!E77*Prime9!$B$9,0)+IF(Prime10!$B$8="Y",Prime10!E77*Prime10!$B$9,0))/100000</f>
        <v>0</v>
      </c>
      <c r="F70" s="56" t="str">
        <f t="shared" si="12"/>
        <v>-</v>
      </c>
      <c r="G70" s="56" t="str">
        <f t="shared" si="13"/>
        <v>-</v>
      </c>
    </row>
    <row r="71" spans="1:7">
      <c r="A71" s="60" t="s">
        <v>906</v>
      </c>
      <c r="B71" s="70">
        <f>(IF(Prime1!$B$8="Y",Prime1!B78*Prime1!$B$9,0)+IF(Prime2!$B$8="Y",Prime2!B78*Prime2!$B$9,0)+IF(Prime3!$B$8="Y",Prime3!B78*Prime3!$B$9,0)+IF(Prime4!$B$8="Y",Prime4!B78*Prime4!$B$9,0)+IF(Prime5!$B$8="Y",Prime5!B78*Prime5!$B$9,0)+IF(Prime6!$B$8="Y",Prime6!B78*Prime6!$B$9,0)+IF(Prime7!$B$8="Y",Prime7!B78*Prime7!$B$9,0)+IF(Prime8!$B$8="Y",Prime8!B78*Prime8!$B$9,0)+IF(Prime9!$B$8="Y",Prime9!B78*Prime9!$B$9,0)+IF(Prime10!$B$8="Y",Prime10!B78*Prime10!$B$9,0))/100000</f>
        <v>0</v>
      </c>
      <c r="C71" s="70">
        <f>(IF(Prime1!$B$8="Y",Prime1!C78*Prime1!$B$9,0)+IF(Prime2!$B$8="Y",Prime2!C78*Prime2!$B$9,0)+IF(Prime3!$B$8="Y",Prime3!C78*Prime3!$B$9,0)+IF(Prime4!$B$8="Y",Prime4!C78*Prime4!$B$9,0)+IF(Prime5!$B$8="Y",Prime5!C78*Prime5!$B$9,0)+IF(Prime6!$B$8="Y",Prime6!C78*Prime6!$B$9,0)+IF(Prime7!$B$8="Y",Prime7!C78*Prime7!$B$9,0)+IF(Prime8!$B$8="Y",Prime8!C78*Prime8!$B$9,0)+IF(Prime9!$B$8="Y",Prime9!C78*Prime9!$B$9,0)+IF(Prime10!$B$8="Y",Prime10!C78*Prime10!$B$9,0))/100000</f>
        <v>0</v>
      </c>
      <c r="D71" s="70">
        <f>(IF(Prime1!$B$8="Y",Prime1!D78*Prime1!$B$9,0)+IF(Prime2!$B$8="Y",Prime2!D78*Prime2!$B$9,0)+IF(Prime3!$B$8="Y",Prime3!D78*Prime3!$B$9,0)+IF(Prime4!$B$8="Y",Prime4!D78*Prime4!$B$9,0)+IF(Prime5!$B$8="Y",Prime5!D78*Prime5!$B$9,0)+IF(Prime6!$B$8="Y",Prime6!D78*Prime6!$B$9,0)+IF(Prime7!$B$8="Y",Prime7!D78*Prime7!$B$9,0)+IF(Prime8!$B$8="Y",Prime8!D78*Prime8!$B$9,0)+IF(Prime9!$B$8="Y",Prime9!D78*Prime9!$B$9,0)+IF(Prime10!$B$8="Y",Prime10!D78*Prime10!$B$9,0))/100000</f>
        <v>0</v>
      </c>
      <c r="E71" s="113">
        <f>(IF(Prime1!$B$8="Y",Prime1!E78*Prime1!$B$9,0)+IF(Prime2!$B$8="Y",Prime2!E78*Prime2!$B$9,0)+IF(Prime3!$B$8="Y",Prime3!E78*Prime3!$B$9,0)+IF(Prime4!$B$8="Y",Prime4!E78*Prime4!$B$9,0)+IF(Prime5!$B$8="Y",Prime5!E78*Prime5!$B$9,0)+IF(Prime6!$B$8="Y",Prime6!E78*Prime6!$B$9,0)+IF(Prime7!$B$8="Y",Prime7!E78*Prime7!$B$9,0)+IF(Prime8!$B$8="Y",Prime8!E78*Prime8!$B$9,0)+IF(Prime9!$B$8="Y",Prime9!E78*Prime9!$B$9,0)+IF(Prime10!$B$8="Y",Prime10!E78*Prime10!$B$9,0))/100000</f>
        <v>0</v>
      </c>
      <c r="F71" s="56" t="str">
        <f t="shared" si="12"/>
        <v>-</v>
      </c>
      <c r="G71" s="56" t="str">
        <f t="shared" si="13"/>
        <v>-</v>
      </c>
    </row>
    <row r="72" spans="1:7">
      <c r="A72" s="60" t="s">
        <v>907</v>
      </c>
      <c r="B72" s="70">
        <f>(IF(Prime1!$B$8="Y",Prime1!B79*Prime1!$B$9,0)+IF(Prime2!$B$8="Y",Prime2!B79*Prime2!$B$9,0)+IF(Prime3!$B$8="Y",Prime3!B79*Prime3!$B$9,0)+IF(Prime4!$B$8="Y",Prime4!B79*Prime4!$B$9,0)+IF(Prime5!$B$8="Y",Prime5!B79*Prime5!$B$9,0)+IF(Prime6!$B$8="Y",Prime6!B79*Prime6!$B$9,0)+IF(Prime7!$B$8="Y",Prime7!B79*Prime7!$B$9,0)+IF(Prime8!$B$8="Y",Prime8!B79*Prime8!$B$9,0)+IF(Prime9!$B$8="Y",Prime9!B79*Prime9!$B$9,0)+IF(Prime10!$B$8="Y",Prime10!B79*Prime10!$B$9,0))/100000</f>
        <v>0</v>
      </c>
      <c r="C72" s="70">
        <f>(IF(Prime1!$B$8="Y",Prime1!C79*Prime1!$B$9,0)+IF(Prime2!$B$8="Y",Prime2!C79*Prime2!$B$9,0)+IF(Prime3!$B$8="Y",Prime3!C79*Prime3!$B$9,0)+IF(Prime4!$B$8="Y",Prime4!C79*Prime4!$B$9,0)+IF(Prime5!$B$8="Y",Prime5!C79*Prime5!$B$9,0)+IF(Prime6!$B$8="Y",Prime6!C79*Prime6!$B$9,0)+IF(Prime7!$B$8="Y",Prime7!C79*Prime7!$B$9,0)+IF(Prime8!$B$8="Y",Prime8!C79*Prime8!$B$9,0)+IF(Prime9!$B$8="Y",Prime9!C79*Prime9!$B$9,0)+IF(Prime10!$B$8="Y",Prime10!C79*Prime10!$B$9,0))/100000</f>
        <v>0</v>
      </c>
      <c r="D72" s="70">
        <f>(IF(Prime1!$B$8="Y",Prime1!D79*Prime1!$B$9,0)+IF(Prime2!$B$8="Y",Prime2!D79*Prime2!$B$9,0)+IF(Prime3!$B$8="Y",Prime3!D79*Prime3!$B$9,0)+IF(Prime4!$B$8="Y",Prime4!D79*Prime4!$B$9,0)+IF(Prime5!$B$8="Y",Prime5!D79*Prime5!$B$9,0)+IF(Prime6!$B$8="Y",Prime6!D79*Prime6!$B$9,0)+IF(Prime7!$B$8="Y",Prime7!D79*Prime7!$B$9,0)+IF(Prime8!$B$8="Y",Prime8!D79*Prime8!$B$9,0)+IF(Prime9!$B$8="Y",Prime9!D79*Prime9!$B$9,0)+IF(Prime10!$B$8="Y",Prime10!D79*Prime10!$B$9,0))/100000</f>
        <v>0</v>
      </c>
      <c r="E72" s="113">
        <f>(IF(Prime1!$B$8="Y",Prime1!E79*Prime1!$B$9,0)+IF(Prime2!$B$8="Y",Prime2!E79*Prime2!$B$9,0)+IF(Prime3!$B$8="Y",Prime3!E79*Prime3!$B$9,0)+IF(Prime4!$B$8="Y",Prime4!E79*Prime4!$B$9,0)+IF(Prime5!$B$8="Y",Prime5!E79*Prime5!$B$9,0)+IF(Prime6!$B$8="Y",Prime6!E79*Prime6!$B$9,0)+IF(Prime7!$B$8="Y",Prime7!E79*Prime7!$B$9,0)+IF(Prime8!$B$8="Y",Prime8!E79*Prime8!$B$9,0)+IF(Prime9!$B$8="Y",Prime9!E79*Prime9!$B$9,0)+IF(Prime10!$B$8="Y",Prime10!E79*Prime10!$B$9,0))/100000</f>
        <v>0</v>
      </c>
      <c r="F72" s="56" t="str">
        <f t="shared" si="12"/>
        <v>-</v>
      </c>
      <c r="G72" s="56" t="str">
        <f t="shared" si="13"/>
        <v>-</v>
      </c>
    </row>
    <row r="73" spans="1:7">
      <c r="A73" s="60" t="s">
        <v>908</v>
      </c>
      <c r="B73" s="70">
        <f>SUM(B74:B75)</f>
        <v>0</v>
      </c>
      <c r="C73" s="70">
        <f>SUM(C74:C75)</f>
        <v>0</v>
      </c>
      <c r="D73" s="70">
        <f>SUM(D74:D75)</f>
        <v>0</v>
      </c>
      <c r="E73" s="70">
        <f>SUM(E74:E75)</f>
        <v>0</v>
      </c>
      <c r="F73" s="56" t="str">
        <f t="shared" si="9"/>
        <v>-</v>
      </c>
      <c r="G73" s="56" t="str">
        <f t="shared" si="9"/>
        <v>-</v>
      </c>
    </row>
    <row r="74" spans="1:7">
      <c r="A74" s="60" t="s">
        <v>909</v>
      </c>
      <c r="B74" s="70">
        <f>(IF(Prime1!$B$8="Y",Prime1!B81*Prime1!$B$9,0)+IF(Prime2!$B$8="Y",Prime2!B81*Prime2!$B$9,0)+IF(Prime3!$B$8="Y",Prime3!B81*Prime3!$B$9,0)+IF(Prime4!$B$8="Y",Prime4!B81*Prime4!$B$9,0)+IF(Prime5!$B$8="Y",Prime5!B81*Prime5!$B$9,0)+IF(Prime6!$B$8="Y",Prime6!B81*Prime6!$B$9,0)+IF(Prime7!$B$8="Y",Prime7!B81*Prime7!$B$9,0)+IF(Prime8!$B$8="Y",Prime8!B81*Prime8!$B$9,0)+IF(Prime9!$B$8="Y",Prime9!B81*Prime9!$B$9,0)+IF(Prime10!$B$8="Y",Prime10!B81*Prime10!$B$9,0))/100000</f>
        <v>0</v>
      </c>
      <c r="C74" s="70">
        <f>(IF(Prime1!$B$8="Y",Prime1!C81*Prime1!$B$9,0)+IF(Prime2!$B$8="Y",Prime2!C81*Prime2!$B$9,0)+IF(Prime3!$B$8="Y",Prime3!C81*Prime3!$B$9,0)+IF(Prime4!$B$8="Y",Prime4!C81*Prime4!$B$9,0)+IF(Prime5!$B$8="Y",Prime5!C81*Prime5!$B$9,0)+IF(Prime6!$B$8="Y",Prime6!C81*Prime6!$B$9,0)+IF(Prime7!$B$8="Y",Prime7!C81*Prime7!$B$9,0)+IF(Prime8!$B$8="Y",Prime8!C81*Prime8!$B$9,0)+IF(Prime9!$B$8="Y",Prime9!C81*Prime9!$B$9,0)+IF(Prime10!$B$8="Y",Prime10!C81*Prime10!$B$9,0))/100000</f>
        <v>0</v>
      </c>
      <c r="D74" s="70">
        <f>(IF(Prime1!$B$8="Y",Prime1!D81*Prime1!$B$9,0)+IF(Prime2!$B$8="Y",Prime2!D81*Prime2!$B$9,0)+IF(Prime3!$B$8="Y",Prime3!D81*Prime3!$B$9,0)+IF(Prime4!$B$8="Y",Prime4!D81*Prime4!$B$9,0)+IF(Prime5!$B$8="Y",Prime5!D81*Prime5!$B$9,0)+IF(Prime6!$B$8="Y",Prime6!D81*Prime6!$B$9,0)+IF(Prime7!$B$8="Y",Prime7!D81*Prime7!$B$9,0)+IF(Prime8!$B$8="Y",Prime8!D81*Prime8!$B$9,0)+IF(Prime9!$B$8="Y",Prime9!D81*Prime9!$B$9,0)+IF(Prime10!$B$8="Y",Prime10!D81*Prime10!$B$9,0))/100000</f>
        <v>0</v>
      </c>
      <c r="E74" s="113">
        <f>(IF(Prime1!$B$8="Y",Prime1!E81*Prime1!$B$9,0)+IF(Prime2!$B$8="Y",Prime2!E81*Prime2!$B$9,0)+IF(Prime3!$B$8="Y",Prime3!E81*Prime3!$B$9,0)+IF(Prime4!$B$8="Y",Prime4!E81*Prime4!$B$9,0)+IF(Prime5!$B$8="Y",Prime5!E81*Prime5!$B$9,0)+IF(Prime6!$B$8="Y",Prime6!E81*Prime6!$B$9,0)+IF(Prime7!$B$8="Y",Prime7!E81*Prime7!$B$9,0)+IF(Prime8!$B$8="Y",Prime8!E81*Prime8!$B$9,0)+IF(Prime9!$B$8="Y",Prime9!E81*Prime9!$B$9,0)+IF(Prime10!$B$8="Y",Prime10!E81*Prime10!$B$9,0))/100000</f>
        <v>0</v>
      </c>
      <c r="F74" s="56" t="str">
        <f t="shared" ref="F74:F75" si="14">IFERROR((C74-D74)/D74,"-")</f>
        <v>-</v>
      </c>
      <c r="G74" s="56" t="str">
        <f t="shared" ref="G74:G75" si="15">IFERROR((D74-E74)/E74,"-")</f>
        <v>-</v>
      </c>
    </row>
    <row r="75" spans="1:7">
      <c r="A75" s="60" t="s">
        <v>910</v>
      </c>
      <c r="B75" s="70">
        <f>(IF(Prime1!$B$8="Y",Prime1!B82*Prime1!$B$9,0)+IF(Prime2!$B$8="Y",Prime2!B82*Prime2!$B$9,0)+IF(Prime3!$B$8="Y",Prime3!B82*Prime3!$B$9,0)+IF(Prime4!$B$8="Y",Prime4!B82*Prime4!$B$9,0)+IF(Prime5!$B$8="Y",Prime5!B82*Prime5!$B$9,0)+IF(Prime6!$B$8="Y",Prime6!B82*Prime6!$B$9,0)+IF(Prime7!$B$8="Y",Prime7!B82*Prime7!$B$9,0)+IF(Prime8!$B$8="Y",Prime8!B82*Prime8!$B$9,0)+IF(Prime9!$B$8="Y",Prime9!B82*Prime9!$B$9,0)+IF(Prime10!$B$8="Y",Prime10!B82*Prime10!$B$9,0))/100000</f>
        <v>0</v>
      </c>
      <c r="C75" s="70">
        <f>(IF(Prime1!$B$8="Y",Prime1!C82*Prime1!$B$9,0)+IF(Prime2!$B$8="Y",Prime2!C82*Prime2!$B$9,0)+IF(Prime3!$B$8="Y",Prime3!C82*Prime3!$B$9,0)+IF(Prime4!$B$8="Y",Prime4!C82*Prime4!$B$9,0)+IF(Prime5!$B$8="Y",Prime5!C82*Prime5!$B$9,0)+IF(Prime6!$B$8="Y",Prime6!C82*Prime6!$B$9,0)+IF(Prime7!$B$8="Y",Prime7!C82*Prime7!$B$9,0)+IF(Prime8!$B$8="Y",Prime8!C82*Prime8!$B$9,0)+IF(Prime9!$B$8="Y",Prime9!C82*Prime9!$B$9,0)+IF(Prime10!$B$8="Y",Prime10!C82*Prime10!$B$9,0))/100000</f>
        <v>0</v>
      </c>
      <c r="D75" s="70">
        <f>(IF(Prime1!$B$8="Y",Prime1!D82*Prime1!$B$9,0)+IF(Prime2!$B$8="Y",Prime2!D82*Prime2!$B$9,0)+IF(Prime3!$B$8="Y",Prime3!D82*Prime3!$B$9,0)+IF(Prime4!$B$8="Y",Prime4!D82*Prime4!$B$9,0)+IF(Prime5!$B$8="Y",Prime5!D82*Prime5!$B$9,0)+IF(Prime6!$B$8="Y",Prime6!D82*Prime6!$B$9,0)+IF(Prime7!$B$8="Y",Prime7!D82*Prime7!$B$9,0)+IF(Prime8!$B$8="Y",Prime8!D82*Prime8!$B$9,0)+IF(Prime9!$B$8="Y",Prime9!D82*Prime9!$B$9,0)+IF(Prime10!$B$8="Y",Prime10!D82*Prime10!$B$9,0))/100000</f>
        <v>0</v>
      </c>
      <c r="E75" s="113">
        <f>(IF(Prime1!$B$8="Y",Prime1!E82*Prime1!$B$9,0)+IF(Prime2!$B$8="Y",Prime2!E82*Prime2!$B$9,0)+IF(Prime3!$B$8="Y",Prime3!E82*Prime3!$B$9,0)+IF(Prime4!$B$8="Y",Prime4!E82*Prime4!$B$9,0)+IF(Prime5!$B$8="Y",Prime5!E82*Prime5!$B$9,0)+IF(Prime6!$B$8="Y",Prime6!E82*Prime6!$B$9,0)+IF(Prime7!$B$8="Y",Prime7!E82*Prime7!$B$9,0)+IF(Prime8!$B$8="Y",Prime8!E82*Prime8!$B$9,0)+IF(Prime9!$B$8="Y",Prime9!E82*Prime9!$B$9,0)+IF(Prime10!$B$8="Y",Prime10!E82*Prime10!$B$9,0))/100000</f>
        <v>0</v>
      </c>
      <c r="F75" s="56" t="str">
        <f t="shared" si="14"/>
        <v>-</v>
      </c>
      <c r="G75" s="56" t="str">
        <f t="shared" si="15"/>
        <v>-</v>
      </c>
    </row>
    <row r="76" spans="1:7">
      <c r="A76" s="60" t="s">
        <v>911</v>
      </c>
      <c r="B76" s="70">
        <f>(IF(Prime1!$B$8="Y",Prime1!B83*Prime1!$B$9,0)+IF(Prime2!$B$8="Y",Prime2!B83*Prime2!$B$9,0)+IF(Prime3!$B$8="Y",Prime3!B83*Prime3!$B$9,0)+IF(Prime4!$B$8="Y",Prime4!B83*Prime4!$B$9,0)+IF(Prime5!$B$8="Y",Prime5!B83*Prime5!$B$9,0)+IF(Prime6!$B$8="Y",Prime6!B83*Prime6!$B$9,0)+IF(Prime7!$B$8="Y",Prime7!B83*Prime7!$B$9,0)+IF(Prime8!$B$8="Y",Prime8!B83*Prime8!$B$9,0)+IF(Prime9!$B$8="Y",Prime9!B83*Prime9!$B$9,0)+IF(Prime10!$B$8="Y",Prime10!B83*Prime10!$B$9,0))/100000</f>
        <v>0</v>
      </c>
      <c r="C76" s="70">
        <f>(IF(Prime1!$B$8="Y",Prime1!C83*Prime1!$B$9,0)+IF(Prime2!$B$8="Y",Prime2!C83*Prime2!$B$9,0)+IF(Prime3!$B$8="Y",Prime3!C83*Prime3!$B$9,0)+IF(Prime4!$B$8="Y",Prime4!C83*Prime4!$B$9,0)+IF(Prime5!$B$8="Y",Prime5!C83*Prime5!$B$9,0)+IF(Prime6!$B$8="Y",Prime6!C83*Prime6!$B$9,0)+IF(Prime7!$B$8="Y",Prime7!C83*Prime7!$B$9,0)+IF(Prime8!$B$8="Y",Prime8!C83*Prime8!$B$9,0)+IF(Prime9!$B$8="Y",Prime9!C83*Prime9!$B$9,0)+IF(Prime10!$B$8="Y",Prime10!C83*Prime10!$B$9,0))/100000</f>
        <v>0</v>
      </c>
      <c r="D76" s="70">
        <f>(IF(Prime1!$B$8="Y",Prime1!D83*Prime1!$B$9,0)+IF(Prime2!$B$8="Y",Prime2!D83*Prime2!$B$9,0)+IF(Prime3!$B$8="Y",Prime3!D83*Prime3!$B$9,0)+IF(Prime4!$B$8="Y",Prime4!D83*Prime4!$B$9,0)+IF(Prime5!$B$8="Y",Prime5!D83*Prime5!$B$9,0)+IF(Prime6!$B$8="Y",Prime6!D83*Prime6!$B$9,0)+IF(Prime7!$B$8="Y",Prime7!D83*Prime7!$B$9,0)+IF(Prime8!$B$8="Y",Prime8!D83*Prime8!$B$9,0)+IF(Prime9!$B$8="Y",Prime9!D83*Prime9!$B$9,0)+IF(Prime10!$B$8="Y",Prime10!D83*Prime10!$B$9,0))/100000</f>
        <v>0</v>
      </c>
      <c r="E76" s="113">
        <f>(IF(Prime1!$B$8="Y",Prime1!E83*Prime1!$B$9,0)+IF(Prime2!$B$8="Y",Prime2!E83*Prime2!$B$9,0)+IF(Prime3!$B$8="Y",Prime3!E83*Prime3!$B$9,0)+IF(Prime4!$B$8="Y",Prime4!E83*Prime4!$B$9,0)+IF(Prime5!$B$8="Y",Prime5!E83*Prime5!$B$9,0)+IF(Prime6!$B$8="Y",Prime6!E83*Prime6!$B$9,0)+IF(Prime7!$B$8="Y",Prime7!E83*Prime7!$B$9,0)+IF(Prime8!$B$8="Y",Prime8!E83*Prime8!$B$9,0)+IF(Prime9!$B$8="Y",Prime9!E83*Prime9!$B$9,0)+IF(Prime10!$B$8="Y",Prime10!E83*Prime10!$B$9,0))/100000</f>
        <v>0</v>
      </c>
      <c r="F76" s="56" t="str">
        <f t="shared" si="9"/>
        <v>-</v>
      </c>
      <c r="G76" s="56" t="str">
        <f t="shared" si="9"/>
        <v>-</v>
      </c>
    </row>
    <row r="77" spans="1:7">
      <c r="A77" s="60" t="s">
        <v>378</v>
      </c>
      <c r="B77" s="70">
        <f>(IF(Prime1!$B$8="Y",Prime1!B84*Prime1!$B$9,0)+IF(Prime2!$B$8="Y",Prime2!B84*Prime2!$B$9,0)+IF(Prime3!$B$8="Y",Prime3!B84*Prime3!$B$9,0)+IF(Prime4!$B$8="Y",Prime4!B84*Prime4!$B$9,0)+IF(Prime5!$B$8="Y",Prime5!B84*Prime5!$B$9,0)+IF(Prime6!$B$8="Y",Prime6!B84*Prime6!$B$9,0)+IF(Prime7!$B$8="Y",Prime7!B84*Prime7!$B$9,0)+IF(Prime8!$B$8="Y",Prime8!B84*Prime8!$B$9,0)+IF(Prime9!$B$8="Y",Prime9!B84*Prime9!$B$9,0)+IF(Prime10!$B$8="Y",Prime10!B84*Prime10!$B$9,0))/100000</f>
        <v>0</v>
      </c>
      <c r="C77" s="70">
        <f>(IF(Prime1!$B$8="Y",Prime1!C84*Prime1!$B$9,0)+IF(Prime2!$B$8="Y",Prime2!C84*Prime2!$B$9,0)+IF(Prime3!$B$8="Y",Prime3!C84*Prime3!$B$9,0)+IF(Prime4!$B$8="Y",Prime4!C84*Prime4!$B$9,0)+IF(Prime5!$B$8="Y",Prime5!C84*Prime5!$B$9,0)+IF(Prime6!$B$8="Y",Prime6!C84*Prime6!$B$9,0)+IF(Prime7!$B$8="Y",Prime7!C84*Prime7!$B$9,0)+IF(Prime8!$B$8="Y",Prime8!C84*Prime8!$B$9,0)+IF(Prime9!$B$8="Y",Prime9!C84*Prime9!$B$9,0)+IF(Prime10!$B$8="Y",Prime10!C84*Prime10!$B$9,0))/100000</f>
        <v>0</v>
      </c>
      <c r="D77" s="70">
        <f>(IF(Prime1!$B$8="Y",Prime1!D84*Prime1!$B$9,0)+IF(Prime2!$B$8="Y",Prime2!D84*Prime2!$B$9,0)+IF(Prime3!$B$8="Y",Prime3!D84*Prime3!$B$9,0)+IF(Prime4!$B$8="Y",Prime4!D84*Prime4!$B$9,0)+IF(Prime5!$B$8="Y",Prime5!D84*Prime5!$B$9,0)+IF(Prime6!$B$8="Y",Prime6!D84*Prime6!$B$9,0)+IF(Prime7!$B$8="Y",Prime7!D84*Prime7!$B$9,0)+IF(Prime8!$B$8="Y",Prime8!D84*Prime8!$B$9,0)+IF(Prime9!$B$8="Y",Prime9!D84*Prime9!$B$9,0)+IF(Prime10!$B$8="Y",Prime10!D84*Prime10!$B$9,0))/100000</f>
        <v>0</v>
      </c>
      <c r="E77" s="113">
        <f>(IF(Prime1!$B$8="Y",Prime1!E84*Prime1!$B$9,0)+IF(Prime2!$B$8="Y",Prime2!E84*Prime2!$B$9,0)+IF(Prime3!$B$8="Y",Prime3!E84*Prime3!$B$9,0)+IF(Prime4!$B$8="Y",Prime4!E84*Prime4!$B$9,0)+IF(Prime5!$B$8="Y",Prime5!E84*Prime5!$B$9,0)+IF(Prime6!$B$8="Y",Prime6!E84*Prime6!$B$9,0)+IF(Prime7!$B$8="Y",Prime7!E84*Prime7!$B$9,0)+IF(Prime8!$B$8="Y",Prime8!E84*Prime8!$B$9,0)+IF(Prime9!$B$8="Y",Prime9!E84*Prime9!$B$9,0)+IF(Prime10!$B$8="Y",Prime10!E84*Prime10!$B$9,0))/100000</f>
        <v>0</v>
      </c>
      <c r="F77" s="56" t="str">
        <f t="shared" si="9"/>
        <v>-</v>
      </c>
      <c r="G77" s="56" t="str">
        <f t="shared" si="9"/>
        <v>-</v>
      </c>
    </row>
    <row r="78" spans="1:7">
      <c r="A78" s="60" t="s">
        <v>912</v>
      </c>
      <c r="B78" s="70">
        <f>(IF(Prime1!$B$8="Y",Prime1!B85*Prime1!$B$9,0)+IF(Prime2!$B$8="Y",Prime2!B85*Prime2!$B$9,0)+IF(Prime3!$B$8="Y",Prime3!B85*Prime3!$B$9,0)+IF(Prime4!$B$8="Y",Prime4!B85*Prime4!$B$9,0)+IF(Prime5!$B$8="Y",Prime5!B85*Prime5!$B$9,0)+IF(Prime6!$B$8="Y",Prime6!B85*Prime6!$B$9,0)+IF(Prime7!$B$8="Y",Prime7!B85*Prime7!$B$9,0)+IF(Prime8!$B$8="Y",Prime8!B85*Prime8!$B$9,0)+IF(Prime9!$B$8="Y",Prime9!B85*Prime9!$B$9,0)+IF(Prime10!$B$8="Y",Prime10!B85*Prime10!$B$9,0))/100000</f>
        <v>0</v>
      </c>
      <c r="C78" s="70">
        <f>(IF(Prime1!$B$8="Y",Prime1!C85*Prime1!$B$9,0)+IF(Prime2!$B$8="Y",Prime2!C85*Prime2!$B$9,0)+IF(Prime3!$B$8="Y",Prime3!C85*Prime3!$B$9,0)+IF(Prime4!$B$8="Y",Prime4!C85*Prime4!$B$9,0)+IF(Prime5!$B$8="Y",Prime5!C85*Prime5!$B$9,0)+IF(Prime6!$B$8="Y",Prime6!C85*Prime6!$B$9,0)+IF(Prime7!$B$8="Y",Prime7!C85*Prime7!$B$9,0)+IF(Prime8!$B$8="Y",Prime8!C85*Prime8!$B$9,0)+IF(Prime9!$B$8="Y",Prime9!C85*Prime9!$B$9,0)+IF(Prime10!$B$8="Y",Prime10!C85*Prime10!$B$9,0))/100000</f>
        <v>0</v>
      </c>
      <c r="D78" s="70">
        <f>(IF(Prime1!$B$8="Y",Prime1!D85*Prime1!$B$9,0)+IF(Prime2!$B$8="Y",Prime2!D85*Prime2!$B$9,0)+IF(Prime3!$B$8="Y",Prime3!D85*Prime3!$B$9,0)+IF(Prime4!$B$8="Y",Prime4!D85*Prime4!$B$9,0)+IF(Prime5!$B$8="Y",Prime5!D85*Prime5!$B$9,0)+IF(Prime6!$B$8="Y",Prime6!D85*Prime6!$B$9,0)+IF(Prime7!$B$8="Y",Prime7!D85*Prime7!$B$9,0)+IF(Prime8!$B$8="Y",Prime8!D85*Prime8!$B$9,0)+IF(Prime9!$B$8="Y",Prime9!D85*Prime9!$B$9,0)+IF(Prime10!$B$8="Y",Prime10!D85*Prime10!$B$9,0))/100000</f>
        <v>0</v>
      </c>
      <c r="E78" s="113">
        <f>(IF(Prime1!$B$8="Y",Prime1!E85*Prime1!$B$9,0)+IF(Prime2!$B$8="Y",Prime2!E85*Prime2!$B$9,0)+IF(Prime3!$B$8="Y",Prime3!E85*Prime3!$B$9,0)+IF(Prime4!$B$8="Y",Prime4!E85*Prime4!$B$9,0)+IF(Prime5!$B$8="Y",Prime5!E85*Prime5!$B$9,0)+IF(Prime6!$B$8="Y",Prime6!E85*Prime6!$B$9,0)+IF(Prime7!$B$8="Y",Prime7!E85*Prime7!$B$9,0)+IF(Prime8!$B$8="Y",Prime8!E85*Prime8!$B$9,0)+IF(Prime9!$B$8="Y",Prime9!E85*Prime9!$B$9,0)+IF(Prime10!$B$8="Y",Prime10!E85*Prime10!$B$9,0))/100000</f>
        <v>0</v>
      </c>
      <c r="F78" s="56" t="str">
        <f t="shared" si="9"/>
        <v>-</v>
      </c>
      <c r="G78" s="56" t="str">
        <f t="shared" si="9"/>
        <v>-</v>
      </c>
    </row>
    <row r="79" spans="1:7">
      <c r="A79" s="48" t="s">
        <v>913</v>
      </c>
      <c r="B79" s="58">
        <f>SUM(B80:B83)</f>
        <v>0</v>
      </c>
      <c r="C79" s="58">
        <f>SUM(C80:C83)</f>
        <v>0</v>
      </c>
      <c r="D79" s="58">
        <f>SUM(D80:D83)</f>
        <v>0</v>
      </c>
      <c r="E79" s="116">
        <f>SUM(E80:E83)</f>
        <v>0</v>
      </c>
      <c r="F79" s="59" t="str">
        <f t="shared" si="9"/>
        <v>-</v>
      </c>
      <c r="G79" s="59" t="str">
        <f t="shared" si="9"/>
        <v>-</v>
      </c>
    </row>
    <row r="80" spans="1:7">
      <c r="A80" s="60" t="s">
        <v>914</v>
      </c>
      <c r="B80" s="70">
        <f>(IF(Prime1!$B$8="Y",Prime1!B87*Prime1!$B$9,0)+IF(Prime2!$B$8="Y",Prime2!B87*Prime2!$B$9,0)+IF(Prime3!$B$8="Y",Prime3!B87*Prime3!$B$9,0)+IF(Prime4!$B$8="Y",Prime4!B87*Prime4!$B$9,0)+IF(Prime5!$B$8="Y",Prime5!B87*Prime5!$B$9,0)+IF(Prime6!$B$8="Y",Prime6!B87*Prime6!$B$9,0)+IF(Prime7!$B$8="Y",Prime7!B87*Prime7!$B$9,0)+IF(Prime8!$B$8="Y",Prime8!B87*Prime8!$B$9,0)+IF(Prime9!$B$8="Y",Prime9!B87*Prime9!$B$9,0)+IF(Prime10!$B$8="Y",Prime10!B87*Prime10!$B$9,0))/100000</f>
        <v>0</v>
      </c>
      <c r="C80" s="70">
        <f>(IF(Prime1!$B$8="Y",Prime1!C87*Prime1!$B$9,0)+IF(Prime2!$B$8="Y",Prime2!C87*Prime2!$B$9,0)+IF(Prime3!$B$8="Y",Prime3!C87*Prime3!$B$9,0)+IF(Prime4!$B$8="Y",Prime4!C87*Prime4!$B$9,0)+IF(Prime5!$B$8="Y",Prime5!C87*Prime5!$B$9,0)+IF(Prime6!$B$8="Y",Prime6!C87*Prime6!$B$9,0)+IF(Prime7!$B$8="Y",Prime7!C87*Prime7!$B$9,0)+IF(Prime8!$B$8="Y",Prime8!C87*Prime8!$B$9,0)+IF(Prime9!$B$8="Y",Prime9!C87*Prime9!$B$9,0)+IF(Prime10!$B$8="Y",Prime10!C87*Prime10!$B$9,0))/100000</f>
        <v>0</v>
      </c>
      <c r="D80" s="70">
        <f>(IF(Prime1!$B$8="Y",Prime1!D87*Prime1!$B$9,0)+IF(Prime2!$B$8="Y",Prime2!D87*Prime2!$B$9,0)+IF(Prime3!$B$8="Y",Prime3!D87*Prime3!$B$9,0)+IF(Prime4!$B$8="Y",Prime4!D87*Prime4!$B$9,0)+IF(Prime5!$B$8="Y",Prime5!D87*Prime5!$B$9,0)+IF(Prime6!$B$8="Y",Prime6!D87*Prime6!$B$9,0)+IF(Prime7!$B$8="Y",Prime7!D87*Prime7!$B$9,0)+IF(Prime8!$B$8="Y",Prime8!D87*Prime8!$B$9,0)+IF(Prime9!$B$8="Y",Prime9!D87*Prime9!$B$9,0)+IF(Prime10!$B$8="Y",Prime10!D87*Prime10!$B$9,0))/100000</f>
        <v>0</v>
      </c>
      <c r="E80" s="113">
        <f>(IF(Prime1!$B$8="Y",Prime1!E87*Prime1!$B$9,0)+IF(Prime2!$B$8="Y",Prime2!E87*Prime2!$B$9,0)+IF(Prime3!$B$8="Y",Prime3!E87*Prime3!$B$9,0)+IF(Prime4!$B$8="Y",Prime4!E87*Prime4!$B$9,0)+IF(Prime5!$B$8="Y",Prime5!E87*Prime5!$B$9,0)+IF(Prime6!$B$8="Y",Prime6!E87*Prime6!$B$9,0)+IF(Prime7!$B$8="Y",Prime7!E87*Prime7!$B$9,0)+IF(Prime8!$B$8="Y",Prime8!E87*Prime8!$B$9,0)+IF(Prime9!$B$8="Y",Prime9!E87*Prime9!$B$9,0)+IF(Prime10!$B$8="Y",Prime10!E87*Prime10!$B$9,0))/100000</f>
        <v>0</v>
      </c>
      <c r="F80" s="56" t="str">
        <f t="shared" si="9"/>
        <v>-</v>
      </c>
      <c r="G80" s="56" t="str">
        <f t="shared" si="9"/>
        <v>-</v>
      </c>
    </row>
    <row r="81" spans="1:7">
      <c r="A81" s="60" t="s">
        <v>915</v>
      </c>
      <c r="B81" s="70">
        <f>(IF(Prime1!$B$8="Y",Prime1!B88*Prime1!$B$9,0)+IF(Prime2!$B$8="Y",Prime2!B88*Prime2!$B$9,0)+IF(Prime3!$B$8="Y",Prime3!B88*Prime3!$B$9,0)+IF(Prime4!$B$8="Y",Prime4!B88*Prime4!$B$9,0)+IF(Prime5!$B$8="Y",Prime5!B88*Prime5!$B$9,0)+IF(Prime6!$B$8="Y",Prime6!B88*Prime6!$B$9,0)+IF(Prime7!$B$8="Y",Prime7!B88*Prime7!$B$9,0)+IF(Prime8!$B$8="Y",Prime8!B88*Prime8!$B$9,0)+IF(Prime9!$B$8="Y",Prime9!B88*Prime9!$B$9,0)+IF(Prime10!$B$8="Y",Prime10!B88*Prime10!$B$9,0))/100000</f>
        <v>0</v>
      </c>
      <c r="C81" s="70">
        <f>(IF(Prime1!$B$8="Y",Prime1!C88*Prime1!$B$9,0)+IF(Prime2!$B$8="Y",Prime2!C88*Prime2!$B$9,0)+IF(Prime3!$B$8="Y",Prime3!C88*Prime3!$B$9,0)+IF(Prime4!$B$8="Y",Prime4!C88*Prime4!$B$9,0)+IF(Prime5!$B$8="Y",Prime5!C88*Prime5!$B$9,0)+IF(Prime6!$B$8="Y",Prime6!C88*Prime6!$B$9,0)+IF(Prime7!$B$8="Y",Prime7!C88*Prime7!$B$9,0)+IF(Prime8!$B$8="Y",Prime8!C88*Prime8!$B$9,0)+IF(Prime9!$B$8="Y",Prime9!C88*Prime9!$B$9,0)+IF(Prime10!$B$8="Y",Prime10!C88*Prime10!$B$9,0))/100000</f>
        <v>0</v>
      </c>
      <c r="D81" s="70">
        <f>(IF(Prime1!$B$8="Y",Prime1!D88*Prime1!$B$9,0)+IF(Prime2!$B$8="Y",Prime2!D88*Prime2!$B$9,0)+IF(Prime3!$B$8="Y",Prime3!D88*Prime3!$B$9,0)+IF(Prime4!$B$8="Y",Prime4!D88*Prime4!$B$9,0)+IF(Prime5!$B$8="Y",Prime5!D88*Prime5!$B$9,0)+IF(Prime6!$B$8="Y",Prime6!D88*Prime6!$B$9,0)+IF(Prime7!$B$8="Y",Prime7!D88*Prime7!$B$9,0)+IF(Prime8!$B$8="Y",Prime8!D88*Prime8!$B$9,0)+IF(Prime9!$B$8="Y",Prime9!D88*Prime9!$B$9,0)+IF(Prime10!$B$8="Y",Prime10!D88*Prime10!$B$9,0))/100000</f>
        <v>0</v>
      </c>
      <c r="E81" s="113">
        <f>(IF(Prime1!$B$8="Y",Prime1!E88*Prime1!$B$9,0)+IF(Prime2!$B$8="Y",Prime2!E88*Prime2!$B$9,0)+IF(Prime3!$B$8="Y",Prime3!E88*Prime3!$B$9,0)+IF(Prime4!$B$8="Y",Prime4!E88*Prime4!$B$9,0)+IF(Prime5!$B$8="Y",Prime5!E88*Prime5!$B$9,0)+IF(Prime6!$B$8="Y",Prime6!E88*Prime6!$B$9,0)+IF(Prime7!$B$8="Y",Prime7!E88*Prime7!$B$9,0)+IF(Prime8!$B$8="Y",Prime8!E88*Prime8!$B$9,0)+IF(Prime9!$B$8="Y",Prime9!E88*Prime9!$B$9,0)+IF(Prime10!$B$8="Y",Prime10!E88*Prime10!$B$9,0))/100000</f>
        <v>0</v>
      </c>
      <c r="F81" s="56" t="str">
        <f t="shared" si="9"/>
        <v>-</v>
      </c>
      <c r="G81" s="56" t="str">
        <f t="shared" si="9"/>
        <v>-</v>
      </c>
    </row>
    <row r="82" spans="1:7">
      <c r="A82" s="60" t="s">
        <v>916</v>
      </c>
      <c r="B82" s="70">
        <f>(IF(Prime1!$B$8="Y",Prime1!B89*Prime1!$B$9,0)+IF(Prime2!$B$8="Y",Prime2!B89*Prime2!$B$9,0)+IF(Prime3!$B$8="Y",Prime3!B89*Prime3!$B$9,0)+IF(Prime4!$B$8="Y",Prime4!B89*Prime4!$B$9,0)+IF(Prime5!$B$8="Y",Prime5!B89*Prime5!$B$9,0)+IF(Prime6!$B$8="Y",Prime6!B89*Prime6!$B$9,0)+IF(Prime7!$B$8="Y",Prime7!B89*Prime7!$B$9,0)+IF(Prime8!$B$8="Y",Prime8!B89*Prime8!$B$9,0)+IF(Prime9!$B$8="Y",Prime9!B89*Prime9!$B$9,0)+IF(Prime10!$B$8="Y",Prime10!B89*Prime10!$B$9,0))/100000</f>
        <v>0</v>
      </c>
      <c r="C82" s="70">
        <f>(IF(Prime1!$B$8="Y",Prime1!C89*Prime1!$B$9,0)+IF(Prime2!$B$8="Y",Prime2!C89*Prime2!$B$9,0)+IF(Prime3!$B$8="Y",Prime3!C89*Prime3!$B$9,0)+IF(Prime4!$B$8="Y",Prime4!C89*Prime4!$B$9,0)+IF(Prime5!$B$8="Y",Prime5!C89*Prime5!$B$9,0)+IF(Prime6!$B$8="Y",Prime6!C89*Prime6!$B$9,0)+IF(Prime7!$B$8="Y",Prime7!C89*Prime7!$B$9,0)+IF(Prime8!$B$8="Y",Prime8!C89*Prime8!$B$9,0)+IF(Prime9!$B$8="Y",Prime9!C89*Prime9!$B$9,0)+IF(Prime10!$B$8="Y",Prime10!C89*Prime10!$B$9,0))/100000</f>
        <v>0</v>
      </c>
      <c r="D82" s="70">
        <f>(IF(Prime1!$B$8="Y",Prime1!D89*Prime1!$B$9,0)+IF(Prime2!$B$8="Y",Prime2!D89*Prime2!$B$9,0)+IF(Prime3!$B$8="Y",Prime3!D89*Prime3!$B$9,0)+IF(Prime4!$B$8="Y",Prime4!D89*Prime4!$B$9,0)+IF(Prime5!$B$8="Y",Prime5!D89*Prime5!$B$9,0)+IF(Prime6!$B$8="Y",Prime6!D89*Prime6!$B$9,0)+IF(Prime7!$B$8="Y",Prime7!D89*Prime7!$B$9,0)+IF(Prime8!$B$8="Y",Prime8!D89*Prime8!$B$9,0)+IF(Prime9!$B$8="Y",Prime9!D89*Prime9!$B$9,0)+IF(Prime10!$B$8="Y",Prime10!D89*Prime10!$B$9,0))/100000</f>
        <v>0</v>
      </c>
      <c r="E82" s="113">
        <f>(IF(Prime1!$B$8="Y",Prime1!E89*Prime1!$B$9,0)+IF(Prime2!$B$8="Y",Prime2!E89*Prime2!$B$9,0)+IF(Prime3!$B$8="Y",Prime3!E89*Prime3!$B$9,0)+IF(Prime4!$B$8="Y",Prime4!E89*Prime4!$B$9,0)+IF(Prime5!$B$8="Y",Prime5!E89*Prime5!$B$9,0)+IF(Prime6!$B$8="Y",Prime6!E89*Prime6!$B$9,0)+IF(Prime7!$B$8="Y",Prime7!E89*Prime7!$B$9,0)+IF(Prime8!$B$8="Y",Prime8!E89*Prime8!$B$9,0)+IF(Prime9!$B$8="Y",Prime9!E89*Prime9!$B$9,0)+IF(Prime10!$B$8="Y",Prime10!E89*Prime10!$B$9,0))/100000</f>
        <v>0</v>
      </c>
      <c r="F82" s="56" t="str">
        <f t="shared" si="9"/>
        <v>-</v>
      </c>
      <c r="G82" s="56" t="str">
        <f t="shared" si="9"/>
        <v>-</v>
      </c>
    </row>
    <row r="83" spans="1:7">
      <c r="A83" s="60" t="s">
        <v>917</v>
      </c>
      <c r="B83" s="70">
        <f>(IF(Prime1!$B$8="Y",Prime1!B90*Prime1!$B$9,0)+IF(Prime2!$B$8="Y",Prime2!B90*Prime2!$B$9,0)+IF(Prime3!$B$8="Y",Prime3!B90*Prime3!$B$9,0)+IF(Prime4!$B$8="Y",Prime4!B90*Prime4!$B$9,0)+IF(Prime5!$B$8="Y",Prime5!B90*Prime5!$B$9,0)+IF(Prime6!$B$8="Y",Prime6!B90*Prime6!$B$9,0)+IF(Prime7!$B$8="Y",Prime7!B90*Prime7!$B$9,0)+IF(Prime8!$B$8="Y",Prime8!B90*Prime8!$B$9,0)+IF(Prime9!$B$8="Y",Prime9!B90*Prime9!$B$9,0)+IF(Prime10!$B$8="Y",Prime10!B90*Prime10!$B$9,0))/100000</f>
        <v>0</v>
      </c>
      <c r="C83" s="70">
        <f>(IF(Prime1!$B$8="Y",Prime1!C90*Prime1!$B$9,0)+IF(Prime2!$B$8="Y",Prime2!C90*Prime2!$B$9,0)+IF(Prime3!$B$8="Y",Prime3!C90*Prime3!$B$9,0)+IF(Prime4!$B$8="Y",Prime4!C90*Prime4!$B$9,0)+IF(Prime5!$B$8="Y",Prime5!C90*Prime5!$B$9,0)+IF(Prime6!$B$8="Y",Prime6!C90*Prime6!$B$9,0)+IF(Prime7!$B$8="Y",Prime7!C90*Prime7!$B$9,0)+IF(Prime8!$B$8="Y",Prime8!C90*Prime8!$B$9,0)+IF(Prime9!$B$8="Y",Prime9!C90*Prime9!$B$9,0)+IF(Prime10!$B$8="Y",Prime10!C90*Prime10!$B$9,0))/100000</f>
        <v>0</v>
      </c>
      <c r="D83" s="70">
        <f>(IF(Prime1!$B$8="Y",Prime1!D90*Prime1!$B$9,0)+IF(Prime2!$B$8="Y",Prime2!D90*Prime2!$B$9,0)+IF(Prime3!$B$8="Y",Prime3!D90*Prime3!$B$9,0)+IF(Prime4!$B$8="Y",Prime4!D90*Prime4!$B$9,0)+IF(Prime5!$B$8="Y",Prime5!D90*Prime5!$B$9,0)+IF(Prime6!$B$8="Y",Prime6!D90*Prime6!$B$9,0)+IF(Prime7!$B$8="Y",Prime7!D90*Prime7!$B$9,0)+IF(Prime8!$B$8="Y",Prime8!D90*Prime8!$B$9,0)+IF(Prime9!$B$8="Y",Prime9!D90*Prime9!$B$9,0)+IF(Prime10!$B$8="Y",Prime10!D90*Prime10!$B$9,0))/100000</f>
        <v>0</v>
      </c>
      <c r="E83" s="113">
        <f>(IF(Prime1!$B$8="Y",Prime1!E90*Prime1!$B$9,0)+IF(Prime2!$B$8="Y",Prime2!E90*Prime2!$B$9,0)+IF(Prime3!$B$8="Y",Prime3!E90*Prime3!$B$9,0)+IF(Prime4!$B$8="Y",Prime4!E90*Prime4!$B$9,0)+IF(Prime5!$B$8="Y",Prime5!E90*Prime5!$B$9,0)+IF(Prime6!$B$8="Y",Prime6!E90*Prime6!$B$9,0)+IF(Prime7!$B$8="Y",Prime7!E90*Prime7!$B$9,0)+IF(Prime8!$B$8="Y",Prime8!E90*Prime8!$B$9,0)+IF(Prime9!$B$8="Y",Prime9!E90*Prime9!$B$9,0)+IF(Prime10!$B$8="Y",Prime10!E90*Prime10!$B$9,0))/100000</f>
        <v>0</v>
      </c>
      <c r="F83" s="56" t="str">
        <f t="shared" si="9"/>
        <v>-</v>
      </c>
      <c r="G83" s="56" t="str">
        <f t="shared" si="9"/>
        <v>-</v>
      </c>
    </row>
    <row r="84" spans="1:7">
      <c r="A84" s="48" t="s">
        <v>918</v>
      </c>
      <c r="B84" s="58">
        <f>+B67-B79</f>
        <v>0</v>
      </c>
      <c r="C84" s="58">
        <f>+C67-C79</f>
        <v>0</v>
      </c>
      <c r="D84" s="58">
        <f>+D67-D79</f>
        <v>0</v>
      </c>
      <c r="E84" s="116">
        <f>+E67-E79</f>
        <v>0</v>
      </c>
      <c r="F84" s="59" t="str">
        <f t="shared" si="9"/>
        <v>-</v>
      </c>
      <c r="G84" s="59" t="str">
        <f t="shared" si="9"/>
        <v>-</v>
      </c>
    </row>
    <row r="85" spans="1:7">
      <c r="A85" s="60" t="s">
        <v>919</v>
      </c>
      <c r="B85" s="119"/>
      <c r="C85" s="134"/>
      <c r="D85" s="134"/>
      <c r="E85" s="135"/>
      <c r="F85" s="56" t="str">
        <f t="shared" si="9"/>
        <v>-</v>
      </c>
      <c r="G85" s="56" t="str">
        <f t="shared" si="9"/>
        <v>-</v>
      </c>
    </row>
    <row r="86" spans="1:7">
      <c r="A86" s="60" t="s">
        <v>920</v>
      </c>
      <c r="B86" s="70">
        <f>(IF(Prime1!$B$8="Y",Prime1!B93*Prime1!$B$9,0)+IF(Prime2!$B$8="Y",Prime2!B93*Prime2!$B$9,0)+IF(Prime3!$B$8="Y",Prime3!B93*Prime3!$B$9,0)+IF(Prime4!$B$8="Y",Prime4!B93*Prime4!$B$9,0)+IF(Prime5!$B$8="Y",Prime5!B93*Prime5!$B$9,0)+IF(Prime6!$B$8="Y",Prime6!B93*Prime6!$B$9,0)+IF(Prime7!$B$8="Y",Prime7!B93*Prime7!$B$9,0)+IF(Prime8!$B$8="Y",Prime8!B93*Prime8!$B$9,0)+IF(Prime9!$B$8="Y",Prime9!B93*Prime9!$B$9,0)+IF(Prime10!$B$8="Y",Prime10!B93*Prime10!$B$9,0))/100000</f>
        <v>0</v>
      </c>
      <c r="C86" s="70">
        <f>(IF(Prime1!$B$8="Y",Prime1!C93*Prime1!$B$9,0)+IF(Prime2!$B$8="Y",Prime2!C93*Prime2!$B$9,0)+IF(Prime3!$B$8="Y",Prime3!C93*Prime3!$B$9,0)+IF(Prime4!$B$8="Y",Prime4!C93*Prime4!$B$9,0)+IF(Prime5!$B$8="Y",Prime5!C93*Prime5!$B$9,0)+IF(Prime6!$B$8="Y",Prime6!C93*Prime6!$B$9,0)+IF(Prime7!$B$8="Y",Prime7!C93*Prime7!$B$9,0)+IF(Prime8!$B$8="Y",Prime8!C93*Prime8!$B$9,0)+IF(Prime9!$B$8="Y",Prime9!C93*Prime9!$B$9,0)+IF(Prime10!$B$8="Y",Prime10!C93*Prime10!$B$9,0))/100000</f>
        <v>0</v>
      </c>
      <c r="D86" s="70">
        <f>(IF(Prime1!$B$8="Y",Prime1!D93*Prime1!$B$9,0)+IF(Prime2!$B$8="Y",Prime2!D93*Prime2!$B$9,0)+IF(Prime3!$B$8="Y",Prime3!D93*Prime3!$B$9,0)+IF(Prime4!$B$8="Y",Prime4!D93*Prime4!$B$9,0)+IF(Prime5!$B$8="Y",Prime5!D93*Prime5!$B$9,0)+IF(Prime6!$B$8="Y",Prime6!D93*Prime6!$B$9,0)+IF(Prime7!$B$8="Y",Prime7!D93*Prime7!$B$9,0)+IF(Prime8!$B$8="Y",Prime8!D93*Prime8!$B$9,0)+IF(Prime9!$B$8="Y",Prime9!D93*Prime9!$B$9,0)+IF(Prime10!$B$8="Y",Prime10!D93*Prime10!$B$9,0))/100000</f>
        <v>0</v>
      </c>
      <c r="E86" s="113">
        <f>(IF(Prime1!$B$8="Y",Prime1!E93*Prime1!$B$9,0)+IF(Prime2!$B$8="Y",Prime2!E93*Prime2!$B$9,0)+IF(Prime3!$B$8="Y",Prime3!E93*Prime3!$B$9,0)+IF(Prime4!$B$8="Y",Prime4!E93*Prime4!$B$9,0)+IF(Prime5!$B$8="Y",Prime5!E93*Prime5!$B$9,0)+IF(Prime6!$B$8="Y",Prime6!E93*Prime6!$B$9,0)+IF(Prime7!$B$8="Y",Prime7!E93*Prime7!$B$9,0)+IF(Prime8!$B$8="Y",Prime8!E93*Prime8!$B$9,0)+IF(Prime9!$B$8="Y",Prime9!E93*Prime9!$B$9,0)+IF(Prime10!$B$8="Y",Prime10!E93*Prime10!$B$9,0))/100000</f>
        <v>0</v>
      </c>
      <c r="F86" s="56" t="str">
        <f t="shared" si="9"/>
        <v>-</v>
      </c>
      <c r="G86" s="56" t="str">
        <f t="shared" si="9"/>
        <v>-</v>
      </c>
    </row>
    <row r="87" spans="1:7">
      <c r="A87" s="60" t="s">
        <v>921</v>
      </c>
      <c r="B87" s="70">
        <f>(IF(Prime1!$B$8="Y",Prime1!B94*Prime1!$B$9,0)+IF(Prime2!$B$8="Y",Prime2!B94*Prime2!$B$9,0)+IF(Prime3!$B$8="Y",Prime3!B94*Prime3!$B$9,0)+IF(Prime4!$B$8="Y",Prime4!B94*Prime4!$B$9,0)+IF(Prime5!$B$8="Y",Prime5!B94*Prime5!$B$9,0)+IF(Prime6!$B$8="Y",Prime6!B94*Prime6!$B$9,0)+IF(Prime7!$B$8="Y",Prime7!B94*Prime7!$B$9,0)+IF(Prime8!$B$8="Y",Prime8!B94*Prime8!$B$9,0)+IF(Prime9!$B$8="Y",Prime9!B94*Prime9!$B$9,0)+IF(Prime10!$B$8="Y",Prime10!B94*Prime10!$B$9,0))/100000</f>
        <v>0</v>
      </c>
      <c r="C87" s="70">
        <f>(IF(Prime1!$B$8="Y",Prime1!C94*Prime1!$B$9,0)+IF(Prime2!$B$8="Y",Prime2!C94*Prime2!$B$9,0)+IF(Prime3!$B$8="Y",Prime3!C94*Prime3!$B$9,0)+IF(Prime4!$B$8="Y",Prime4!C94*Prime4!$B$9,0)+IF(Prime5!$B$8="Y",Prime5!C94*Prime5!$B$9,0)+IF(Prime6!$B$8="Y",Prime6!C94*Prime6!$B$9,0)+IF(Prime7!$B$8="Y",Prime7!C94*Prime7!$B$9,0)+IF(Prime8!$B$8="Y",Prime8!C94*Prime8!$B$9,0)+IF(Prime9!$B$8="Y",Prime9!C94*Prime9!$B$9,0)+IF(Prime10!$B$8="Y",Prime10!C94*Prime10!$B$9,0))/100000</f>
        <v>0</v>
      </c>
      <c r="D87" s="70">
        <f>(IF(Prime1!$B$8="Y",Prime1!D94*Prime1!$B$9,0)+IF(Prime2!$B$8="Y",Prime2!D94*Prime2!$B$9,0)+IF(Prime3!$B$8="Y",Prime3!D94*Prime3!$B$9,0)+IF(Prime4!$B$8="Y",Prime4!D94*Prime4!$B$9,0)+IF(Prime5!$B$8="Y",Prime5!D94*Prime5!$B$9,0)+IF(Prime6!$B$8="Y",Prime6!D94*Prime6!$B$9,0)+IF(Prime7!$B$8="Y",Prime7!D94*Prime7!$B$9,0)+IF(Prime8!$B$8="Y",Prime8!D94*Prime8!$B$9,0)+IF(Prime9!$B$8="Y",Prime9!D94*Prime9!$B$9,0)+IF(Prime10!$B$8="Y",Prime10!D94*Prime10!$B$9,0))/100000</f>
        <v>0</v>
      </c>
      <c r="E87" s="113">
        <f>(IF(Prime1!$B$8="Y",Prime1!E94*Prime1!$B$9,0)+IF(Prime2!$B$8="Y",Prime2!E94*Prime2!$B$9,0)+IF(Prime3!$B$8="Y",Prime3!E94*Prime3!$B$9,0)+IF(Prime4!$B$8="Y",Prime4!E94*Prime4!$B$9,0)+IF(Prime5!$B$8="Y",Prime5!E94*Prime5!$B$9,0)+IF(Prime6!$B$8="Y",Prime6!E94*Prime6!$B$9,0)+IF(Prime7!$B$8="Y",Prime7!E94*Prime7!$B$9,0)+IF(Prime8!$B$8="Y",Prime8!E94*Prime8!$B$9,0)+IF(Prime9!$B$8="Y",Prime9!E94*Prime9!$B$9,0)+IF(Prime10!$B$8="Y",Prime10!E94*Prime10!$B$9,0))/100000</f>
        <v>0</v>
      </c>
      <c r="F87" s="56" t="str">
        <f t="shared" si="9"/>
        <v>-</v>
      </c>
      <c r="G87" s="56" t="str">
        <f t="shared" si="9"/>
        <v>-</v>
      </c>
    </row>
    <row r="88" spans="1:7">
      <c r="A88" s="60" t="s">
        <v>922</v>
      </c>
      <c r="B88" s="70">
        <f>(IF(Prime1!$B$8="Y",Prime1!B95*Prime1!$B$9,0)+IF(Prime2!$B$8="Y",Prime2!B95*Prime2!$B$9,0)+IF(Prime3!$B$8="Y",Prime3!B95*Prime3!$B$9,0)+IF(Prime4!$B$8="Y",Prime4!B95*Prime4!$B$9,0)+IF(Prime5!$B$8="Y",Prime5!B95*Prime5!$B$9,0)+IF(Prime6!$B$8="Y",Prime6!B95*Prime6!$B$9,0)+IF(Prime7!$B$8="Y",Prime7!B95*Prime7!$B$9,0)+IF(Prime8!$B$8="Y",Prime8!B95*Prime8!$B$9,0)+IF(Prime9!$B$8="Y",Prime9!B95*Prime9!$B$9,0)+IF(Prime10!$B$8="Y",Prime10!B95*Prime10!$B$9,0))/100000</f>
        <v>0</v>
      </c>
      <c r="C88" s="70">
        <f>(IF(Prime1!$B$8="Y",Prime1!C95*Prime1!$B$9,0)+IF(Prime2!$B$8="Y",Prime2!C95*Prime2!$B$9,0)+IF(Prime3!$B$8="Y",Prime3!C95*Prime3!$B$9,0)+IF(Prime4!$B$8="Y",Prime4!C95*Prime4!$B$9,0)+IF(Prime5!$B$8="Y",Prime5!C95*Prime5!$B$9,0)+IF(Prime6!$B$8="Y",Prime6!C95*Prime6!$B$9,0)+IF(Prime7!$B$8="Y",Prime7!C95*Prime7!$B$9,0)+IF(Prime8!$B$8="Y",Prime8!C95*Prime8!$B$9,0)+IF(Prime9!$B$8="Y",Prime9!C95*Prime9!$B$9,0)+IF(Prime10!$B$8="Y",Prime10!C95*Prime10!$B$9,0))/100000</f>
        <v>0</v>
      </c>
      <c r="D88" s="70">
        <f>(IF(Prime1!$B$8="Y",Prime1!D95*Prime1!$B$9,0)+IF(Prime2!$B$8="Y",Prime2!D95*Prime2!$B$9,0)+IF(Prime3!$B$8="Y",Prime3!D95*Prime3!$B$9,0)+IF(Prime4!$B$8="Y",Prime4!D95*Prime4!$B$9,0)+IF(Prime5!$B$8="Y",Prime5!D95*Prime5!$B$9,0)+IF(Prime6!$B$8="Y",Prime6!D95*Prime6!$B$9,0)+IF(Prime7!$B$8="Y",Prime7!D95*Prime7!$B$9,0)+IF(Prime8!$B$8="Y",Prime8!D95*Prime8!$B$9,0)+IF(Prime9!$B$8="Y",Prime9!D95*Prime9!$B$9,0)+IF(Prime10!$B$8="Y",Prime10!D95*Prime10!$B$9,0))/100000</f>
        <v>0</v>
      </c>
      <c r="E88" s="113">
        <f>(IF(Prime1!$B$8="Y",Prime1!E95*Prime1!$B$9,0)+IF(Prime2!$B$8="Y",Prime2!E95*Prime2!$B$9,0)+IF(Prime3!$B$8="Y",Prime3!E95*Prime3!$B$9,0)+IF(Prime4!$B$8="Y",Prime4!E95*Prime4!$B$9,0)+IF(Prime5!$B$8="Y",Prime5!E95*Prime5!$B$9,0)+IF(Prime6!$B$8="Y",Prime6!E95*Prime6!$B$9,0)+IF(Prime7!$B$8="Y",Prime7!E95*Prime7!$B$9,0)+IF(Prime8!$B$8="Y",Prime8!E95*Prime8!$B$9,0)+IF(Prime9!$B$8="Y",Prime9!E95*Prime9!$B$9,0)+IF(Prime10!$B$8="Y",Prime10!E95*Prime10!$B$9,0))/100000</f>
        <v>0</v>
      </c>
      <c r="F88" s="56" t="str">
        <f t="shared" si="9"/>
        <v>-</v>
      </c>
      <c r="G88" s="56" t="str">
        <f t="shared" si="9"/>
        <v>-</v>
      </c>
    </row>
    <row r="89" spans="1:7">
      <c r="A89" s="48" t="s">
        <v>923</v>
      </c>
      <c r="B89" s="58">
        <f>+B84-SUM(B86:B88)</f>
        <v>0</v>
      </c>
      <c r="C89" s="58">
        <f>+C84-SUM(C86:C88)</f>
        <v>0</v>
      </c>
      <c r="D89" s="58">
        <f>+D84-SUM(D86:D88)</f>
        <v>0</v>
      </c>
      <c r="E89" s="116">
        <f>+E84-SUM(E86:E88)</f>
        <v>0</v>
      </c>
      <c r="F89" s="59" t="str">
        <f t="shared" si="9"/>
        <v>-</v>
      </c>
      <c r="G89" s="59" t="str">
        <f t="shared" si="9"/>
        <v>-</v>
      </c>
    </row>
    <row r="90" spans="1:7">
      <c r="A90" s="60" t="s">
        <v>924</v>
      </c>
      <c r="B90" s="70">
        <f>(IF(Prime1!$B$8="Y",Prime1!B97*Prime1!$B$9,0)+IF(Prime2!$B$8="Y",Prime2!B97*Prime2!$B$9,0)+IF(Prime3!$B$8="Y",Prime3!B97*Prime3!$B$9,0)+IF(Prime4!$B$8="Y",Prime4!B97*Prime4!$B$9,0)+IF(Prime5!$B$8="Y",Prime5!B97*Prime5!$B$9,0)+IF(Prime6!$B$8="Y",Prime6!B97*Prime6!$B$9,0)+IF(Prime7!$B$8="Y",Prime7!B97*Prime7!$B$9,0)+IF(Prime8!$B$8="Y",Prime8!B97*Prime8!$B$9,0)+IF(Prime9!$B$8="Y",Prime9!B97*Prime9!$B$9,0)+IF(Prime10!$B$8="Y",Prime10!B97*Prime10!$B$9,0))/100000</f>
        <v>0</v>
      </c>
      <c r="C90" s="70">
        <f>(IF(Prime1!$B$8="Y",Prime1!C97*Prime1!$B$9,0)+IF(Prime2!$B$8="Y",Prime2!C97*Prime2!$B$9,0)+IF(Prime3!$B$8="Y",Prime3!C97*Prime3!$B$9,0)+IF(Prime4!$B$8="Y",Prime4!C97*Prime4!$B$9,0)+IF(Prime5!$B$8="Y",Prime5!C97*Prime5!$B$9,0)+IF(Prime6!$B$8="Y",Prime6!C97*Prime6!$B$9,0)+IF(Prime7!$B$8="Y",Prime7!C97*Prime7!$B$9,0)+IF(Prime8!$B$8="Y",Prime8!C97*Prime8!$B$9,0)+IF(Prime9!$B$8="Y",Prime9!C97*Prime9!$B$9,0)+IF(Prime10!$B$8="Y",Prime10!C97*Prime10!$B$9,0))/100000</f>
        <v>0</v>
      </c>
      <c r="D90" s="70">
        <f>(IF(Prime1!$B$8="Y",Prime1!D97*Prime1!$B$9,0)+IF(Prime2!$B$8="Y",Prime2!D97*Prime2!$B$9,0)+IF(Prime3!$B$8="Y",Prime3!D97*Prime3!$B$9,0)+IF(Prime4!$B$8="Y",Prime4!D97*Prime4!$B$9,0)+IF(Prime5!$B$8="Y",Prime5!D97*Prime5!$B$9,0)+IF(Prime6!$B$8="Y",Prime6!D97*Prime6!$B$9,0)+IF(Prime7!$B$8="Y",Prime7!D97*Prime7!$B$9,0)+IF(Prime8!$B$8="Y",Prime8!D97*Prime8!$B$9,0)+IF(Prime9!$B$8="Y",Prime9!D97*Prime9!$B$9,0)+IF(Prime10!$B$8="Y",Prime10!D97*Prime10!$B$9,0))/100000</f>
        <v>0</v>
      </c>
      <c r="E90" s="113">
        <f>(IF(Prime1!$B$8="Y",Prime1!E97*Prime1!$B$9,0)+IF(Prime2!$B$8="Y",Prime2!E97*Prime2!$B$9,0)+IF(Prime3!$B$8="Y",Prime3!E97*Prime3!$B$9,0)+IF(Prime4!$B$8="Y",Prime4!E97*Prime4!$B$9,0)+IF(Prime5!$B$8="Y",Prime5!E97*Prime5!$B$9,0)+IF(Prime6!$B$8="Y",Prime6!E97*Prime6!$B$9,0)+IF(Prime7!$B$8="Y",Prime7!E97*Prime7!$B$9,0)+IF(Prime8!$B$8="Y",Prime8!E97*Prime8!$B$9,0)+IF(Prime9!$B$8="Y",Prime9!E97*Prime9!$B$9,0)+IF(Prime10!$B$8="Y",Prime10!E97*Prime10!$B$9,0))/100000</f>
        <v>0</v>
      </c>
      <c r="F90" s="56" t="str">
        <f t="shared" si="9"/>
        <v>-</v>
      </c>
      <c r="G90" s="56" t="str">
        <f t="shared" si="9"/>
        <v>-</v>
      </c>
    </row>
    <row r="91" spans="1:7">
      <c r="A91" s="48" t="s">
        <v>925</v>
      </c>
      <c r="B91" s="58">
        <f>SUM(B65:B66)+B89+B90</f>
        <v>0</v>
      </c>
      <c r="C91" s="58">
        <f>SUM(C65:C66)+C89+C90</f>
        <v>0</v>
      </c>
      <c r="D91" s="58">
        <f>SUM(D65:D66)+D89+D90</f>
        <v>0</v>
      </c>
      <c r="E91" s="116">
        <f>SUM(E65:E66)+E89+E90</f>
        <v>0</v>
      </c>
      <c r="F91" s="59" t="str">
        <f t="shared" si="9"/>
        <v>-</v>
      </c>
      <c r="G91" s="59" t="str">
        <f t="shared" si="9"/>
        <v>-</v>
      </c>
    </row>
    <row r="92" spans="1:7">
      <c r="A92" s="73"/>
      <c r="B92" s="136"/>
      <c r="C92" s="137"/>
      <c r="D92" s="137"/>
      <c r="E92" s="137"/>
      <c r="F92" s="138"/>
      <c r="G92" s="138"/>
    </row>
    <row r="93" spans="1:7">
      <c r="A93" s="76" t="s">
        <v>791</v>
      </c>
      <c r="B93" s="65" t="str">
        <f>B51</f>
        <v>Provisionals</v>
      </c>
      <c r="C93" s="65" t="str">
        <f>C51</f>
        <v>31/03/2024</v>
      </c>
      <c r="D93" s="65" t="str">
        <f>D51</f>
        <v>31/03/2023</v>
      </c>
      <c r="E93" s="65" t="str">
        <f>E51</f>
        <v>31/03/2022</v>
      </c>
      <c r="F93" s="138"/>
      <c r="G93" s="138"/>
    </row>
    <row r="94" spans="1:7">
      <c r="A94" s="76" t="s">
        <v>926</v>
      </c>
      <c r="B94" s="77" t="str">
        <f>IFERROR(B26/B20,"-")</f>
        <v>-</v>
      </c>
      <c r="C94" s="77" t="str">
        <f>IFERROR(C26/C20,"-")</f>
        <v>-</v>
      </c>
      <c r="D94" s="77" t="str">
        <f>IFERROR(D26/D20,"-")</f>
        <v>-</v>
      </c>
      <c r="E94" s="77" t="str">
        <f>IFERROR(E26/E20,"-")</f>
        <v>-</v>
      </c>
      <c r="F94" s="139"/>
      <c r="G94" s="139"/>
    </row>
    <row r="95" spans="1:7">
      <c r="A95" s="76" t="s">
        <v>927</v>
      </c>
      <c r="B95" s="77" t="str">
        <f>IFERROR((B42-B27)/B20,"-")</f>
        <v>-</v>
      </c>
      <c r="C95" s="77" t="str">
        <f>IFERROR((C42-C27)/C20,"-")</f>
        <v>-</v>
      </c>
      <c r="D95" s="77" t="str">
        <f>IFERROR((D42-D27)/D20,"-")</f>
        <v>-</v>
      </c>
      <c r="E95" s="77" t="str">
        <f>IFERROR((E42-E27)/E20,"-")</f>
        <v>-</v>
      </c>
      <c r="F95" s="139"/>
      <c r="G95" s="139"/>
    </row>
    <row r="96" spans="1:7">
      <c r="A96" s="76" t="s">
        <v>928</v>
      </c>
      <c r="B96" s="77" t="str">
        <f>IFERROR((B44-B27)/B20,"-")</f>
        <v>-</v>
      </c>
      <c r="C96" s="77" t="str">
        <f>IFERROR((C44-C27)/C20,"-")</f>
        <v>-</v>
      </c>
      <c r="D96" s="77" t="str">
        <f>IFERROR((D44-D27)/D20,"-")</f>
        <v>-</v>
      </c>
      <c r="E96" s="77" t="str">
        <f>IFERROR((E44-E27)/E20,"-")</f>
        <v>-</v>
      </c>
      <c r="F96" s="139"/>
      <c r="G96" s="139"/>
    </row>
    <row r="97" spans="1:7">
      <c r="A97" s="76" t="s">
        <v>929</v>
      </c>
      <c r="B97" s="77" t="str">
        <f>IFERROR((B48-B27)/B20,"-")</f>
        <v>-</v>
      </c>
      <c r="C97" s="77" t="str">
        <f>IFERROR((C48-C27)/C20,"-")</f>
        <v>-</v>
      </c>
      <c r="D97" s="77" t="str">
        <f>IFERROR((D48-D27)/D20,"-")</f>
        <v>-</v>
      </c>
      <c r="E97" s="77" t="str">
        <f>IFERROR((E48-E27)/E20,"-")</f>
        <v>-</v>
      </c>
      <c r="F97" s="139"/>
      <c r="G97" s="139"/>
    </row>
    <row r="98" spans="1:7">
      <c r="A98" s="76" t="s">
        <v>805</v>
      </c>
      <c r="B98" s="58" t="str">
        <f>IFERROR(B31/(B37+B38),"-")</f>
        <v>-</v>
      </c>
      <c r="C98" s="58" t="str">
        <f>IFERROR(C31/(C37+C38),"-")</f>
        <v>-</v>
      </c>
      <c r="D98" s="58" t="str">
        <f>IFERROR(D31/(D37+D38),"-")</f>
        <v>-</v>
      </c>
      <c r="E98" s="58" t="str">
        <f>IFERROR(E31/(E37+E38),"-")</f>
        <v>-</v>
      </c>
      <c r="F98" s="139"/>
      <c r="G98" s="139"/>
    </row>
    <row r="99" spans="1:7">
      <c r="A99" s="76" t="s">
        <v>930</v>
      </c>
      <c r="B99" s="58" t="str">
        <f>IFERROR(B32/AVERAGE(B65:C65),"-")</f>
        <v>-</v>
      </c>
      <c r="C99" s="58" t="str">
        <f>IFERROR(C32/AVERAGE(C65:D65),"-")</f>
        <v>-</v>
      </c>
      <c r="D99" s="58" t="str">
        <f>IFERROR(D32/AVERAGE(D65:E65),"-")</f>
        <v>-</v>
      </c>
      <c r="E99" s="58" t="str">
        <f>IFERROR(E32/AVERAGE(E65:F65),"-")</f>
        <v>-</v>
      </c>
      <c r="F99" s="139"/>
      <c r="G99" s="139"/>
    </row>
    <row r="100" spans="1:7">
      <c r="A100" s="76" t="s">
        <v>931</v>
      </c>
      <c r="B100" s="58" t="str">
        <f>IFERROR((B37+B38)/SUM(B8,B9,B10,B12,B13,B14,B15),"-")</f>
        <v>-</v>
      </c>
      <c r="C100" s="58" t="str">
        <f>IFERROR((C37+C38)/SUM(C8,C9,C10,C12,C13,C14,C15),"-")</f>
        <v>-</v>
      </c>
      <c r="D100" s="58" t="str">
        <f>IFERROR((D37+D38)/SUM(D8,D9,D10,D12,D13,D14,D15),"-")</f>
        <v>-</v>
      </c>
      <c r="E100" s="58" t="str">
        <f>IFERROR((E37+E38)/SUM(E8,E9,E10,E12,E13,E14,E15),"-")</f>
        <v>-</v>
      </c>
      <c r="F100" s="139"/>
      <c r="G100" s="139"/>
    </row>
    <row r="101" spans="1:7">
      <c r="A101" s="76" t="s">
        <v>932</v>
      </c>
      <c r="B101" s="58" t="str">
        <f>IFERROR(B69/SUM(B8,B9,B10,B12,B13,B14,B15),"-")</f>
        <v>-</v>
      </c>
      <c r="C101" s="58" t="str">
        <f>IFERROR(C69/SUM(C8,C9,C10,C12,C13,C14,C15),"-")</f>
        <v>-</v>
      </c>
      <c r="D101" s="58" t="str">
        <f>IFERROR(D69/SUM(D8,D9,D10,D12,D13,D14,D15),"-")</f>
        <v>-</v>
      </c>
      <c r="E101" s="58" t="str">
        <f>IFERROR(E69/SUM(E8,E9,E10,E12,E13,E14,E15),"-")</f>
        <v>-</v>
      </c>
      <c r="F101" s="139"/>
      <c r="G101" s="139"/>
    </row>
    <row r="102" spans="1:7">
      <c r="A102" s="76" t="s">
        <v>933</v>
      </c>
      <c r="B102" s="58" t="str">
        <f>IFERROR(B28/SUM(B8,B9,B10,B12,B13,B14,B15),"-")</f>
        <v>-</v>
      </c>
      <c r="C102" s="58" t="str">
        <f>IFERROR(C28/SUM(C8,C9,C10,C12,C13,C14,C15),"-")</f>
        <v>-</v>
      </c>
      <c r="D102" s="58" t="str">
        <f>IFERROR(D28/SUM(D8,D9,D10,D12,D13,D14,D15),"-")</f>
        <v>-</v>
      </c>
      <c r="E102" s="58" t="str">
        <f>IFERROR(E28/SUM(E8,E9,E10,E12,E13,E14,E15),"-")</f>
        <v>-</v>
      </c>
      <c r="F102" s="139"/>
      <c r="G102" s="139"/>
    </row>
    <row r="103" spans="1:7">
      <c r="A103" s="76" t="s">
        <v>934</v>
      </c>
      <c r="B103" s="58" t="str">
        <f>IFERROR(B25/SUM(B8,B9,B10,B12,B13,B14,B15),"-")</f>
        <v>-</v>
      </c>
      <c r="C103" s="58" t="str">
        <f>IFERROR(C25/SUM(C8,C9,C10,C12,C13,C14,C15),"-")</f>
        <v>-</v>
      </c>
      <c r="D103" s="58" t="str">
        <f>IFERROR(D25/SUM(D8,D9,D10,D12,D13,D14,D15),"-")</f>
        <v>-</v>
      </c>
      <c r="E103" s="58" t="str">
        <f>IFERROR(E25/SUM(E8,E9,E10,E12,E13,E14,E15),"-")</f>
        <v>-</v>
      </c>
      <c r="F103" s="139"/>
      <c r="G103" s="139"/>
    </row>
    <row r="104" spans="1:7">
      <c r="A104" s="76" t="s">
        <v>935</v>
      </c>
      <c r="B104" s="58" t="str">
        <f>IFERROR(B73/B20*365,"-")</f>
        <v>-</v>
      </c>
      <c r="C104" s="58" t="str">
        <f>IFERROR(C73/C20*365,"-")</f>
        <v>-</v>
      </c>
      <c r="D104" s="58" t="str">
        <f>IFERROR(D73/D20*365,"-")</f>
        <v>-</v>
      </c>
      <c r="E104" s="58" t="str">
        <f>IFERROR(E73/E20*365,"-")</f>
        <v>-</v>
      </c>
      <c r="F104" s="139"/>
      <c r="G104" s="139"/>
    </row>
    <row r="105" spans="1:7">
      <c r="A105" s="76" t="s">
        <v>936</v>
      </c>
      <c r="B105" s="58" t="str">
        <f>IFERROR(B80/(B21+B25)*365,"-")</f>
        <v>-</v>
      </c>
      <c r="C105" s="58" t="str">
        <f>IFERROR(C80/(C21+C25)*365,"-")</f>
        <v>-</v>
      </c>
      <c r="D105" s="58" t="str">
        <f>IFERROR(D80/(D21+D25)*365,"-")</f>
        <v>-</v>
      </c>
      <c r="E105" s="58" t="str">
        <f>IFERROR(E80/(E21+E25)*365,"-")</f>
        <v>-</v>
      </c>
      <c r="F105" s="139"/>
      <c r="G105" s="139"/>
    </row>
    <row r="106" spans="1:7">
      <c r="A106" s="76" t="s">
        <v>937</v>
      </c>
      <c r="B106" s="58" t="str">
        <f>IFERROR(B68/B20*365,"-")</f>
        <v>-</v>
      </c>
      <c r="C106" s="58" t="str">
        <f>IFERROR(C68/C20*365,"-")</f>
        <v>-</v>
      </c>
      <c r="D106" s="58" t="str">
        <f>IFERROR(D68/D20*365,"-")</f>
        <v>-</v>
      </c>
      <c r="E106" s="58" t="str">
        <f>IFERROR(E68/E20*365,"-")</f>
        <v>-</v>
      </c>
      <c r="F106" s="139"/>
      <c r="G106" s="139"/>
    </row>
    <row r="107" spans="1:7">
      <c r="A107" s="76" t="s">
        <v>938</v>
      </c>
      <c r="B107" s="58">
        <f>B59</f>
        <v>0</v>
      </c>
      <c r="C107" s="58">
        <f>C59</f>
        <v>0</v>
      </c>
      <c r="D107" s="58">
        <f>D59</f>
        <v>0</v>
      </c>
      <c r="E107" s="58">
        <f>E59</f>
        <v>0</v>
      </c>
      <c r="F107" s="139"/>
      <c r="G107" s="139"/>
    </row>
    <row r="108" spans="1:7">
      <c r="A108" s="76" t="s">
        <v>939</v>
      </c>
      <c r="B108" s="58">
        <f>B60+B61</f>
        <v>0</v>
      </c>
      <c r="C108" s="58">
        <f>C60+C61</f>
        <v>0</v>
      </c>
      <c r="D108" s="58">
        <f>D60+D61</f>
        <v>0</v>
      </c>
      <c r="E108" s="58">
        <f>E60+E61</f>
        <v>0</v>
      </c>
      <c r="F108" s="139"/>
      <c r="G108" s="139"/>
    </row>
    <row r="109" spans="1:7">
      <c r="A109" s="76" t="s">
        <v>940</v>
      </c>
      <c r="B109" s="58">
        <f>B65+B66+B67</f>
        <v>0</v>
      </c>
      <c r="C109" s="58">
        <f>C65+C66+C67</f>
        <v>0</v>
      </c>
      <c r="D109" s="58">
        <f>D65+D66+D67</f>
        <v>0</v>
      </c>
      <c r="E109" s="58">
        <f>E65+E66+E67</f>
        <v>0</v>
      </c>
      <c r="F109" s="139"/>
      <c r="G109" s="139"/>
    </row>
    <row r="110" spans="1:7">
      <c r="A110" s="76" t="s">
        <v>941</v>
      </c>
      <c r="B110" s="58">
        <f>B60+B61+B86+B87+B79+B88</f>
        <v>0</v>
      </c>
      <c r="C110" s="58">
        <f>C60+C61+C86+C87+C79+C88</f>
        <v>0</v>
      </c>
      <c r="D110" s="58">
        <f>D60+D61+D86+D87+D79+D88</f>
        <v>0</v>
      </c>
      <c r="E110" s="58">
        <f>E60+E61+E86+E87+E79+E88</f>
        <v>0</v>
      </c>
      <c r="F110" s="139"/>
      <c r="G110" s="139"/>
    </row>
    <row r="111" spans="1:7">
      <c r="A111" s="76" t="s">
        <v>942</v>
      </c>
      <c r="B111" s="58" t="str">
        <f>IFERROR(B108/B107,"-")</f>
        <v>-</v>
      </c>
      <c r="C111" s="58" t="str">
        <f>IFERROR(C108/C107,"-")</f>
        <v>-</v>
      </c>
      <c r="D111" s="58" t="str">
        <f>IFERROR(D108/D107,"-")</f>
        <v>-</v>
      </c>
      <c r="E111" s="58" t="str">
        <f>IFERROR(E108/E107,"-")</f>
        <v>-</v>
      </c>
      <c r="F111" s="139"/>
      <c r="G111" s="139"/>
    </row>
    <row r="112" spans="1:7">
      <c r="A112" s="76" t="s">
        <v>943</v>
      </c>
      <c r="B112" s="58" t="str">
        <f>IFERROR(B110/B109,"-")</f>
        <v>-</v>
      </c>
      <c r="C112" s="58" t="str">
        <f>IFERROR(C110/C109,"-")</f>
        <v>-</v>
      </c>
      <c r="D112" s="58" t="str">
        <f>IFERROR(D110/D109,"-")</f>
        <v>-</v>
      </c>
      <c r="E112" s="58" t="str">
        <f>IFERROR(E110/E109,"-")</f>
        <v>-</v>
      </c>
      <c r="F112" s="139"/>
      <c r="G112" s="139"/>
    </row>
    <row r="113" spans="1:7">
      <c r="A113" s="76" t="s">
        <v>944</v>
      </c>
      <c r="B113" s="58" t="str">
        <f>IFERROR(B110/B107,"-")</f>
        <v>-</v>
      </c>
      <c r="C113" s="58" t="str">
        <f>IFERROR(C110/C107,"-")</f>
        <v>-</v>
      </c>
      <c r="D113" s="58" t="str">
        <f>IFERROR(D110/D107,"-")</f>
        <v>-</v>
      </c>
      <c r="E113" s="58" t="str">
        <f>IFERROR(E110/E107,"-")</f>
        <v>-</v>
      </c>
      <c r="F113" s="139"/>
      <c r="G113" s="139"/>
    </row>
    <row r="114" spans="1:7">
      <c r="A114" s="76" t="s">
        <v>806</v>
      </c>
      <c r="B114" s="58">
        <f>IFERROR(B49/(MAX(B37,K16)+('ExistingLoans&amp;Facilities&amp;RTR'!$N$103*12/100000)),0)</f>
        <v>0</v>
      </c>
      <c r="C114" s="58">
        <f>IFERROR(C49/(C37+('ExistingLoans&amp;Facilities&amp;RTR'!$N$103*12/100000)),0)</f>
        <v>0</v>
      </c>
      <c r="D114" s="58">
        <f>IFERROR(D49/(D37+('ExistingLoans&amp;Facilities&amp;RTR'!$N$103*12/100000)),0)</f>
        <v>0</v>
      </c>
      <c r="E114" s="58">
        <f>IFERROR(E49/(E37+('ExistingLoans&amp;Facilities&amp;RTR'!$N$103*12/100000)),0)</f>
        <v>0</v>
      </c>
      <c r="F114" s="139"/>
      <c r="G114" s="139"/>
    </row>
    <row r="115" spans="1:7">
      <c r="A115" s="76" t="s">
        <v>945</v>
      </c>
      <c r="B115" s="58">
        <f>IFERROR(B49/(MAX(B37,K16)+('ExistingLoans&amp;Facilities&amp;RTR'!$N$103*12/100000)+(BasicInput!$G$27*12/100000)),0)</f>
        <v>0</v>
      </c>
      <c r="C115" s="58">
        <f>IFERROR(C49/(C37+('ExistingLoans&amp;Facilities&amp;RTR'!$N$103*12/100000)+(BasicInput!$G$27*12/100000)),0)</f>
        <v>0</v>
      </c>
      <c r="D115" s="58">
        <f>IFERROR(D49/(D37+('ExistingLoans&amp;Facilities&amp;RTR'!$N$103*12/100000)+(BasicInput!$G$27*12/100000)),0)</f>
        <v>0</v>
      </c>
      <c r="E115" s="58">
        <f>IFERROR(E49/(E37+('ExistingLoans&amp;Facilities&amp;RTR'!$N$103*12/100000)+(BasicInput!$G$27*12/100000)),0)</f>
        <v>0</v>
      </c>
      <c r="F115" s="139"/>
      <c r="G115" s="139"/>
    </row>
  </sheetData>
  <sheetProtection algorithmName="SHA-512" hashValue="nE+wUXQ+RMjosEef0P7ojlplO4XN5/yXhaI+wWVxD6hvoVsmBqDVVZyILi0erBX6pA+jfJCc3cJGk8WuDHB9Ig==" saltValue="NsEo2zN3zmWv+2nysyqyMw==" spinCount="100000" sheet="1" formatCells="0" formatColumns="0" formatRows="0" insertColumns="0" insertRows="0" autoFilter="0"/>
  <mergeCells count="5">
    <mergeCell ref="A1:G1"/>
    <mergeCell ref="B3:G3"/>
    <mergeCell ref="A5:G5"/>
    <mergeCell ref="B6:E6"/>
    <mergeCell ref="I26:L26"/>
  </mergeCells>
  <conditionalFormatting sqref="F7:G91">
    <cfRule type="cellIs" dxfId="41" priority="1" stopIfTrue="1" operator="lessThan">
      <formula>-0.2</formula>
    </cfRule>
    <cfRule type="cellIs" dxfId="40" priority="2" stopIfTrue="1" operator="lessThan">
      <formula>0</formula>
    </cfRule>
    <cfRule type="cellIs" dxfId="39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39"/>
  <sheetViews>
    <sheetView workbookViewId="0">
      <selection activeCell="B8" sqref="B8"/>
    </sheetView>
  </sheetViews>
  <sheetFormatPr defaultColWidth="0" defaultRowHeight="12.75" zeroHeight="1"/>
  <cols>
    <col min="1" max="1" width="40" style="1" customWidth="1"/>
    <col min="2" max="4" width="9.85546875" style="1" customWidth="1"/>
    <col min="5" max="5" width="3.5703125" style="1" customWidth="1"/>
    <col min="6" max="6" width="21" style="1" customWidth="1"/>
    <col min="7" max="9" width="9.85546875" style="1" customWidth="1"/>
    <col min="10" max="10" width="33.85546875" style="1" customWidth="1"/>
    <col min="11" max="13" width="9.85546875" style="1" customWidth="1"/>
    <col min="14" max="16384" width="9.140625" style="1" hidden="1"/>
  </cols>
  <sheetData>
    <row r="1" spans="1:13">
      <c r="A1" s="553" t="s">
        <v>946</v>
      </c>
      <c r="B1" s="553"/>
      <c r="C1" s="553"/>
      <c r="D1" s="553"/>
      <c r="F1" s="553" t="s">
        <v>947</v>
      </c>
      <c r="G1" s="553"/>
      <c r="H1" s="553"/>
      <c r="I1" s="553"/>
      <c r="J1" s="553"/>
      <c r="K1" s="553"/>
      <c r="L1" s="553"/>
      <c r="M1" s="553"/>
    </row>
    <row r="2" spans="1:13">
      <c r="A2" s="100" t="s">
        <v>58</v>
      </c>
      <c r="B2" s="100" t="str">
        <f>PrimeConsolidated!C7</f>
        <v>FY 2023-24</v>
      </c>
      <c r="C2" s="100" t="str">
        <f>PrimeConsolidated!D7</f>
        <v>FY 2022-23</v>
      </c>
      <c r="D2" s="100" t="str">
        <f>PrimeConsolidated!E7</f>
        <v>FY 2021-22</v>
      </c>
      <c r="F2" s="101" t="s">
        <v>948</v>
      </c>
      <c r="G2" s="101" t="str">
        <f>B2</f>
        <v>FY 2023-24</v>
      </c>
      <c r="H2" s="101" t="str">
        <f t="shared" ref="H2:I2" si="0">C2</f>
        <v>FY 2022-23</v>
      </c>
      <c r="I2" s="101" t="str">
        <f t="shared" si="0"/>
        <v>FY 2021-22</v>
      </c>
      <c r="J2" s="101" t="s">
        <v>949</v>
      </c>
      <c r="K2" s="101" t="str">
        <f>B2</f>
        <v>FY 2023-24</v>
      </c>
      <c r="L2" s="101" t="str">
        <f t="shared" ref="L2:M2" si="1">C2</f>
        <v>FY 2022-23</v>
      </c>
      <c r="M2" s="101" t="str">
        <f t="shared" si="1"/>
        <v>FY 2021-22</v>
      </c>
    </row>
    <row r="3" spans="1:13" ht="25.5">
      <c r="A3" s="100" t="s">
        <v>950</v>
      </c>
      <c r="B3" s="100"/>
      <c r="C3" s="100"/>
      <c r="D3" s="100"/>
      <c r="F3" s="102" t="s">
        <v>951</v>
      </c>
      <c r="G3" s="103">
        <f>B5</f>
        <v>0</v>
      </c>
      <c r="H3" s="103">
        <f t="shared" ref="H3:I3" si="2">C5</f>
        <v>0</v>
      </c>
      <c r="I3" s="103">
        <f t="shared" si="2"/>
        <v>0</v>
      </c>
      <c r="J3" s="102" t="s">
        <v>952</v>
      </c>
      <c r="K3" s="112">
        <f>B19</f>
        <v>0</v>
      </c>
      <c r="L3" s="112">
        <f t="shared" ref="L3:M3" si="3">C19</f>
        <v>0</v>
      </c>
      <c r="M3" s="112">
        <f t="shared" si="3"/>
        <v>0</v>
      </c>
    </row>
    <row r="4" spans="1:13" ht="25.5">
      <c r="A4" s="104" t="s">
        <v>953</v>
      </c>
      <c r="B4" s="105">
        <v>12</v>
      </c>
      <c r="C4" s="105">
        <v>12</v>
      </c>
      <c r="D4" s="105">
        <v>12</v>
      </c>
      <c r="F4" s="102" t="s">
        <v>954</v>
      </c>
      <c r="G4" s="106" t="str">
        <f>PrimeConsolidated!C94</f>
        <v>-</v>
      </c>
      <c r="H4" s="106" t="str">
        <f>PrimeConsolidated!D94</f>
        <v>-</v>
      </c>
      <c r="I4" s="106" t="str">
        <f>PrimeConsolidated!E94</f>
        <v>-</v>
      </c>
      <c r="J4" s="102" t="s">
        <v>942</v>
      </c>
      <c r="K4" s="103">
        <f>B27</f>
        <v>0</v>
      </c>
      <c r="L4" s="103">
        <f t="shared" ref="L4:M4" si="4">C27</f>
        <v>0</v>
      </c>
      <c r="M4" s="103">
        <f t="shared" si="4"/>
        <v>0</v>
      </c>
    </row>
    <row r="5" spans="1:13" ht="27.75" customHeight="1">
      <c r="A5" s="104" t="s">
        <v>955</v>
      </c>
      <c r="B5" s="107">
        <f>(SUM(PrimeConsolidated!C8:C15)-PrimeConsolidated!C11)/100</f>
        <v>0</v>
      </c>
      <c r="C5" s="107">
        <f>(SUM(PrimeConsolidated!D8:D15)-PrimeConsolidated!D11)/100</f>
        <v>0</v>
      </c>
      <c r="D5" s="107">
        <f>(SUM(PrimeConsolidated!E8:E15)-PrimeConsolidated!E11)/100</f>
        <v>0</v>
      </c>
      <c r="F5" s="102" t="s">
        <v>956</v>
      </c>
      <c r="G5" s="106" t="str">
        <f>PrimeConsolidated!C96</f>
        <v>-</v>
      </c>
      <c r="H5" s="106" t="str">
        <f>PrimeConsolidated!D96</f>
        <v>-</v>
      </c>
      <c r="I5" s="106" t="str">
        <f>PrimeConsolidated!E96</f>
        <v>-</v>
      </c>
      <c r="J5" s="102" t="s">
        <v>957</v>
      </c>
      <c r="K5" s="103" t="str">
        <f>PrimeConsolidated!C112</f>
        <v>-</v>
      </c>
      <c r="L5" s="103" t="str">
        <f>PrimeConsolidated!D112</f>
        <v>-</v>
      </c>
      <c r="M5" s="103" t="str">
        <f>PrimeConsolidated!E112</f>
        <v>-</v>
      </c>
    </row>
    <row r="6" spans="1:13">
      <c r="A6" s="104" t="s">
        <v>861</v>
      </c>
      <c r="B6" s="107">
        <f>PrimeConsolidated!C31/100</f>
        <v>0</v>
      </c>
      <c r="C6" s="107">
        <f>PrimeConsolidated!D31/100</f>
        <v>0</v>
      </c>
      <c r="D6" s="107">
        <f>PrimeConsolidated!E31/100</f>
        <v>0</v>
      </c>
      <c r="F6" s="102" t="s">
        <v>958</v>
      </c>
      <c r="G6" s="106" t="str">
        <f>PrimeConsolidated!C97</f>
        <v>-</v>
      </c>
      <c r="H6" s="106" t="str">
        <f>PrimeConsolidated!D97</f>
        <v>-</v>
      </c>
      <c r="I6" s="106" t="str">
        <f>PrimeConsolidated!E97</f>
        <v>-</v>
      </c>
      <c r="J6" s="102" t="s">
        <v>959</v>
      </c>
      <c r="K6" s="103">
        <f>B28</f>
        <v>0</v>
      </c>
      <c r="L6" s="103">
        <f t="shared" ref="L6:M6" si="5">C28</f>
        <v>0</v>
      </c>
      <c r="M6" s="103">
        <f t="shared" si="5"/>
        <v>0</v>
      </c>
    </row>
    <row r="7" spans="1:13">
      <c r="A7" s="104" t="s">
        <v>960</v>
      </c>
      <c r="B7" s="108">
        <f>IFERROR(PrimeConsolidated!C31/PrimeConsolidated!C20,0)</f>
        <v>0</v>
      </c>
      <c r="C7" s="108">
        <f>IFERROR(PrimeConsolidated!D31/PrimeConsolidated!D20,0)</f>
        <v>0</v>
      </c>
      <c r="D7" s="108">
        <f>IFERROR(PrimeConsolidated!E31/PrimeConsolidated!E20,0)</f>
        <v>0</v>
      </c>
      <c r="F7" s="102" t="s">
        <v>961</v>
      </c>
      <c r="G7" s="103" t="str">
        <f>PrimeConsolidated!C98</f>
        <v>-</v>
      </c>
      <c r="H7" s="103" t="str">
        <f>PrimeConsolidated!D98</f>
        <v>-</v>
      </c>
      <c r="I7" s="103" t="str">
        <f>PrimeConsolidated!E98</f>
        <v>-</v>
      </c>
      <c r="J7" s="102" t="s">
        <v>806</v>
      </c>
      <c r="K7" s="103">
        <f>B32</f>
        <v>0</v>
      </c>
      <c r="L7" s="103">
        <f t="shared" ref="L7:M7" si="6">C32</f>
        <v>0</v>
      </c>
      <c r="M7" s="103">
        <f t="shared" si="6"/>
        <v>0</v>
      </c>
    </row>
    <row r="8" spans="1:13">
      <c r="A8" s="104" t="s">
        <v>962</v>
      </c>
      <c r="B8" s="107">
        <f>(PrimeConsolidated!C37+PrimeConsolidated!C38)/100</f>
        <v>0</v>
      </c>
      <c r="C8" s="107">
        <f>(PrimeConsolidated!D37+PrimeConsolidated!D38)/100</f>
        <v>0</v>
      </c>
      <c r="D8" s="107">
        <f>(PrimeConsolidated!E37+PrimeConsolidated!E38)/100</f>
        <v>0</v>
      </c>
    </row>
    <row r="9" spans="1:13">
      <c r="A9" s="104" t="s">
        <v>576</v>
      </c>
      <c r="B9" s="107">
        <f>PrimeConsolidated!C32/100</f>
        <v>0</v>
      </c>
      <c r="C9" s="107">
        <f>PrimeConsolidated!D32/100</f>
        <v>0</v>
      </c>
      <c r="D9" s="107">
        <f>PrimeConsolidated!E32/100</f>
        <v>0</v>
      </c>
    </row>
    <row r="10" spans="1:13">
      <c r="A10" s="104" t="s">
        <v>963</v>
      </c>
      <c r="B10" s="107">
        <f>(PrimeConsolidated!C42-PrimeConsolidated!C27)/100</f>
        <v>0</v>
      </c>
      <c r="C10" s="107">
        <f>(PrimeConsolidated!D42-PrimeConsolidated!D27)/100</f>
        <v>0</v>
      </c>
      <c r="D10" s="107">
        <f>(PrimeConsolidated!E42-PrimeConsolidated!E27)/100</f>
        <v>0</v>
      </c>
    </row>
    <row r="11" spans="1:13">
      <c r="A11" s="104" t="s">
        <v>964</v>
      </c>
      <c r="B11" s="107">
        <f>PrimeConsolidated!C27/100</f>
        <v>0</v>
      </c>
      <c r="C11" s="107">
        <f>PrimeConsolidated!D27/100</f>
        <v>0</v>
      </c>
      <c r="D11" s="107">
        <f>PrimeConsolidated!E27/100</f>
        <v>0</v>
      </c>
    </row>
    <row r="12" spans="1:13">
      <c r="A12" s="104" t="s">
        <v>743</v>
      </c>
      <c r="B12" s="107">
        <f>PrimeConsolidated!C44/100</f>
        <v>0</v>
      </c>
      <c r="C12" s="107">
        <f>PrimeConsolidated!D44/100</f>
        <v>0</v>
      </c>
      <c r="D12" s="107">
        <f>PrimeConsolidated!E44/100</f>
        <v>0</v>
      </c>
    </row>
    <row r="13" spans="1:13">
      <c r="A13" s="104" t="s">
        <v>965</v>
      </c>
      <c r="B13" s="108">
        <f>IFERROR((PrimeConsolidated!C44-PrimeConsolidated!C27)/PrimeConsolidated!C20,0)</f>
        <v>0</v>
      </c>
      <c r="C13" s="108">
        <f>IFERROR((PrimeConsolidated!D44-PrimeConsolidated!D27)/PrimeConsolidated!D20,0)</f>
        <v>0</v>
      </c>
      <c r="D13" s="108">
        <f>IFERROR((PrimeConsolidated!E44-PrimeConsolidated!E27)/PrimeConsolidated!E20,0)</f>
        <v>0</v>
      </c>
    </row>
    <row r="14" spans="1:13">
      <c r="A14" s="104" t="s">
        <v>966</v>
      </c>
      <c r="B14" s="107">
        <f>(PrimeConsolidated!C48-PrimeConsolidated!C45)/100</f>
        <v>0</v>
      </c>
      <c r="C14" s="107">
        <f>(PrimeConsolidated!D48-PrimeConsolidated!D45)/100</f>
        <v>0</v>
      </c>
      <c r="D14" s="107">
        <f>(PrimeConsolidated!E48-PrimeConsolidated!E45)/100</f>
        <v>0</v>
      </c>
    </row>
    <row r="15" spans="1:13">
      <c r="A15" s="104" t="s">
        <v>967</v>
      </c>
      <c r="B15" s="107">
        <f>PrimeConsolidated!C48/100</f>
        <v>0</v>
      </c>
      <c r="C15" s="107">
        <f>PrimeConsolidated!D48/100</f>
        <v>0</v>
      </c>
      <c r="D15" s="107">
        <f>PrimeConsolidated!E48/100</f>
        <v>0</v>
      </c>
    </row>
    <row r="16" spans="1:13">
      <c r="A16" s="104" t="s">
        <v>968</v>
      </c>
      <c r="B16" s="107">
        <f>PrimeConsolidated!C65/100</f>
        <v>0</v>
      </c>
      <c r="C16" s="107">
        <f>PrimeConsolidated!D65/100</f>
        <v>0</v>
      </c>
      <c r="D16" s="107">
        <f>PrimeConsolidated!E65/100</f>
        <v>0</v>
      </c>
    </row>
    <row r="17" spans="1:4">
      <c r="A17" s="109" t="s">
        <v>755</v>
      </c>
      <c r="B17" s="107"/>
      <c r="C17" s="107"/>
      <c r="D17" s="107"/>
    </row>
    <row r="18" spans="1:4">
      <c r="A18" s="110" t="s">
        <v>969</v>
      </c>
      <c r="B18" s="111">
        <f>PrimeConsolidated!C56/100</f>
        <v>0</v>
      </c>
      <c r="C18" s="111">
        <f>PrimeConsolidated!D56/100</f>
        <v>0</v>
      </c>
      <c r="D18" s="111">
        <f>PrimeConsolidated!E56/100</f>
        <v>0</v>
      </c>
    </row>
    <row r="19" spans="1:4">
      <c r="A19" s="110" t="s">
        <v>970</v>
      </c>
      <c r="B19" s="111">
        <f>PrimeConsolidated!C59/100</f>
        <v>0</v>
      </c>
      <c r="C19" s="111">
        <f>PrimeConsolidated!D59/100</f>
        <v>0</v>
      </c>
      <c r="D19" s="111">
        <f>PrimeConsolidated!E59/100</f>
        <v>0</v>
      </c>
    </row>
    <row r="20" spans="1:4">
      <c r="A20" s="110" t="s">
        <v>971</v>
      </c>
      <c r="B20" s="111">
        <f>PrimeConsolidated!C60/100</f>
        <v>0</v>
      </c>
      <c r="C20" s="111">
        <f>PrimeConsolidated!D60/100</f>
        <v>0</v>
      </c>
      <c r="D20" s="111">
        <f>PrimeConsolidated!E60/100</f>
        <v>0</v>
      </c>
    </row>
    <row r="21" spans="1:4">
      <c r="A21" s="110" t="s">
        <v>972</v>
      </c>
      <c r="B21" s="111">
        <f>PrimeConsolidated!C61/100</f>
        <v>0</v>
      </c>
      <c r="C21" s="111">
        <f>PrimeConsolidated!D61/100</f>
        <v>0</v>
      </c>
      <c r="D21" s="111">
        <f>PrimeConsolidated!E61/100</f>
        <v>0</v>
      </c>
    </row>
    <row r="22" spans="1:4">
      <c r="A22" s="110" t="s">
        <v>973</v>
      </c>
      <c r="B22" s="111">
        <f>SUM(PrimeConsolidated!C86:C88)/100</f>
        <v>0</v>
      </c>
      <c r="C22" s="111">
        <f>SUM(PrimeConsolidated!D86:D88)/100</f>
        <v>0</v>
      </c>
      <c r="D22" s="111">
        <f>SUM(PrimeConsolidated!E86:E88)/100</f>
        <v>0</v>
      </c>
    </row>
    <row r="23" spans="1:4">
      <c r="A23" s="110" t="s">
        <v>974</v>
      </c>
      <c r="B23" s="111">
        <f>SUM(B20:B22)</f>
        <v>0</v>
      </c>
      <c r="C23" s="111">
        <f>SUM(C20:C22)</f>
        <v>0</v>
      </c>
      <c r="D23" s="111">
        <f>SUM(D20:D22)</f>
        <v>0</v>
      </c>
    </row>
    <row r="24" spans="1:4">
      <c r="A24" s="110" t="s">
        <v>975</v>
      </c>
      <c r="B24" s="111">
        <f>PrimeConsolidated!C110/100</f>
        <v>0</v>
      </c>
      <c r="C24" s="111">
        <f>PrimeConsolidated!D110/100</f>
        <v>0</v>
      </c>
      <c r="D24" s="111">
        <f>PrimeConsolidated!E110/100</f>
        <v>0</v>
      </c>
    </row>
    <row r="25" spans="1:4">
      <c r="A25" s="110" t="s">
        <v>976</v>
      </c>
      <c r="B25" s="111">
        <f>IFERROR(B24/B18,0)</f>
        <v>0</v>
      </c>
      <c r="C25" s="111">
        <f t="shared" ref="C25:D25" si="7">IFERROR(C24/C18,0)</f>
        <v>0</v>
      </c>
      <c r="D25" s="111">
        <f t="shared" si="7"/>
        <v>0</v>
      </c>
    </row>
    <row r="26" spans="1:4">
      <c r="A26" s="104" t="s">
        <v>977</v>
      </c>
      <c r="B26" s="107">
        <f>IFERROR(B23/B18,0)</f>
        <v>0</v>
      </c>
      <c r="C26" s="107">
        <f t="shared" ref="C26:D26" si="8">IFERROR(C23/C18,0)</f>
        <v>0</v>
      </c>
      <c r="D26" s="107">
        <f t="shared" si="8"/>
        <v>0</v>
      </c>
    </row>
    <row r="27" spans="1:4">
      <c r="A27" s="104" t="s">
        <v>978</v>
      </c>
      <c r="B27" s="107">
        <f>IFERROR(B23/B19,0)</f>
        <v>0</v>
      </c>
      <c r="C27" s="107">
        <f t="shared" ref="C27:D27" si="9">IFERROR(C23/C19,0)</f>
        <v>0</v>
      </c>
      <c r="D27" s="107">
        <f t="shared" si="9"/>
        <v>0</v>
      </c>
    </row>
    <row r="28" spans="1:4">
      <c r="A28" s="104" t="s">
        <v>979</v>
      </c>
      <c r="B28" s="107">
        <f>IFERROR(B24/B19,0)</f>
        <v>0</v>
      </c>
      <c r="C28" s="107">
        <f t="shared" ref="C28:D28" si="10">IFERROR(C24/C19,0)</f>
        <v>0</v>
      </c>
      <c r="D28" s="107">
        <f t="shared" si="10"/>
        <v>0</v>
      </c>
    </row>
    <row r="29" spans="1:4">
      <c r="A29" s="104" t="s">
        <v>980</v>
      </c>
      <c r="B29" s="107">
        <f>PrimeConsolidated!C67/100</f>
        <v>0</v>
      </c>
      <c r="C29" s="107">
        <f>PrimeConsolidated!D67/100</f>
        <v>0</v>
      </c>
      <c r="D29" s="107">
        <f>PrimeConsolidated!E67/100</f>
        <v>0</v>
      </c>
    </row>
    <row r="30" spans="1:4">
      <c r="A30" s="104" t="s">
        <v>981</v>
      </c>
      <c r="B30" s="107">
        <f>PrimeConsolidated!C79/100</f>
        <v>0</v>
      </c>
      <c r="C30" s="107">
        <f>PrimeConsolidated!D79/100</f>
        <v>0</v>
      </c>
      <c r="D30" s="107">
        <f>PrimeConsolidated!E79/100</f>
        <v>0</v>
      </c>
    </row>
    <row r="31" spans="1:4">
      <c r="A31" s="104" t="s">
        <v>802</v>
      </c>
      <c r="B31" s="107">
        <f>IFERROR(B29/B30,0)</f>
        <v>0</v>
      </c>
      <c r="C31" s="107">
        <f t="shared" ref="C31:D31" si="11">IFERROR(C29/C30,0)</f>
        <v>0</v>
      </c>
      <c r="D31" s="107">
        <f t="shared" si="11"/>
        <v>0</v>
      </c>
    </row>
    <row r="32" spans="1:4">
      <c r="A32" s="104" t="s">
        <v>806</v>
      </c>
      <c r="B32" s="107">
        <f>PrimeConsolidated!C114</f>
        <v>0</v>
      </c>
      <c r="C32" s="107">
        <f>PrimeConsolidated!D114</f>
        <v>0</v>
      </c>
      <c r="D32" s="107">
        <f>PrimeConsolidated!E114</f>
        <v>0</v>
      </c>
    </row>
    <row r="33" spans="1:4">
      <c r="A33" s="104" t="s">
        <v>945</v>
      </c>
      <c r="B33" s="107">
        <f>PrimeConsolidated!C115</f>
        <v>0</v>
      </c>
      <c r="C33" s="107">
        <f>PrimeConsolidated!D115</f>
        <v>0</v>
      </c>
      <c r="D33" s="107">
        <f>PrimeConsolidated!E115</f>
        <v>0</v>
      </c>
    </row>
    <row r="34" spans="1:4">
      <c r="A34" s="104" t="s">
        <v>982</v>
      </c>
      <c r="B34" s="107" t="str">
        <f>PrimeConsolidated!C98</f>
        <v>-</v>
      </c>
      <c r="C34" s="107" t="str">
        <f>PrimeConsolidated!D98</f>
        <v>-</v>
      </c>
      <c r="D34" s="107" t="str">
        <f>PrimeConsolidated!E98</f>
        <v>-</v>
      </c>
    </row>
    <row r="35" spans="1:4">
      <c r="A35" s="104" t="s">
        <v>983</v>
      </c>
      <c r="B35" s="107">
        <f>IFERROR(B23/B6,0)</f>
        <v>0</v>
      </c>
      <c r="C35" s="107">
        <f t="shared" ref="C35:D35" si="12">IFERROR(C23/C6,0)</f>
        <v>0</v>
      </c>
      <c r="D35" s="107">
        <f t="shared" si="12"/>
        <v>0</v>
      </c>
    </row>
    <row r="36" spans="1:4">
      <c r="A36" s="104" t="s">
        <v>984</v>
      </c>
      <c r="B36" s="107">
        <f>IFERROR(B23/B14,0)</f>
        <v>0</v>
      </c>
      <c r="C36" s="107">
        <f t="shared" ref="C36:D36" si="13">IFERROR(C23/C14,0)</f>
        <v>0</v>
      </c>
      <c r="D36" s="107">
        <f t="shared" si="13"/>
        <v>0</v>
      </c>
    </row>
    <row r="37" spans="1:4">
      <c r="A37" s="104" t="s">
        <v>985</v>
      </c>
      <c r="B37" s="107" t="str">
        <f>PrimeConsolidated!C105</f>
        <v>-</v>
      </c>
      <c r="C37" s="107" t="str">
        <f>PrimeConsolidated!D105</f>
        <v>-</v>
      </c>
      <c r="D37" s="107" t="str">
        <f>PrimeConsolidated!E105</f>
        <v>-</v>
      </c>
    </row>
    <row r="38" spans="1:4">
      <c r="A38" s="104" t="s">
        <v>986</v>
      </c>
      <c r="B38" s="107" t="str">
        <f>PrimeConsolidated!C104</f>
        <v>-</v>
      </c>
      <c r="C38" s="107" t="str">
        <f>PrimeConsolidated!D104</f>
        <v>-</v>
      </c>
      <c r="D38" s="107" t="str">
        <f>PrimeConsolidated!E104</f>
        <v>-</v>
      </c>
    </row>
    <row r="39" spans="1:4">
      <c r="A39" s="104" t="s">
        <v>987</v>
      </c>
      <c r="B39" s="107" t="str">
        <f>PrimeConsolidated!C106</f>
        <v>-</v>
      </c>
      <c r="C39" s="107" t="str">
        <f>PrimeConsolidated!D106</f>
        <v>-</v>
      </c>
      <c r="D39" s="107" t="str">
        <f>PrimeConsolidated!E106</f>
        <v>-</v>
      </c>
    </row>
  </sheetData>
  <sheetProtection algorithmName="SHA-512" hashValue="FQ+xurFQnGCRMyOHP4xY/n8F73cNDMroK3Bc6MuH5MBsEJrhM6hs4dnmN0mb7iE5/xTvq4gOe1/InabDcek9XQ==" saltValue="YTmtw3xISPNGCdc6XIw7uA==" spinCount="100000" sheet="1" formatCells="0" formatColumns="0" formatRows="0" insertColumns="0" insertRows="0" autoFilter="0"/>
  <mergeCells count="2">
    <mergeCell ref="A1:D1"/>
    <mergeCell ref="F1:M1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48"/>
  <sheetViews>
    <sheetView workbookViewId="0">
      <selection activeCell="B8" sqref="B8"/>
    </sheetView>
  </sheetViews>
  <sheetFormatPr defaultColWidth="0" defaultRowHeight="12.75" zeroHeight="1"/>
  <cols>
    <col min="1" max="1" width="3.42578125" style="85" customWidth="1"/>
    <col min="2" max="2" width="46.28515625" style="86" customWidth="1"/>
    <col min="3" max="3" width="10.140625" style="86" customWidth="1"/>
    <col min="4" max="4" width="11.5703125" style="86" customWidth="1"/>
    <col min="5" max="5" width="10.140625" style="86" customWidth="1"/>
    <col min="6" max="16384" width="9.140625" style="86" hidden="1"/>
  </cols>
  <sheetData>
    <row r="1" spans="1:5">
      <c r="A1" s="87"/>
      <c r="B1" s="88" t="s">
        <v>988</v>
      </c>
      <c r="C1" s="89" t="str">
        <f>PrimeConsolidated!C7</f>
        <v>FY 2023-24</v>
      </c>
      <c r="D1" s="89" t="str">
        <f>PrimeConsolidated!D7</f>
        <v>FY 2022-23</v>
      </c>
      <c r="E1" s="89" t="str">
        <f>PrimeConsolidated!B7</f>
        <v>Provisionals</v>
      </c>
    </row>
    <row r="2" spans="1:5">
      <c r="A2" s="90"/>
      <c r="B2" s="90"/>
      <c r="C2" s="554" t="s">
        <v>716</v>
      </c>
      <c r="D2" s="555"/>
      <c r="E2" s="556"/>
    </row>
    <row r="3" spans="1:5">
      <c r="A3" s="87" t="s">
        <v>989</v>
      </c>
      <c r="B3" s="91" t="s">
        <v>990</v>
      </c>
      <c r="C3" s="92"/>
      <c r="D3" s="90"/>
      <c r="E3" s="92"/>
    </row>
    <row r="4" spans="1:5">
      <c r="A4" s="87"/>
      <c r="B4" s="90" t="s">
        <v>991</v>
      </c>
      <c r="C4" s="93">
        <f>PrimeConsolidated!C42</f>
        <v>0</v>
      </c>
      <c r="D4" s="93">
        <f>PrimeConsolidated!D42</f>
        <v>0</v>
      </c>
      <c r="E4" s="93">
        <f>PrimeConsolidated!B42</f>
        <v>0</v>
      </c>
    </row>
    <row r="5" spans="1:5">
      <c r="A5" s="87"/>
      <c r="B5" s="90" t="s">
        <v>992</v>
      </c>
      <c r="C5" s="93">
        <f>PrimeConsolidated!C32</f>
        <v>0</v>
      </c>
      <c r="D5" s="93">
        <f>PrimeConsolidated!D32</f>
        <v>0</v>
      </c>
      <c r="E5" s="93">
        <f>PrimeConsolidated!B32</f>
        <v>0</v>
      </c>
    </row>
    <row r="6" spans="1:5">
      <c r="A6" s="87"/>
      <c r="B6" s="90" t="s">
        <v>993</v>
      </c>
      <c r="C6" s="93">
        <f>SUM(PrimeConsolidated!C37:C38)</f>
        <v>0</v>
      </c>
      <c r="D6" s="93">
        <f>SUM(PrimeConsolidated!D37:D38)</f>
        <v>0</v>
      </c>
      <c r="E6" s="93">
        <f>SUM(PrimeConsolidated!B37:B38)</f>
        <v>0</v>
      </c>
    </row>
    <row r="7" spans="1:5">
      <c r="A7" s="87"/>
      <c r="B7" s="90" t="s">
        <v>994</v>
      </c>
      <c r="C7" s="93">
        <f>-PrimeConsolidated!C17</f>
        <v>0</v>
      </c>
      <c r="D7" s="93">
        <f>-PrimeConsolidated!D17</f>
        <v>0</v>
      </c>
      <c r="E7" s="93">
        <f>-PrimeConsolidated!B17</f>
        <v>0</v>
      </c>
    </row>
    <row r="8" spans="1:5">
      <c r="A8" s="87"/>
      <c r="B8" s="87" t="s">
        <v>995</v>
      </c>
      <c r="C8" s="94">
        <f t="shared" ref="C8:E8" si="0">SUM(C4:C7)</f>
        <v>0</v>
      </c>
      <c r="D8" s="94">
        <f t="shared" si="0"/>
        <v>0</v>
      </c>
      <c r="E8" s="94">
        <f t="shared" si="0"/>
        <v>0</v>
      </c>
    </row>
    <row r="9" spans="1:5">
      <c r="A9" s="87"/>
      <c r="B9" s="90"/>
      <c r="C9" s="93"/>
      <c r="D9" s="90"/>
      <c r="E9" s="93"/>
    </row>
    <row r="10" spans="1:5">
      <c r="A10" s="87"/>
      <c r="B10" s="90" t="s">
        <v>996</v>
      </c>
      <c r="C10" s="93">
        <f>PrimeConsolidated!C79-PrimeConsolidated!D79</f>
        <v>0</v>
      </c>
      <c r="D10" s="93">
        <f>PrimeConsolidated!D79-PrimeConsolidated!E79</f>
        <v>0</v>
      </c>
      <c r="E10" s="93">
        <f>PrimeConsolidated!B79-PrimeConsolidated!C79</f>
        <v>0</v>
      </c>
    </row>
    <row r="11" spans="1:5">
      <c r="A11" s="87"/>
      <c r="B11" s="90" t="s">
        <v>997</v>
      </c>
      <c r="C11" s="93">
        <f>-PrimeConsolidated!C68+PrimeConsolidated!D68</f>
        <v>0</v>
      </c>
      <c r="D11" s="93">
        <f>-PrimeConsolidated!D68+PrimeConsolidated!E68</f>
        <v>0</v>
      </c>
      <c r="E11" s="93">
        <f>-PrimeConsolidated!B68+PrimeConsolidated!C68</f>
        <v>0</v>
      </c>
    </row>
    <row r="12" spans="1:5">
      <c r="A12" s="87"/>
      <c r="B12" s="90" t="s">
        <v>998</v>
      </c>
      <c r="C12" s="93">
        <f>-PrimeConsolidated!C73+PrimeConsolidated!D73</f>
        <v>0</v>
      </c>
      <c r="D12" s="93">
        <f>-PrimeConsolidated!D73+PrimeConsolidated!E73</f>
        <v>0</v>
      </c>
      <c r="E12" s="93">
        <f>-PrimeConsolidated!B73+PrimeConsolidated!C73</f>
        <v>0</v>
      </c>
    </row>
    <row r="13" spans="1:5">
      <c r="A13" s="87"/>
      <c r="B13" s="90" t="s">
        <v>999</v>
      </c>
      <c r="C13" s="93">
        <f>-SUM(PrimeConsolidated!C76,PrimeConsolidated!C78)+SUM(PrimeConsolidated!D76,PrimeConsolidated!D78)</f>
        <v>0</v>
      </c>
      <c r="D13" s="93">
        <f>-SUM(PrimeConsolidated!D76,PrimeConsolidated!D78)+SUM(PrimeConsolidated!E76,PrimeConsolidated!E78)</f>
        <v>0</v>
      </c>
      <c r="E13" s="93">
        <f>-SUM(PrimeConsolidated!B76,PrimeConsolidated!B78)+SUM(PrimeConsolidated!C76,PrimeConsolidated!C78)</f>
        <v>0</v>
      </c>
    </row>
    <row r="14" spans="1:5">
      <c r="A14" s="87"/>
      <c r="B14" s="90" t="s">
        <v>1000</v>
      </c>
      <c r="C14" s="95">
        <f>-SUM(PrimeConsolidated!C55,PrimeConsolidated!C90)+SUM(PrimeConsolidated!D55,PrimeConsolidated!D90)</f>
        <v>0</v>
      </c>
      <c r="D14" s="95">
        <f>-SUM(PrimeConsolidated!D55,PrimeConsolidated!D90)+SUM(PrimeConsolidated!E55,PrimeConsolidated!E90)</f>
        <v>0</v>
      </c>
      <c r="E14" s="95">
        <f>-SUM(PrimeConsolidated!B55,PrimeConsolidated!B90)+SUM(PrimeConsolidated!C55,PrimeConsolidated!C90)</f>
        <v>0</v>
      </c>
    </row>
    <row r="15" spans="1:5">
      <c r="A15" s="87"/>
      <c r="B15" s="90" t="s">
        <v>1001</v>
      </c>
      <c r="C15" s="95">
        <f>-PrimeConsolidated!C43</f>
        <v>0</v>
      </c>
      <c r="D15" s="95">
        <f>-PrimeConsolidated!D43</f>
        <v>0</v>
      </c>
      <c r="E15" s="95">
        <f>-PrimeConsolidated!B43</f>
        <v>0</v>
      </c>
    </row>
    <row r="16" spans="1:5">
      <c r="A16" s="87"/>
      <c r="B16" s="90"/>
      <c r="C16" s="93"/>
      <c r="D16" s="90"/>
      <c r="E16" s="93"/>
    </row>
    <row r="17" spans="1:5">
      <c r="A17" s="87"/>
      <c r="B17" s="96" t="s">
        <v>990</v>
      </c>
      <c r="C17" s="97">
        <f t="shared" ref="C17:E17" si="1">SUM(C8:C15)</f>
        <v>0</v>
      </c>
      <c r="D17" s="97">
        <f t="shared" si="1"/>
        <v>0</v>
      </c>
      <c r="E17" s="97">
        <f t="shared" si="1"/>
        <v>0</v>
      </c>
    </row>
    <row r="18" spans="1:5">
      <c r="A18" s="87"/>
      <c r="B18" s="90"/>
      <c r="C18" s="93"/>
      <c r="D18" s="90"/>
      <c r="E18" s="93"/>
    </row>
    <row r="19" spans="1:5">
      <c r="A19" s="87" t="s">
        <v>1002</v>
      </c>
      <c r="B19" s="91" t="s">
        <v>1003</v>
      </c>
      <c r="C19" s="93"/>
      <c r="D19" s="90"/>
      <c r="E19" s="93"/>
    </row>
    <row r="20" spans="1:5">
      <c r="A20" s="87"/>
      <c r="B20" s="90" t="s">
        <v>1004</v>
      </c>
      <c r="C20" s="93">
        <f>PrimeConsolidated!C17</f>
        <v>0</v>
      </c>
      <c r="D20" s="93">
        <f>PrimeConsolidated!D17</f>
        <v>0</v>
      </c>
      <c r="E20" s="93">
        <f>PrimeConsolidated!B17</f>
        <v>0</v>
      </c>
    </row>
    <row r="21" spans="1:5">
      <c r="A21" s="87"/>
      <c r="B21" s="90" t="s">
        <v>1005</v>
      </c>
      <c r="C21" s="93">
        <f>-PrimeConsolidated!C66+PrimeConsolidated!D66</f>
        <v>0</v>
      </c>
      <c r="D21" s="93">
        <f>-PrimeConsolidated!D66+PrimeConsolidated!E66</f>
        <v>0</v>
      </c>
      <c r="E21" s="93">
        <f>-PrimeConsolidated!B66+PrimeConsolidated!C66</f>
        <v>0</v>
      </c>
    </row>
    <row r="22" spans="1:5">
      <c r="A22" s="87"/>
      <c r="B22" s="90" t="s">
        <v>1006</v>
      </c>
      <c r="C22" s="93">
        <f>-SUM(PrimeConsolidated!C65,PrimeConsolidated!C32)+PrimeConsolidated!D65</f>
        <v>0</v>
      </c>
      <c r="D22" s="93">
        <f>-SUM(PrimeConsolidated!D65,PrimeConsolidated!D32)+PrimeConsolidated!E65</f>
        <v>0</v>
      </c>
      <c r="E22" s="93">
        <f>-SUM(PrimeConsolidated!B65,PrimeConsolidated!B32)+PrimeConsolidated!C65</f>
        <v>0</v>
      </c>
    </row>
    <row r="23" spans="1:5">
      <c r="A23" s="87"/>
      <c r="B23" s="90"/>
      <c r="C23" s="93"/>
      <c r="D23" s="90"/>
      <c r="E23" s="93"/>
    </row>
    <row r="24" spans="1:5">
      <c r="A24" s="87"/>
      <c r="B24" s="96" t="s">
        <v>1003</v>
      </c>
      <c r="C24" s="97">
        <f t="shared" ref="C24:E24" si="2">SUM(C20:C22)</f>
        <v>0</v>
      </c>
      <c r="D24" s="97">
        <f t="shared" si="2"/>
        <v>0</v>
      </c>
      <c r="E24" s="97">
        <f t="shared" si="2"/>
        <v>0</v>
      </c>
    </row>
    <row r="25" spans="1:5">
      <c r="A25" s="87"/>
      <c r="B25" s="90"/>
      <c r="C25" s="93"/>
      <c r="D25" s="90"/>
      <c r="E25" s="93"/>
    </row>
    <row r="26" spans="1:5">
      <c r="A26" s="87" t="s">
        <v>1007</v>
      </c>
      <c r="B26" s="91" t="s">
        <v>1008</v>
      </c>
      <c r="C26" s="93"/>
      <c r="D26" s="90"/>
      <c r="E26" s="93"/>
    </row>
    <row r="27" spans="1:5">
      <c r="A27" s="87"/>
      <c r="B27" s="90" t="s">
        <v>1009</v>
      </c>
      <c r="C27" s="93">
        <f>(PrimeConsolidated!C52+PrimeConsolidated!C53+PrimeConsolidated!C54+PrimeConsolidated!C57-PrimeConsolidated!C58-PrimeConsolidated!C44)-(PrimeConsolidated!D52+PrimeConsolidated!D53+PrimeConsolidated!D54+PrimeConsolidated!D57-PrimeConsolidated!D58)</f>
        <v>0</v>
      </c>
      <c r="D27" s="93">
        <f>(PrimeConsolidated!D52+PrimeConsolidated!D53+PrimeConsolidated!D54+PrimeConsolidated!D57-PrimeConsolidated!D58-PrimeConsolidated!D44)-(PrimeConsolidated!E52+PrimeConsolidated!E53+PrimeConsolidated!E54+PrimeConsolidated!E57-PrimeConsolidated!E58)</f>
        <v>0</v>
      </c>
      <c r="E27" s="93">
        <f>(PrimeConsolidated!B52+PrimeConsolidated!B53+PrimeConsolidated!B54+PrimeConsolidated!B57-PrimeConsolidated!B58-PrimeConsolidated!B44)-(PrimeConsolidated!C52+PrimeConsolidated!C53+PrimeConsolidated!C54+PrimeConsolidated!C57-PrimeConsolidated!C58)</f>
        <v>0</v>
      </c>
    </row>
    <row r="28" spans="1:5">
      <c r="A28" s="87"/>
      <c r="B28" s="90" t="s">
        <v>1010</v>
      </c>
      <c r="C28" s="93">
        <f>SUM(PrimeConsolidated!C86:C88)-SUM(PrimeConsolidated!D86:D88)</f>
        <v>0</v>
      </c>
      <c r="D28" s="93">
        <f>SUM(PrimeConsolidated!D86:D88)-SUM(PrimeConsolidated!E86:E88)</f>
        <v>0</v>
      </c>
      <c r="E28" s="93">
        <f>SUM(PrimeConsolidated!B86:B88)-SUM(PrimeConsolidated!C86:C88)</f>
        <v>0</v>
      </c>
    </row>
    <row r="29" spans="1:5">
      <c r="A29" s="87"/>
      <c r="B29" s="90" t="s">
        <v>1011</v>
      </c>
      <c r="C29" s="93">
        <f>PrimeConsolidated!C60-PrimeConsolidated!D60</f>
        <v>0</v>
      </c>
      <c r="D29" s="93">
        <f>PrimeConsolidated!D60-PrimeConsolidated!E60</f>
        <v>0</v>
      </c>
      <c r="E29" s="93">
        <f>PrimeConsolidated!B60-PrimeConsolidated!C60</f>
        <v>0</v>
      </c>
    </row>
    <row r="30" spans="1:5">
      <c r="A30" s="87"/>
      <c r="B30" s="90" t="s">
        <v>1012</v>
      </c>
      <c r="C30" s="93">
        <f t="shared" ref="C30:E30" si="3">-C6</f>
        <v>0</v>
      </c>
      <c r="D30" s="93">
        <f t="shared" si="3"/>
        <v>0</v>
      </c>
      <c r="E30" s="93">
        <f t="shared" si="3"/>
        <v>0</v>
      </c>
    </row>
    <row r="31" spans="1:5">
      <c r="A31" s="87"/>
      <c r="B31" s="90" t="s">
        <v>1013</v>
      </c>
      <c r="C31" s="93">
        <f>PrimeConsolidated!C61-PrimeConsolidated!D61</f>
        <v>0</v>
      </c>
      <c r="D31" s="93">
        <f>PrimeConsolidated!D61-PrimeConsolidated!E61</f>
        <v>0</v>
      </c>
      <c r="E31" s="93">
        <f>PrimeConsolidated!B61-PrimeConsolidated!C61</f>
        <v>0</v>
      </c>
    </row>
    <row r="32" spans="1:5">
      <c r="A32" s="87"/>
      <c r="B32" s="90"/>
      <c r="C32" s="93"/>
      <c r="D32" s="90"/>
      <c r="E32" s="93"/>
    </row>
    <row r="33" spans="1:5">
      <c r="A33" s="87"/>
      <c r="B33" s="96" t="s">
        <v>1008</v>
      </c>
      <c r="C33" s="97">
        <f t="shared" ref="C33:E33" si="4">SUM(C27:C31)</f>
        <v>0</v>
      </c>
      <c r="D33" s="97">
        <f t="shared" si="4"/>
        <v>0</v>
      </c>
      <c r="E33" s="97">
        <f t="shared" si="4"/>
        <v>0</v>
      </c>
    </row>
    <row r="34" spans="1:5">
      <c r="A34" s="87"/>
      <c r="B34" s="90"/>
      <c r="C34" s="93"/>
      <c r="D34" s="90"/>
      <c r="E34" s="93"/>
    </row>
    <row r="35" spans="1:5">
      <c r="A35" s="87" t="s">
        <v>1014</v>
      </c>
      <c r="B35" s="87" t="s">
        <v>1015</v>
      </c>
      <c r="C35" s="94">
        <f t="shared" ref="C35:E35" si="5">C17+C24+C33</f>
        <v>0</v>
      </c>
      <c r="D35" s="94">
        <f t="shared" si="5"/>
        <v>0</v>
      </c>
      <c r="E35" s="94">
        <f t="shared" si="5"/>
        <v>0</v>
      </c>
    </row>
    <row r="36" spans="1:5">
      <c r="A36" s="87"/>
      <c r="B36" s="90"/>
      <c r="C36" s="93"/>
      <c r="D36" s="90"/>
      <c r="E36" s="93"/>
    </row>
    <row r="37" spans="1:5">
      <c r="A37" s="87" t="s">
        <v>1016</v>
      </c>
      <c r="B37" s="87" t="s">
        <v>1017</v>
      </c>
      <c r="C37" s="94">
        <f>PrimeConsolidated!D77</f>
        <v>0</v>
      </c>
      <c r="D37" s="94">
        <f>PrimeConsolidated!E77</f>
        <v>0</v>
      </c>
      <c r="E37" s="94">
        <f>PrimeConsolidated!C77</f>
        <v>0</v>
      </c>
    </row>
    <row r="38" spans="1:5">
      <c r="A38" s="87"/>
      <c r="B38" s="90"/>
      <c r="C38" s="93"/>
      <c r="D38" s="90"/>
      <c r="E38" s="93"/>
    </row>
    <row r="39" spans="1:5">
      <c r="A39" s="87" t="s">
        <v>1018</v>
      </c>
      <c r="B39" s="87" t="s">
        <v>1019</v>
      </c>
      <c r="C39" s="94">
        <f>PrimeConsolidated!C77</f>
        <v>0</v>
      </c>
      <c r="D39" s="94">
        <f>PrimeConsolidated!D77</f>
        <v>0</v>
      </c>
      <c r="E39" s="94">
        <f>PrimeConsolidated!B77</f>
        <v>0</v>
      </c>
    </row>
    <row r="40" spans="1:5">
      <c r="A40" s="87"/>
      <c r="B40" s="87"/>
      <c r="C40" s="94"/>
      <c r="D40" s="90"/>
      <c r="E40" s="94"/>
    </row>
    <row r="41" spans="1:5" ht="25.5">
      <c r="A41" s="87" t="s">
        <v>1020</v>
      </c>
      <c r="B41" s="87" t="s">
        <v>1021</v>
      </c>
      <c r="C41" s="94">
        <f t="shared" ref="C41:E41" si="6">C35+C37</f>
        <v>0</v>
      </c>
      <c r="D41" s="94">
        <f t="shared" si="6"/>
        <v>0</v>
      </c>
      <c r="E41" s="94">
        <f t="shared" si="6"/>
        <v>0</v>
      </c>
    </row>
    <row r="42" spans="1:5">
      <c r="A42" s="87"/>
      <c r="B42" s="90"/>
      <c r="C42" s="90"/>
      <c r="D42" s="90"/>
      <c r="E42" s="90"/>
    </row>
    <row r="43" spans="1:5">
      <c r="A43" s="87" t="s">
        <v>1022</v>
      </c>
      <c r="B43" s="87" t="s">
        <v>1023</v>
      </c>
      <c r="C43" s="98">
        <f t="shared" ref="C43:E43" si="7">C41-C39</f>
        <v>0</v>
      </c>
      <c r="D43" s="98">
        <f t="shared" si="7"/>
        <v>0</v>
      </c>
      <c r="E43" s="98">
        <f t="shared" si="7"/>
        <v>0</v>
      </c>
    </row>
    <row r="48" spans="1:5" hidden="1">
      <c r="C48" s="99"/>
      <c r="E48" s="99"/>
    </row>
  </sheetData>
  <sheetProtection algorithmName="SHA-512" hashValue="Rr2C3vzLntnpo/MecSl1m7KO/8wfFCGliUxwmwcGOODcQQ3j4B955h2NTE6NYnMsTBIwnc2ImkQ26VbuLhBayg==" saltValue="l6iQtXQzoXSl3iCfcwEk7Q==" spinCount="100000" sheet="1" formatCells="0" formatColumns="0" formatRows="0" insertColumns="0" insertRows="0" autoFilter="0"/>
  <mergeCells count="1">
    <mergeCell ref="C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9" width="9.140625" style="44"/>
    <col min="10" max="10" width="11.7109375" style="44"/>
    <col min="11" max="16384" width="9.140625" style="44"/>
  </cols>
  <sheetData>
    <row r="1" spans="1:10">
      <c r="A1" s="45" t="s">
        <v>589</v>
      </c>
      <c r="B1" s="501" t="s">
        <v>1024</v>
      </c>
      <c r="C1" s="501"/>
      <c r="D1" s="501"/>
      <c r="E1" s="501"/>
      <c r="F1" s="501"/>
      <c r="G1" s="501"/>
    </row>
    <row r="2" spans="1:10">
      <c r="A2" s="45" t="s">
        <v>591</v>
      </c>
      <c r="B2" s="503">
        <v>28025</v>
      </c>
      <c r="C2" s="503"/>
      <c r="D2" s="503"/>
      <c r="E2" s="503"/>
      <c r="F2" s="503"/>
      <c r="G2" s="503"/>
    </row>
    <row r="3" spans="1:10">
      <c r="A3" s="45" t="s">
        <v>595</v>
      </c>
      <c r="B3" s="557" t="s">
        <v>17</v>
      </c>
      <c r="C3" s="557"/>
      <c r="D3" s="557"/>
      <c r="E3" s="557"/>
      <c r="F3" s="557"/>
      <c r="G3" s="557"/>
    </row>
    <row r="4" spans="1:10">
      <c r="A4" s="45" t="s">
        <v>597</v>
      </c>
      <c r="B4" s="557" t="s">
        <v>828</v>
      </c>
      <c r="C4" s="557"/>
      <c r="D4" s="557"/>
      <c r="E4" s="557"/>
      <c r="F4" s="557"/>
      <c r="G4" s="557"/>
    </row>
    <row r="5" spans="1:10">
      <c r="A5" s="45" t="s">
        <v>599</v>
      </c>
      <c r="B5" s="557" t="s">
        <v>829</v>
      </c>
      <c r="C5" s="557"/>
      <c r="D5" s="557"/>
      <c r="E5" s="557"/>
      <c r="F5" s="557"/>
      <c r="G5" s="557"/>
    </row>
    <row r="6" spans="1:10">
      <c r="A6" s="45" t="s">
        <v>601</v>
      </c>
      <c r="B6" s="557" t="s">
        <v>830</v>
      </c>
      <c r="C6" s="557"/>
      <c r="D6" s="557"/>
      <c r="E6" s="557"/>
      <c r="F6" s="557"/>
      <c r="G6" s="557"/>
    </row>
    <row r="7" spans="1:10" ht="25.5">
      <c r="A7" s="45" t="s">
        <v>603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831</v>
      </c>
      <c r="B8" s="557" t="s">
        <v>20</v>
      </c>
      <c r="C8" s="557"/>
      <c r="D8" s="557"/>
      <c r="E8" s="557"/>
      <c r="F8" s="557"/>
      <c r="G8" s="557"/>
    </row>
    <row r="9" spans="1:10">
      <c r="A9" s="45" t="s">
        <v>832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1025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>Financial Details: NARENDRA KUMAR VYAS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 ht="15">
      <c r="A15" s="79" t="s">
        <v>846</v>
      </c>
      <c r="B15" s="80"/>
      <c r="C15" s="81">
        <v>0</v>
      </c>
      <c r="D15" s="81">
        <v>0</v>
      </c>
      <c r="E15" s="57">
        <f>'CSV1'!H4+'CSV1'!O4+'CSV1'!Q4+SUM('CSV1'!EM4:EN4)+SUM('CSV1'!GE4:GG4)</f>
        <v>0</v>
      </c>
      <c r="F15" s="82" t="str">
        <f>IFERROR((C15-D15)/D15,"-")</f>
        <v>-</v>
      </c>
      <c r="G15" s="82" t="str">
        <f>IFERROR((D15-E15)/E15,"-")</f>
        <v>-</v>
      </c>
    </row>
    <row r="16" spans="1:10">
      <c r="A16" s="79" t="s">
        <v>847</v>
      </c>
      <c r="B16" s="57"/>
      <c r="C16" s="57"/>
      <c r="D16" s="57"/>
      <c r="E16" s="57"/>
      <c r="F16" s="82" t="str">
        <f t="shared" ref="F16:F56" si="0">IFERROR((C16-D16)/D16,"-")</f>
        <v>-</v>
      </c>
      <c r="G16" s="82" t="str">
        <f t="shared" ref="G16:G56" si="1">IFERROR((D16-E16)/E16,"-")</f>
        <v>-</v>
      </c>
    </row>
    <row r="17" spans="1:7">
      <c r="A17" s="79" t="s">
        <v>848</v>
      </c>
      <c r="B17" s="57"/>
      <c r="C17" s="57">
        <f>'CSV1'!V6</f>
        <v>0</v>
      </c>
      <c r="D17" s="57">
        <f>'CSV1'!V5</f>
        <v>0</v>
      </c>
      <c r="E17" s="57">
        <f>'CSV1'!V4</f>
        <v>0</v>
      </c>
      <c r="F17" s="82" t="str">
        <f t="shared" si="0"/>
        <v>-</v>
      </c>
      <c r="G17" s="82" t="str">
        <f t="shared" si="1"/>
        <v>-</v>
      </c>
    </row>
    <row r="18" spans="1:7">
      <c r="A18" s="79" t="s">
        <v>849</v>
      </c>
      <c r="B18" s="57"/>
      <c r="C18" s="57">
        <f>'CSV1'!U6</f>
        <v>0</v>
      </c>
      <c r="D18" s="57">
        <f>'CSV1'!U5</f>
        <v>0</v>
      </c>
      <c r="E18" s="57">
        <f>'CSV1'!U4</f>
        <v>0</v>
      </c>
      <c r="F18" s="82" t="str">
        <f t="shared" si="0"/>
        <v>-</v>
      </c>
      <c r="G18" s="82" t="str">
        <f t="shared" si="1"/>
        <v>-</v>
      </c>
    </row>
    <row r="19" spans="1:7">
      <c r="A19" s="79" t="s">
        <v>850</v>
      </c>
      <c r="B19" s="57"/>
      <c r="C19" s="57">
        <f>'CSV1'!ED6++'CSV1'!N6+'CSV1'!EH6+'CSV1'!EO6</f>
        <v>0</v>
      </c>
      <c r="D19" s="57">
        <f>'CSV1'!ED5+'CSV1'!N5+'CSV1'!EH5+'CSV1'!EO5</f>
        <v>0</v>
      </c>
      <c r="E19" s="57">
        <f>'CSV1'!ED4+'CSV1'!N4+'CSV1'!EH4+'CSV1'!EO4</f>
        <v>0</v>
      </c>
      <c r="F19" s="82" t="str">
        <f t="shared" si="0"/>
        <v>-</v>
      </c>
      <c r="G19" s="82" t="str">
        <f t="shared" si="1"/>
        <v>-</v>
      </c>
    </row>
    <row r="20" spans="1:7">
      <c r="A20" s="79" t="s">
        <v>851</v>
      </c>
      <c r="B20" s="57"/>
      <c r="C20" s="57"/>
      <c r="D20" s="57"/>
      <c r="E20" s="57"/>
      <c r="F20" s="82" t="str">
        <f t="shared" si="0"/>
        <v>-</v>
      </c>
      <c r="G20" s="82" t="str">
        <f t="shared" si="1"/>
        <v>-</v>
      </c>
    </row>
    <row r="21" spans="1:7">
      <c r="A21" s="79" t="s">
        <v>852</v>
      </c>
      <c r="B21" s="57"/>
      <c r="C21" s="57">
        <f>'CSV1'!I6+'CSV1'!P6+'CSV1'!R6</f>
        <v>0</v>
      </c>
      <c r="D21" s="57">
        <f>'CSV1'!I5+'CSV1'!P5+'CSV1'!R5</f>
        <v>0</v>
      </c>
      <c r="E21" s="57">
        <f>'CSV1'!I4+'CSV1'!P4+'CSV1'!R4</f>
        <v>0</v>
      </c>
      <c r="F21" s="82" t="str">
        <f t="shared" si="0"/>
        <v>-</v>
      </c>
      <c r="G21" s="82" t="str">
        <f t="shared" si="1"/>
        <v>-</v>
      </c>
    </row>
    <row r="22" spans="1:7">
      <c r="A22" s="79" t="s">
        <v>853</v>
      </c>
      <c r="B22" s="57"/>
      <c r="C22" s="57">
        <f>'CSV1'!GH6</f>
        <v>0</v>
      </c>
      <c r="D22" s="57">
        <f>'CSV1'!GH5</f>
        <v>0</v>
      </c>
      <c r="E22" s="57">
        <f>'CSV1'!GH4</f>
        <v>0</v>
      </c>
      <c r="F22" s="82" t="str">
        <f t="shared" si="0"/>
        <v>-</v>
      </c>
      <c r="G22" s="82" t="str">
        <f t="shared" si="1"/>
        <v>-</v>
      </c>
    </row>
    <row r="23" spans="1:7" ht="25.5">
      <c r="A23" s="79" t="s">
        <v>854</v>
      </c>
      <c r="B23" s="57"/>
      <c r="C23" s="57">
        <v>0</v>
      </c>
      <c r="D23" s="57"/>
      <c r="E23" s="57"/>
      <c r="F23" s="82" t="str">
        <f t="shared" ref="F23" si="2">IFERROR((C23-D23)/D23,"-")</f>
        <v>-</v>
      </c>
      <c r="G23" s="82" t="str">
        <f t="shared" ref="G23" si="3">IFERROR((D23-E23)/E23,"-")</f>
        <v>-</v>
      </c>
    </row>
    <row r="24" spans="1:7">
      <c r="A24" s="79" t="s">
        <v>855</v>
      </c>
      <c r="B24" s="57"/>
      <c r="C24" s="57">
        <v>0</v>
      </c>
      <c r="D24" s="57">
        <f>'CSV1'!K5+'CSV1'!L5+'CSV1'!W5+'CSV1'!X5</f>
        <v>0</v>
      </c>
      <c r="E24" s="57">
        <f>'CSV1'!K4+'CSV1'!L4+'CSV1'!W4+'CSV1'!X4</f>
        <v>0</v>
      </c>
      <c r="F24" s="82" t="str">
        <f t="shared" si="0"/>
        <v>-</v>
      </c>
      <c r="G24" s="82" t="str">
        <f t="shared" si="1"/>
        <v>-</v>
      </c>
    </row>
    <row r="25" spans="1:7">
      <c r="A25" s="79" t="s">
        <v>856</v>
      </c>
      <c r="B25" s="57"/>
      <c r="C25" s="57">
        <f>'CSV1'!Z6+'CSV1'!AA6+'CSV1'!AB6</f>
        <v>0</v>
      </c>
      <c r="D25" s="57">
        <f>'CSV1'!Z5+'CSV1'!AA5+'CSV1'!AB5</f>
        <v>0</v>
      </c>
      <c r="E25" s="57">
        <f>'CSV1'!Z4+'CSV1'!AA4+'CSV1'!AB4</f>
        <v>0</v>
      </c>
      <c r="F25" s="82" t="str">
        <f t="shared" si="0"/>
        <v>-</v>
      </c>
      <c r="G25" s="82" t="str">
        <f t="shared" si="1"/>
        <v>-</v>
      </c>
    </row>
    <row r="26" spans="1:7">
      <c r="A26" s="79" t="s">
        <v>857</v>
      </c>
      <c r="B26" s="57"/>
      <c r="C26" s="57">
        <f>'CSV1'!J6</f>
        <v>0</v>
      </c>
      <c r="D26" s="57">
        <f>'CSV1'!J5</f>
        <v>0</v>
      </c>
      <c r="E26" s="57">
        <f>'CSV1'!J4</f>
        <v>0</v>
      </c>
      <c r="F26" s="82" t="str">
        <f t="shared" si="0"/>
        <v>-</v>
      </c>
      <c r="G26" s="82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4">SUM(D29:D30)-D31</f>
        <v>0</v>
      </c>
      <c r="E28" s="61">
        <f t="shared" si="4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v>0</v>
      </c>
      <c r="D29" s="55">
        <v>0</v>
      </c>
      <c r="E29" s="55">
        <f>'CSV1'!AK4+'CSV1'!AL4+'CSV1'!AM4</f>
        <v>0</v>
      </c>
      <c r="F29" s="56" t="str">
        <f t="shared" ref="F29:F31" si="5">IFERROR((C29-D29)/D29,"-")</f>
        <v>-</v>
      </c>
      <c r="G29" s="56" t="str">
        <f t="shared" ref="G29:G31" si="6">IFERROR((D29-E29)/E29,"-")</f>
        <v>-</v>
      </c>
    </row>
    <row r="30" spans="1:7">
      <c r="A30" s="60" t="s">
        <v>864</v>
      </c>
      <c r="B30" s="55"/>
      <c r="C30" s="55">
        <v>0</v>
      </c>
      <c r="D30" s="55">
        <v>0</v>
      </c>
      <c r="E30" s="55">
        <f>'CSV1'!AO4+'CSV1'!AP4+'CSV1'!AQ4+'CSV1'!AR4+'CSV1'!AS4+'CSV1'!AT4+'CSV1'!AU4+'CSV1'!AV4</f>
        <v>0</v>
      </c>
      <c r="F30" s="56" t="str">
        <f t="shared" si="5"/>
        <v>-</v>
      </c>
      <c r="G30" s="56" t="str">
        <f t="shared" si="6"/>
        <v>-</v>
      </c>
    </row>
    <row r="31" spans="1:7">
      <c r="A31" s="60" t="s">
        <v>866</v>
      </c>
      <c r="B31" s="55"/>
      <c r="C31" s="55">
        <v>0</v>
      </c>
      <c r="D31" s="55">
        <v>0</v>
      </c>
      <c r="E31" s="55">
        <f>'CSV1'!AF4+'CSV1'!AG4+'CSV1'!AH4</f>
        <v>0</v>
      </c>
      <c r="F31" s="56" t="str">
        <f t="shared" si="5"/>
        <v>-</v>
      </c>
      <c r="G31" s="56" t="str">
        <f t="shared" si="6"/>
        <v>-</v>
      </c>
    </row>
    <row r="32" spans="1:7">
      <c r="A32" s="60" t="s">
        <v>868</v>
      </c>
      <c r="B32" s="55"/>
      <c r="C32" s="55">
        <f>SUM('CSV1'!AX6:AZ6)+'CSV1'!BC6+'CSV1'!ED6-'CSV1'!EE6+'CSV1'!EH6-'CSV1'!EI6+'CSV1'!FN6+'CSV1'!FO6+SUM('CSV1'!FS6:FW6)</f>
        <v>0</v>
      </c>
      <c r="D32" s="55">
        <f>SUM('CSV1'!AX5:AZ5)+'CSV1'!BC5+'CSV1'!ED5-'CSV1'!EE5+'CSV1'!EH5-'CSV1'!EI5</f>
        <v>0</v>
      </c>
      <c r="E32" s="55">
        <f>SUM('CSV1'!AX4:AZ4)+'CSV1'!BC4+'CSV1'!ED4-'CSV1'!EE4+'CSV1'!EH4-'CSV1'!EI4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5"/>
      <c r="C34" s="55">
        <v>0</v>
      </c>
      <c r="D34" s="55">
        <v>0</v>
      </c>
      <c r="E34" s="55">
        <f>'CSV1'!Y4+'CSV1'!AC4+'CSV1'!AD4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5"/>
      <c r="C35" s="55">
        <f>SUM('CSV1'!BD6:BM6)+'CSV1'!BV6</f>
        <v>0</v>
      </c>
      <c r="D35" s="55">
        <f>SUM('CSV1'!BD5:BM5)+'CSV1'!BV5</f>
        <v>0</v>
      </c>
      <c r="E35" s="55">
        <f>SUM('CSV1'!BD4:BM4)+'CSV1'!BV4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5"/>
      <c r="C36" s="83">
        <v>0</v>
      </c>
      <c r="D36" s="83">
        <v>0</v>
      </c>
      <c r="E36" s="55">
        <f>SUM('CSV1'!BA4:BB4)+'CSV1'!BQ4+'CSV1'!BR4+'CSV1'!BS4+'CSV1'!BT4+SUM('CSV1'!BW4:BY4)+SUM('CSV1'!CH4:CI4)+SUM('CSV1'!CK4:CU4)+'CSV1'!DB4+'CSV1'!DD4+'CSV1'!DJ4+'CSV1'!EF4+'CSV1'!EJ4+SUM('CSV1'!EM4:EO4)-'CSV1'!EP4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5"/>
      <c r="C37" s="55">
        <v>0</v>
      </c>
      <c r="D37" s="55">
        <f>SUM('CSV1'!BZ5:CA5)+SUM('CSV1'!CB5,'CSV1'!CC5,'CSV1'!CE5,'CSV1'!CF5)+SUM('CSV1'!CV5:CZ5)</f>
        <v>0</v>
      </c>
      <c r="E37" s="55">
        <f>SUM('CSV1'!BZ4:CA4)+SUM('CSV1'!CB4,'CSV1'!CC4,'CSV1'!CE4,'CSV1'!CF4)+SUM('CSV1'!CV4:CZ4)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5"/>
      <c r="C39" s="55">
        <v>0</v>
      </c>
      <c r="D39" s="55">
        <v>0</v>
      </c>
      <c r="E39" s="55">
        <f>'CSV1'!DQ4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5"/>
      <c r="C40" s="55">
        <f>SUM('CSV1'!DE6:DG6)+'CSV1'!DI6</f>
        <v>0</v>
      </c>
      <c r="D40" s="55">
        <f>SUM('CSV1'!DE5:DG5)+'CSV1'!DI5</f>
        <v>0</v>
      </c>
      <c r="E40" s="55">
        <f>SUM('CSV1'!DE4:DG4)+'CSV1'!DI4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5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5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5"/>
      <c r="C44" s="55">
        <f>'CSV1'!DM6+'CSV1'!DO6</f>
        <v>0</v>
      </c>
      <c r="D44" s="55">
        <f>'CSV1'!DM5+'CSV1'!DO5</f>
        <v>0</v>
      </c>
      <c r="E44" s="55">
        <f>'CSV1'!DM4+'CSV1'!DO4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5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5"/>
      <c r="C46" s="55">
        <f>'CSV1'!DL6+'CSV1'!DN6</f>
        <v>0</v>
      </c>
      <c r="D46" s="55">
        <f>'CSV1'!DL5+'CSV1'!DN5</f>
        <v>0</v>
      </c>
      <c r="E46" s="55">
        <f>'CSV1'!DL4+'CSV1'!DN4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5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5"/>
      <c r="C48" s="55">
        <f>'CSV1'!DC6</f>
        <v>0</v>
      </c>
      <c r="D48" s="55">
        <f>'CSV1'!DC5</f>
        <v>0</v>
      </c>
      <c r="E48" s="55">
        <f>'CSV1'!DC4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5"/>
      <c r="C50" s="55"/>
      <c r="D50" s="55"/>
      <c r="E50" s="55">
        <f>SUM('CSV1'!DS4:DT4)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5"/>
      <c r="C52" s="55">
        <f>SUM('CSV1'!DY6:DZ6)</f>
        <v>0</v>
      </c>
      <c r="D52" s="55">
        <f>SUM('CSV1'!DY5:DZ5)</f>
        <v>0</v>
      </c>
      <c r="E52" s="55">
        <f>SUM('CSV1'!DY4:DZ4)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5"/>
      <c r="C53" s="55">
        <f>'CSV1'!DX6</f>
        <v>0</v>
      </c>
      <c r="D53" s="55">
        <f>'CSV1'!DX5</f>
        <v>0</v>
      </c>
      <c r="E53" s="55">
        <f>'CSV1'!DX4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7">D38-D50</f>
        <v>0</v>
      </c>
      <c r="E56" s="58">
        <f t="shared" si="7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344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v>0</v>
      </c>
      <c r="D59" s="55">
        <v>0</v>
      </c>
      <c r="E59" s="55">
        <f>'CSV1'!I23+'CSV1'!J23</f>
        <v>0</v>
      </c>
      <c r="F59" s="56" t="str">
        <f t="shared" ref="F59:F98" si="8">IFERROR((C59-D59)/D59,"-")</f>
        <v>-</v>
      </c>
      <c r="G59" s="56" t="str">
        <f t="shared" ref="G59:G98" si="9">IFERROR((D59-E59)/E59,"-")</f>
        <v>-</v>
      </c>
    </row>
    <row r="60" spans="1:7">
      <c r="A60" s="60" t="s">
        <v>890</v>
      </c>
      <c r="B60" s="54"/>
      <c r="C60" s="55">
        <f>'CSV1'!H19+'CSV1'!H13+'CSV1'!H36+SUM('CSV1'!O36:U36)-SUM('CSV1'!H36:M36)</f>
        <v>0</v>
      </c>
      <c r="D60" s="55">
        <f>'CSV1'!H18+'CSV1'!H12+'CSV1'!H35+SUM('CSV1'!O35:U35)-SUM('CSV1'!H35:M35)</f>
        <v>0</v>
      </c>
      <c r="E60" s="55">
        <f>'CSV1'!H17+'CSV1'!H11+'CSV1'!H34+SUM('CSV1'!O34:U34)-SUM('CSV1'!H34:M34)</f>
        <v>0</v>
      </c>
      <c r="F60" s="56" t="str">
        <f t="shared" si="8"/>
        <v>-</v>
      </c>
      <c r="G60" s="56" t="str">
        <f t="shared" si="9"/>
        <v>-</v>
      </c>
    </row>
    <row r="61" spans="1:7">
      <c r="A61" s="60" t="s">
        <v>891</v>
      </c>
      <c r="B61" s="54"/>
      <c r="C61" s="55">
        <f>SUM('CSV1'!I13:L13)-'CSV1'!BQ13+SUM('CSV1'!I19:M19)-'CSV1'!CU19+SUM('CSV1'!L25:S25)+'CSV1'!U25+SUM('CSV1'!W25:X25)+SUM('CSV1'!L31:O31)+'CSV1'!Q31</f>
        <v>0</v>
      </c>
      <c r="D61" s="55">
        <v>0</v>
      </c>
      <c r="E61" s="55">
        <f>SUM('CSV1'!I11:L11)-'CSV1'!BQ11+SUM('CSV1'!I17:M17)-'CSV1'!CU17+SUM('CSV1'!L23:S23)+'CSV1'!U23+SUM('CSV1'!W23:X23)</f>
        <v>0</v>
      </c>
      <c r="F61" s="56" t="str">
        <f t="shared" si="8"/>
        <v>-</v>
      </c>
      <c r="G61" s="56" t="str">
        <f t="shared" si="9"/>
        <v>-</v>
      </c>
    </row>
    <row r="62" spans="1:7">
      <c r="A62" s="60" t="s">
        <v>892</v>
      </c>
      <c r="B62" s="54"/>
      <c r="C62" s="55">
        <f>'CSV1'!CS19+'CSV1'!BO13</f>
        <v>0</v>
      </c>
      <c r="D62" s="55">
        <f>'CSV1'!CS18+'CSV1'!BO12</f>
        <v>0</v>
      </c>
      <c r="E62" s="55">
        <f>'CSV1'!CS17+'CSV1'!BO11</f>
        <v>0</v>
      </c>
      <c r="F62" s="56" t="str">
        <f t="shared" si="8"/>
        <v>-</v>
      </c>
      <c r="G62" s="56" t="str">
        <f t="shared" si="9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8"/>
        <v>-</v>
      </c>
      <c r="G63" s="59" t="str">
        <f t="shared" si="9"/>
        <v>-</v>
      </c>
    </row>
    <row r="64" spans="1:7">
      <c r="A64" s="60" t="s">
        <v>894</v>
      </c>
      <c r="B64" s="54"/>
      <c r="C64" s="55">
        <v>0</v>
      </c>
      <c r="D64" s="55">
        <v>0</v>
      </c>
      <c r="E64" s="55">
        <v>0</v>
      </c>
      <c r="F64" s="56" t="str">
        <f t="shared" si="8"/>
        <v>-</v>
      </c>
      <c r="G64" s="56" t="str">
        <f t="shared" si="9"/>
        <v>-</v>
      </c>
    </row>
    <row r="65" spans="1:7">
      <c r="A65" s="60" t="s">
        <v>895</v>
      </c>
      <c r="B65" s="54"/>
      <c r="C65" s="55">
        <f>'CSV1'!DB25+'CSV1'!EP25+'CSV1'!DG31</f>
        <v>0</v>
      </c>
      <c r="D65" s="55">
        <f>'CSV1'!DB24+'CSV1'!EP24</f>
        <v>0</v>
      </c>
      <c r="E65" s="55">
        <f>'CSV1'!DB23+'CSV1'!EP23</f>
        <v>0</v>
      </c>
      <c r="F65" s="56" t="str">
        <f t="shared" si="8"/>
        <v>-</v>
      </c>
      <c r="G65" s="56" t="str">
        <f t="shared" si="9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8"/>
        <v>-</v>
      </c>
      <c r="G66" s="59" t="str">
        <f t="shared" si="9"/>
        <v>-</v>
      </c>
    </row>
    <row r="67" spans="1:7">
      <c r="A67" s="60" t="s">
        <v>897</v>
      </c>
      <c r="B67" s="54"/>
      <c r="C67" s="55"/>
      <c r="D67" s="55">
        <v>0</v>
      </c>
      <c r="E67" s="55">
        <f>SUM('CSV1'!Z23:AA23)+SUM('CSV1'!AC23:AE23)+SUM('CSV1'!P17:R17)+SUM('CSV1'!O11:Q11)+'CSV1'!I34</f>
        <v>0</v>
      </c>
      <c r="F67" s="56" t="str">
        <f t="shared" si="8"/>
        <v>-</v>
      </c>
      <c r="G67" s="56" t="str">
        <f t="shared" si="9"/>
        <v>-</v>
      </c>
    </row>
    <row r="68" spans="1:7">
      <c r="A68" s="60" t="s">
        <v>898</v>
      </c>
      <c r="B68" s="54"/>
      <c r="C68" s="55"/>
      <c r="D68" s="55">
        <v>0</v>
      </c>
      <c r="E68" s="55">
        <f>'CSV1'!AL23+'CSV1'!BD23+SUM('CSV1'!U17:X17)+SUM('CSV1'!T11:U11)+'CSV1'!J34</f>
        <v>0</v>
      </c>
      <c r="F68" s="56" t="str">
        <f t="shared" si="8"/>
        <v>-</v>
      </c>
      <c r="G68" s="56" t="str">
        <f t="shared" si="9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8"/>
        <v>-</v>
      </c>
      <c r="G69" s="59" t="str">
        <f t="shared" si="9"/>
        <v>-</v>
      </c>
    </row>
    <row r="70" spans="1:7">
      <c r="A70" s="62"/>
      <c r="B70" s="67"/>
      <c r="C70" s="68"/>
      <c r="D70" s="69"/>
      <c r="E70" s="69"/>
      <c r="F70" s="56" t="str">
        <f t="shared" si="8"/>
        <v>-</v>
      </c>
      <c r="G70" s="56" t="str">
        <f t="shared" si="9"/>
        <v>-</v>
      </c>
    </row>
    <row r="71" spans="1:7">
      <c r="A71" s="60" t="s">
        <v>900</v>
      </c>
      <c r="B71" s="55"/>
      <c r="C71" s="55">
        <v>0</v>
      </c>
      <c r="D71" s="55">
        <v>0</v>
      </c>
      <c r="E71" s="55">
        <f>'CSV1'!CC23+'CSV1'!CG23+'CSV1'!AG17+'CSV1'!Z11+SUM('CSV1'!CK23:CL23)+'CSV1'!AC11+'CSV1'!AJ17</f>
        <v>0</v>
      </c>
      <c r="F71" s="56" t="str">
        <f t="shared" si="8"/>
        <v>-</v>
      </c>
      <c r="G71" s="56" t="str">
        <f t="shared" si="9"/>
        <v>-</v>
      </c>
    </row>
    <row r="72" spans="1:7">
      <c r="A72" s="60" t="s">
        <v>901</v>
      </c>
      <c r="B72" s="55"/>
      <c r="C72" s="55">
        <v>0</v>
      </c>
      <c r="D72" s="55">
        <v>0</v>
      </c>
      <c r="E72" s="55">
        <f>'CSV1'!CF23+'CSV1'!CJ23+'CSV1'!AI17+'CSV1'!AB11+SUM('CSV1'!CK23:CL23)+'CSV1'!AC11+'CSV1'!AJ17+'CSV1'!O34</f>
        <v>0</v>
      </c>
      <c r="F72" s="56" t="str">
        <f t="shared" si="8"/>
        <v>-</v>
      </c>
      <c r="G72" s="56" t="str">
        <f t="shared" si="9"/>
        <v>-</v>
      </c>
    </row>
    <row r="73" spans="1:7">
      <c r="A73" s="60" t="s">
        <v>902</v>
      </c>
      <c r="B73" s="55"/>
      <c r="C73" s="55">
        <v>0</v>
      </c>
      <c r="D73" s="55">
        <v>0</v>
      </c>
      <c r="E73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3" s="56" t="str">
        <f t="shared" si="8"/>
        <v>-</v>
      </c>
      <c r="G73" s="56" t="str">
        <f t="shared" si="9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10">SUM(D75,D80,D83,D84,D85)</f>
        <v>0</v>
      </c>
      <c r="E74" s="58">
        <f t="shared" si="10"/>
        <v>0</v>
      </c>
      <c r="F74" s="59" t="str">
        <f t="shared" si="8"/>
        <v>-</v>
      </c>
      <c r="G74" s="59" t="str">
        <f t="shared" si="9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11">SUM(D76:D79)</f>
        <v>0</v>
      </c>
      <c r="E75" s="70">
        <f t="shared" si="11"/>
        <v>0</v>
      </c>
      <c r="F75" s="56" t="str">
        <f t="shared" si="8"/>
        <v>-</v>
      </c>
      <c r="G75" s="56" t="str">
        <f t="shared" si="9"/>
        <v>-</v>
      </c>
    </row>
    <row r="76" spans="1:7">
      <c r="A76" s="345" t="s">
        <v>904</v>
      </c>
      <c r="B76" s="54"/>
      <c r="C76" s="55">
        <v>0</v>
      </c>
      <c r="D76" s="55">
        <v>0</v>
      </c>
      <c r="E76" s="55">
        <f>'CSV1'!DZ23+'CSV1'!BF17+'CSV1'!AN11</f>
        <v>0</v>
      </c>
      <c r="F76" s="56" t="str">
        <f t="shared" si="8"/>
        <v>-</v>
      </c>
      <c r="G76" s="56" t="str">
        <f t="shared" si="9"/>
        <v>-</v>
      </c>
    </row>
    <row r="77" spans="1:7">
      <c r="A77" s="345" t="s">
        <v>905</v>
      </c>
      <c r="B77" s="54"/>
      <c r="C77" s="55">
        <f>SUM('CSV1'!ED25:EE25)+SUM('CSV1'!BJ19:BK19)+'CSV1'!AM13+SUM('CSV1'!EB31:EC31)</f>
        <v>0</v>
      </c>
      <c r="D77" s="55">
        <f>SUM('CSV1'!ED24:EE24)+SUM('CSV1'!BJ18:BK18)+'CSV1'!AM12</f>
        <v>0</v>
      </c>
      <c r="E77" s="55">
        <f>SUM('CSV1'!ED23:EE23)+SUM('CSV1'!BJ17:BK17)+'CSV1'!AM11</f>
        <v>0</v>
      </c>
      <c r="F77" s="56" t="str">
        <f t="shared" si="8"/>
        <v>-</v>
      </c>
      <c r="G77" s="56" t="str">
        <f t="shared" si="9"/>
        <v>-</v>
      </c>
    </row>
    <row r="78" spans="1:7">
      <c r="A78" s="345" t="s">
        <v>906</v>
      </c>
      <c r="B78" s="54"/>
      <c r="C78" s="55">
        <f>'CSV1'!EA25+'CSV1'!BG19+'CSV1'!AO13+'CSV1'!DY31</f>
        <v>0</v>
      </c>
      <c r="D78" s="55">
        <f>'CSV1'!EA24+'CSV1'!BG18+'CSV1'!AO12</f>
        <v>0</v>
      </c>
      <c r="E78" s="55">
        <f>'CSV1'!EA23+'CSV1'!BG17+'CSV1'!AO11</f>
        <v>0</v>
      </c>
      <c r="F78" s="56" t="str">
        <f t="shared" si="8"/>
        <v>-</v>
      </c>
      <c r="G78" s="56" t="str">
        <f t="shared" si="9"/>
        <v>-</v>
      </c>
    </row>
    <row r="79" spans="1:7">
      <c r="A79" s="345" t="s">
        <v>907</v>
      </c>
      <c r="B79" s="54"/>
      <c r="C79" s="55">
        <f>SUM('CSV1'!EB25:EC25)+'CSV1'!EF25+SUM('CSV1'!BH19:BI19)+'CSV1'!BL19+'CSV1'!AP13+'CSV1'!P36+SUM('CSV1'!DZ31:EA31)+'CSV1'!EE31</f>
        <v>0</v>
      </c>
      <c r="D79" s="55">
        <f>SUM('CSV1'!EB24:EC24)+'CSV1'!EF24+SUM('CSV1'!BH18:BI18)+'CSV1'!BL18+'CSV1'!AP12+'CSV1'!P35</f>
        <v>0</v>
      </c>
      <c r="E79" s="55">
        <f>SUM('CSV1'!EB23:EC23)+'CSV1'!EF23+SUM('CSV1'!BH17:BI17)+'CSV1'!BL17+'CSV1'!AP11+'CSV1'!P34</f>
        <v>0</v>
      </c>
      <c r="F79" s="56" t="str">
        <f t="shared" si="8"/>
        <v>-</v>
      </c>
      <c r="G79" s="56" t="str">
        <f t="shared" si="9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12">SUM(D81:D82)</f>
        <v>0</v>
      </c>
      <c r="E80" s="70">
        <f t="shared" si="12"/>
        <v>0</v>
      </c>
      <c r="F80" s="56" t="str">
        <f t="shared" si="8"/>
        <v>-</v>
      </c>
      <c r="G80" s="56" t="str">
        <f t="shared" si="9"/>
        <v>-</v>
      </c>
    </row>
    <row r="81" spans="1:7">
      <c r="A81" s="345" t="s">
        <v>909</v>
      </c>
      <c r="B81" s="54"/>
      <c r="C81" s="55">
        <v>0</v>
      </c>
      <c r="D81" s="55">
        <v>0</v>
      </c>
      <c r="E81" s="55">
        <f>SUM('CSV1'!DH23:DI23)+'CSV1'!EI23+'CSV1'!BO17+'CSV1'!AR11+'CSV1'!Q34</f>
        <v>0</v>
      </c>
      <c r="F81" s="56" t="str">
        <f t="shared" si="8"/>
        <v>-</v>
      </c>
      <c r="G81" s="56" t="str">
        <f t="shared" si="9"/>
        <v>-</v>
      </c>
    </row>
    <row r="82" spans="1:7">
      <c r="A82" s="345" t="s">
        <v>910</v>
      </c>
      <c r="B82" s="54"/>
      <c r="C82" s="55">
        <v>0</v>
      </c>
      <c r="D82" s="55">
        <v>0</v>
      </c>
      <c r="E82" s="55">
        <f>'CSV1'!DJ23+'CSV1'!DL23+'CSV1'!EH23+'CSV1'!BN17</f>
        <v>0</v>
      </c>
      <c r="F82" s="56" t="str">
        <f t="shared" si="8"/>
        <v>-</v>
      </c>
      <c r="G82" s="56" t="str">
        <f t="shared" si="9"/>
        <v>-</v>
      </c>
    </row>
    <row r="83" spans="1:7">
      <c r="A83" s="60" t="s">
        <v>911</v>
      </c>
      <c r="B83" s="54"/>
      <c r="C83" s="55">
        <v>0</v>
      </c>
      <c r="D83" s="55">
        <v>0</v>
      </c>
      <c r="E83" s="55">
        <v>0</v>
      </c>
      <c r="F83" s="56" t="str">
        <f t="shared" si="8"/>
        <v>-</v>
      </c>
      <c r="G83" s="56" t="str">
        <f t="shared" si="9"/>
        <v>-</v>
      </c>
    </row>
    <row r="84" spans="1:7">
      <c r="A84" s="60" t="s">
        <v>378</v>
      </c>
      <c r="B84" s="54"/>
      <c r="C84" s="55">
        <v>0</v>
      </c>
      <c r="D84" s="55">
        <v>0</v>
      </c>
      <c r="E84" s="55">
        <f>SUM('CSV1'!EK23:EN23)+SUM('CSV1'!BQ17:BS17)+SUM('CSV1'!AS11:AT11)+'CSV1'!BW11+'CSV1'!S34+'CSV1'!R34</f>
        <v>0</v>
      </c>
      <c r="F84" s="56" t="str">
        <f t="shared" si="8"/>
        <v>-</v>
      </c>
      <c r="G84" s="56" t="str">
        <f t="shared" si="9"/>
        <v>-</v>
      </c>
    </row>
    <row r="85" spans="1:7">
      <c r="A85" s="60" t="s">
        <v>912</v>
      </c>
      <c r="B85" s="54"/>
      <c r="C85" s="55">
        <v>0</v>
      </c>
      <c r="D85" s="55">
        <v>0</v>
      </c>
      <c r="E85" s="55">
        <f>'CSV1'!BY17+'CSV1'!AZ11</f>
        <v>0</v>
      </c>
      <c r="F85" s="56" t="str">
        <f t="shared" si="8"/>
        <v>-</v>
      </c>
      <c r="G85" s="56" t="str">
        <f t="shared" si="9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8"/>
        <v>-</v>
      </c>
      <c r="G86" s="59" t="str">
        <f t="shared" si="9"/>
        <v>-</v>
      </c>
    </row>
    <row r="87" spans="1:7">
      <c r="A87" s="60" t="s">
        <v>914</v>
      </c>
      <c r="B87" s="54"/>
      <c r="C87" s="55">
        <v>0</v>
      </c>
      <c r="D87" s="55">
        <v>0</v>
      </c>
      <c r="E87" s="55">
        <f>'CSV1'!AP23+SUM('CSV1'!BG23:BH23)+SUM('CSV1'!CD17:CE17)+'CSV1'!BC11+'CSV1'!BU11+'CSV1'!L34</f>
        <v>0</v>
      </c>
      <c r="F87" s="56" t="str">
        <f t="shared" si="8"/>
        <v>-</v>
      </c>
      <c r="G87" s="56" t="str">
        <f t="shared" si="9"/>
        <v>-</v>
      </c>
    </row>
    <row r="88" spans="1:7">
      <c r="A88" s="60" t="s">
        <v>915</v>
      </c>
      <c r="B88" s="54"/>
      <c r="C88" s="55">
        <f>'CSV1'!AQ25+'CSV1'!BN25+'CSV1'!AD19+'CSV1'!CJ19+'CSV1'!AJ31+'CSV1'!BL31</f>
        <v>0</v>
      </c>
      <c r="D88" s="55">
        <f>'CSV1'!AQ24+'CSV1'!BN24+'CSV1'!AD18+'CSV1'!CJ18</f>
        <v>0</v>
      </c>
      <c r="E88" s="55">
        <f>'CSV1'!AQ23+'CSV1'!BN23+'CSV1'!AD17+'CSV1'!CJ17</f>
        <v>0</v>
      </c>
      <c r="F88" s="56" t="str">
        <f t="shared" si="8"/>
        <v>-</v>
      </c>
      <c r="G88" s="56" t="str">
        <f t="shared" si="9"/>
        <v>-</v>
      </c>
    </row>
    <row r="89" spans="1:7">
      <c r="A89" s="60" t="s">
        <v>916</v>
      </c>
      <c r="B89" s="54"/>
      <c r="C89" s="55">
        <v>0</v>
      </c>
      <c r="D89" s="55">
        <v>0</v>
      </c>
      <c r="E89" s="55">
        <f>SUM('CSV1'!AI23:AJ23)+'CSV1'!AM23+'CSV1'!BB23+'CSV1'!BE23+'CSV1'!BJ23+'CSV1'!BO23+'CSV1'!BP23+'CSV1'!BQ23+'CSV1'!BR23+'CSV1'!BS23+'CSV1'!CG17+'CSV1'!CK17+'CSV1'!BD11+'CSV1'!K34+'CSV1'!M34</f>
        <v>0</v>
      </c>
      <c r="F89" s="56" t="str">
        <f t="shared" si="8"/>
        <v>-</v>
      </c>
      <c r="G89" s="56" t="str">
        <f t="shared" si="9"/>
        <v>-</v>
      </c>
    </row>
    <row r="90" spans="1:7">
      <c r="A90" s="60" t="s">
        <v>917</v>
      </c>
      <c r="B90" s="54"/>
      <c r="C90" s="55">
        <v>0</v>
      </c>
      <c r="D90" s="55">
        <v>0</v>
      </c>
      <c r="E90" s="55">
        <f>SUM('CSV1'!AS23:AT23)+SUM('CSV1'!BK23:BM23)+SUM('CSV1'!BU23:BY23)+SUM('CSV1'!CH17:CI17)+SUM('CSV1'!CM17:CO17)+SUM('CSV1'!BE11:BF11)+SUM('CSV1'!BH11:BK11)</f>
        <v>0</v>
      </c>
      <c r="F90" s="56" t="str">
        <f t="shared" si="8"/>
        <v>-</v>
      </c>
      <c r="G90" s="56" t="str">
        <f t="shared" si="9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8"/>
        <v>-</v>
      </c>
      <c r="G91" s="59" t="str">
        <f t="shared" si="9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8"/>
        <v>-</v>
      </c>
      <c r="G92" s="56" t="str">
        <f t="shared" si="9"/>
        <v>-</v>
      </c>
    </row>
    <row r="93" spans="1:7">
      <c r="A93" s="60" t="s">
        <v>920</v>
      </c>
      <c r="B93" s="54"/>
      <c r="C93" s="55">
        <f>'CSV1'!AW25+'CSV1'!AS31</f>
        <v>0</v>
      </c>
      <c r="D93" s="55">
        <f>'CSV1'!AW24</f>
        <v>0</v>
      </c>
      <c r="E93" s="55">
        <f>'CSV1'!AW23</f>
        <v>0</v>
      </c>
      <c r="F93" s="56" t="str">
        <f t="shared" si="8"/>
        <v>-</v>
      </c>
      <c r="G93" s="56" t="str">
        <f t="shared" si="9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8"/>
        <v>-</v>
      </c>
      <c r="G94" s="56" t="str">
        <f t="shared" si="9"/>
        <v>-</v>
      </c>
    </row>
    <row r="95" spans="1:7">
      <c r="A95" s="60" t="s">
        <v>922</v>
      </c>
      <c r="B95" s="54"/>
      <c r="C95" s="55">
        <f>SUM('CSV1'!AX25:AZ25)+'CSV1'!AT31</f>
        <v>0</v>
      </c>
      <c r="D95" s="55">
        <f>SUM('CSV1'!AX24:AZ24)</f>
        <v>0</v>
      </c>
      <c r="E95" s="55">
        <f>SUM('CSV1'!AX23:AZ23)</f>
        <v>0</v>
      </c>
      <c r="F95" s="56" t="str">
        <f t="shared" si="8"/>
        <v>-</v>
      </c>
      <c r="G95" s="56" t="str">
        <f t="shared" si="9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8"/>
        <v>-</v>
      </c>
      <c r="G96" s="59" t="str">
        <f t="shared" si="9"/>
        <v>-</v>
      </c>
    </row>
    <row r="97" spans="1:7">
      <c r="A97" s="60" t="s">
        <v>924</v>
      </c>
      <c r="B97" s="54"/>
      <c r="C97" s="55">
        <f>-'CSV1'!AH25-'CSV1'!AO25+'CSV1'!CY25-'CSV1'!AB19+'CSV1'!CT19-'CSV1'!X13+'CSV1'!BP13-'CSV1'!AB31-'CSV1'!AN31+'CSV1'!DP31</f>
        <v>0</v>
      </c>
      <c r="D97" s="55">
        <f>-'CSV1'!AH24-'CSV1'!AO24+'CSV1'!CY24-'CSV1'!AB18+'CSV1'!CT18-'CSV1'!X12+'CSV1'!BP12</f>
        <v>0</v>
      </c>
      <c r="E97" s="55">
        <f>-'CSV1'!AH23-'CSV1'!AO23+'CSV1'!CY23-'CSV1'!AB17+'CSV1'!CT17-'CSV1'!X11+'CSV1'!BP11</f>
        <v>0</v>
      </c>
      <c r="F97" s="56" t="str">
        <f t="shared" si="8"/>
        <v>-</v>
      </c>
      <c r="G97" s="56" t="str">
        <f t="shared" si="9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8"/>
        <v>-</v>
      </c>
      <c r="G98" s="59" t="str">
        <f t="shared" si="9"/>
        <v>-</v>
      </c>
    </row>
    <row r="99" spans="1:7">
      <c r="A99" s="73"/>
      <c r="B99" s="84">
        <f>B98-B69</f>
        <v>0</v>
      </c>
      <c r="C99" s="84"/>
      <c r="D99" s="84">
        <f>D98-D69</f>
        <v>0</v>
      </c>
      <c r="E99" s="74">
        <f t="shared" ref="E99" si="13">E98-E69</f>
        <v>0</v>
      </c>
      <c r="F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XNq1A2XP6GpuHoBPwsLY7NF65XgDf+WHHAgck43NUxbyBrAa8eFCnam1UCwwaW8ftZXBOOLSqNoiRoSQqDQL+w==" saltValue="JtQs7EQA1I4Fma07sB4Yr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8" priority="1" stopIfTrue="1" operator="lessThan">
      <formula>-0.2</formula>
    </cfRule>
    <cfRule type="cellIs" dxfId="37" priority="2" stopIfTrue="1" operator="lessThan">
      <formula>0</formula>
    </cfRule>
    <cfRule type="cellIs" dxfId="36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3.2851562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1" t="s">
        <v>1026</v>
      </c>
      <c r="C1" s="501"/>
      <c r="D1" s="501"/>
      <c r="E1" s="501"/>
      <c r="F1" s="501"/>
      <c r="G1" s="501"/>
    </row>
    <row r="2" spans="1:10">
      <c r="A2" s="45" t="s">
        <v>591</v>
      </c>
      <c r="B2" s="503">
        <v>31778</v>
      </c>
      <c r="C2" s="503"/>
      <c r="D2" s="503"/>
      <c r="E2" s="503"/>
      <c r="F2" s="503"/>
      <c r="G2" s="503"/>
    </row>
    <row r="3" spans="1:10">
      <c r="A3" s="45" t="s">
        <v>595</v>
      </c>
      <c r="B3" s="557" t="s">
        <v>17</v>
      </c>
      <c r="C3" s="557"/>
      <c r="D3" s="557"/>
      <c r="E3" s="557"/>
      <c r="F3" s="557"/>
      <c r="G3" s="557"/>
    </row>
    <row r="4" spans="1:10">
      <c r="A4" s="45" t="s">
        <v>597</v>
      </c>
      <c r="B4" s="557" t="s">
        <v>828</v>
      </c>
      <c r="C4" s="557"/>
      <c r="D4" s="557"/>
      <c r="E4" s="557"/>
      <c r="F4" s="557"/>
      <c r="G4" s="557"/>
    </row>
    <row r="5" spans="1:10">
      <c r="A5" s="45" t="s">
        <v>599</v>
      </c>
      <c r="B5" s="557" t="s">
        <v>829</v>
      </c>
      <c r="C5" s="557"/>
      <c r="D5" s="557"/>
      <c r="E5" s="557"/>
      <c r="F5" s="557"/>
      <c r="G5" s="557"/>
    </row>
    <row r="6" spans="1:10">
      <c r="A6" s="45" t="s">
        <v>601</v>
      </c>
      <c r="B6" s="557" t="s">
        <v>830</v>
      </c>
      <c r="C6" s="557"/>
      <c r="D6" s="557"/>
      <c r="E6" s="557"/>
      <c r="F6" s="557"/>
      <c r="G6" s="557"/>
    </row>
    <row r="7" spans="1:10" ht="25.5">
      <c r="A7" s="45" t="s">
        <v>603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831</v>
      </c>
      <c r="B8" s="557" t="s">
        <v>24</v>
      </c>
      <c r="C8" s="557"/>
      <c r="D8" s="557"/>
      <c r="E8" s="557"/>
      <c r="F8" s="557"/>
      <c r="G8" s="557"/>
    </row>
    <row r="9" spans="1:10">
      <c r="A9" s="45" t="s">
        <v>832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1025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>Financial Details: ASHA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v>0</v>
      </c>
      <c r="D15" s="55">
        <v>0</v>
      </c>
      <c r="E15" s="55">
        <f>'CSV2'!H4+'CSV2'!O4+'CSV2'!Q4+SUM('CSV2'!EM4:EN4)+SUM('CSV2'!GE4:GG4)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'CSV2'!V6</f>
        <v>0</v>
      </c>
      <c r="D17" s="55">
        <f>'CSV2'!V5</f>
        <v>0</v>
      </c>
      <c r="E17" s="55">
        <f>'CSV2'!V4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'CSV2'!U6</f>
        <v>0</v>
      </c>
      <c r="D18" s="55">
        <f>'CSV2'!U5</f>
        <v>0</v>
      </c>
      <c r="E18" s="55">
        <f>'CSV2'!U4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'CSV2'!ED6++'CSV2'!N6+'CSV2'!EH6+'CSV2'!EO6</f>
        <v>0</v>
      </c>
      <c r="D19" s="55">
        <f>'CSV2'!ED5+'CSV2'!N5+'CSV2'!EH5+'CSV2'!EO5</f>
        <v>0</v>
      </c>
      <c r="E19" s="55">
        <f>'CSV2'!ED4+'CSV2'!N4+'CSV2'!EH4+'CSV2'!EO4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'CSV2'!I6+'CSV2'!P6+'CSV2'!R6</f>
        <v>0</v>
      </c>
      <c r="D21" s="55">
        <f>'CSV2'!I5+'CSV2'!P5+'CSV2'!R5</f>
        <v>0</v>
      </c>
      <c r="E21" s="55">
        <f>'CSV2'!I4+'CSV2'!P4+'CSV2'!R4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'CSV2'!GH6</f>
        <v>0</v>
      </c>
      <c r="D22" s="57">
        <f>'CSV2'!GH5</f>
        <v>0</v>
      </c>
      <c r="E22" s="57">
        <f>'CSV2'!GH4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'CSV2'!K6+'CSV2'!L6+'CSV2'!W6+'CSV2'!X6</f>
        <v>0</v>
      </c>
      <c r="D24" s="55">
        <f>'CSV2'!K5+'CSV2'!L5+'CSV2'!W5+'CSV2'!X5</f>
        <v>0</v>
      </c>
      <c r="E24" s="55">
        <f>'CSV2'!K4+'CSV2'!L4+'CSV2'!W4+'CSV2'!X4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'CSV2'!Z6+'CSV2'!AA6+'CSV2'!AB6</f>
        <v>0</v>
      </c>
      <c r="D25" s="55">
        <f>'CSV2'!Z5+'CSV2'!AA5+'CSV2'!AB5</f>
        <v>0</v>
      </c>
      <c r="E25" s="55">
        <f>'CSV2'!Z4+'CSV2'!AA4+'CSV2'!AB4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'CSV2'!J6</f>
        <v>0</v>
      </c>
      <c r="D26" s="55">
        <f>'CSV2'!J5</f>
        <v>0</v>
      </c>
      <c r="E26" s="55">
        <f>'CSV2'!J4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'CSV2'!AK6+'CSV2'!AL6+'CSV2'!AM6</f>
        <v>0</v>
      </c>
      <c r="D29" s="55">
        <f>'CSV2'!AK5+'CSV2'!AL5+'CSV2'!AM5</f>
        <v>0</v>
      </c>
      <c r="E29" s="55">
        <f>'CSV2'!AK4+'CSV2'!AL4+'CSV2'!AM4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'CSV2'!AO6+'CSV2'!AP6+'CSV2'!AQ6+'CSV2'!AR6+'CSV2'!AS6+'CSV2'!AT6+'CSV2'!AU6+'CSV2'!AV6</f>
        <v>0</v>
      </c>
      <c r="D30" s="55">
        <f>'CSV2'!AO5+'CSV2'!AP5+'CSV2'!AQ5+'CSV2'!AR5+'CSV2'!AS5+'CSV2'!AT5+'CSV2'!AU5+'CSV2'!AV5</f>
        <v>0</v>
      </c>
      <c r="E30" s="55">
        <f>'CSV2'!AO4+'CSV2'!AP4+'CSV2'!AQ4+'CSV2'!AR4+'CSV2'!AS4+'CSV2'!AT4+'CSV2'!AU4+'CSV2'!AV4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'CSV2'!AF6+'CSV2'!AG6+'CSV2'!AH6</f>
        <v>0</v>
      </c>
      <c r="D31" s="55">
        <f>'CSV2'!AF5+'CSV2'!AG5+'CSV2'!AH5</f>
        <v>0</v>
      </c>
      <c r="E31" s="55">
        <f>'CSV2'!AF4+'CSV2'!AG4+'CSV2'!AH4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SUM('CSV2'!AX6:AZ6)+'CSV2'!BC6+'CSV2'!ED6-'CSV2'!EE6+'CSV2'!EH6-'CSV2'!EI6+'CSV2'!FN6+'CSV2'!FO6+SUM('CSV2'!FS6:FW6)</f>
        <v>0</v>
      </c>
      <c r="D32" s="55">
        <f>SUM('CSV2'!AX5:AZ5)+'CSV2'!BC5+'CSV2'!ED5-'CSV2'!EE5+'CSV2'!EH5-'CSV2'!EI5</f>
        <v>0</v>
      </c>
      <c r="E32" s="55">
        <f>SUM('CSV2'!AX4:AZ4)+'CSV2'!BC4+'CSV2'!ED4-'CSV2'!EE4+'CSV2'!EH4-'CSV2'!EI4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'CSV2'!Y6+'CSV2'!AC6+'CSV2'!AD6</f>
        <v>0</v>
      </c>
      <c r="D34" s="55">
        <f>'CSV2'!Y5+'CSV2'!AC5+'CSV2'!AD5</f>
        <v>0</v>
      </c>
      <c r="E34" s="55">
        <f>'CSV2'!Y4+'CSV2'!AC4+'CSV2'!AD4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SUM('CSV2'!BD6:BM6)+'CSV2'!BV6</f>
        <v>0</v>
      </c>
      <c r="D35" s="55">
        <f>SUM('CSV2'!BD5:BM5)+'CSV2'!BV5</f>
        <v>0</v>
      </c>
      <c r="E35" s="55">
        <f>SUM('CSV2'!BD4:BM4)+'CSV2'!BV4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v>0</v>
      </c>
      <c r="D36" s="55">
        <v>0</v>
      </c>
      <c r="E36" s="55">
        <f>SUM('CSV2'!BA4:BB4)+'CSV2'!BQ4+'CSV2'!BR4+'CSV2'!BS4+'CSV2'!BT4+SUM('CSV2'!BW4:BY4)+SUM('CSV2'!CH4:CI4)+SUM('CSV2'!CK4:CU4)+'CSV2'!DB4+'CSV2'!DD4+'CSV2'!DJ4+'CSV2'!EF4+'CSV2'!EJ4+SUM('CSV2'!EM4:EO4)-'CSV2'!EP4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SUM('CSV2'!BZ6:CA6)+SUM('CSV2'!CB6,'CSV2'!CC6,'CSV2'!CE6,'CSV2'!CF6)+SUM('CSV2'!CV6:CZ6)</f>
        <v>0</v>
      </c>
      <c r="D37" s="55">
        <f>SUM('CSV2'!BZ5:CA5)+SUM('CSV2'!CB5,'CSV2'!CC5,'CSV2'!CE5,'CSV2'!CF5)+SUM('CSV2'!CV5:CZ5)</f>
        <v>0</v>
      </c>
      <c r="E37" s="55">
        <f>SUM('CSV2'!BZ4:CA4)+SUM('CSV2'!CB4,'CSV2'!CC4,'CSV2'!CE4,'CSV2'!CF4)+SUM('CSV2'!CV4:CZ4)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v>0</v>
      </c>
      <c r="D39" s="55">
        <v>0</v>
      </c>
      <c r="E39" s="55">
        <f>'CSV2'!DQ4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SUM('CSV2'!DE6:DG6)+'CSV2'!DI6</f>
        <v>0</v>
      </c>
      <c r="D40" s="55">
        <f>SUM('CSV2'!DE5:DG5)+'CSV2'!DI5</f>
        <v>0</v>
      </c>
      <c r="E40" s="55">
        <f>SUM('CSV2'!DE4:DG4)+'CSV2'!DI4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'CSV2'!DM6+'CSV2'!DO6</f>
        <v>0</v>
      </c>
      <c r="D44" s="55">
        <f>'CSV2'!DM5+'CSV2'!DO5</f>
        <v>0</v>
      </c>
      <c r="E44" s="55">
        <f>'CSV2'!DM4+'CSV2'!DO4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'CSV2'!DL6+'CSV2'!DN6</f>
        <v>0</v>
      </c>
      <c r="D46" s="55">
        <f>'CSV2'!DL5+'CSV2'!DN5</f>
        <v>0</v>
      </c>
      <c r="E46" s="55">
        <f>'CSV2'!DL4+'CSV2'!DN4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'CSV2'!DC6</f>
        <v>0</v>
      </c>
      <c r="D48" s="55">
        <f>'CSV2'!DC5</f>
        <v>0</v>
      </c>
      <c r="E48" s="55">
        <f>'CSV2'!DC4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SUM('CSV2'!DS6:DT6)</f>
        <v>0</v>
      </c>
      <c r="D50" s="55">
        <f>SUM('CSV2'!DS5:DT5)</f>
        <v>0</v>
      </c>
      <c r="E50" s="55">
        <f>SUM('CSV2'!DS4:DT4)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SUM('CSV2'!DY6:DZ6)</f>
        <v>0</v>
      </c>
      <c r="D52" s="55">
        <f>SUM('CSV2'!DY5:DZ5)</f>
        <v>0</v>
      </c>
      <c r="E52" s="55">
        <f>SUM('CSV2'!DY4:DZ4)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'CSV2'!DX6</f>
        <v>0</v>
      </c>
      <c r="D53" s="55">
        <f>'CSV2'!DX5</f>
        <v>0</v>
      </c>
      <c r="E53" s="55">
        <f>'CSV2'!DX4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v>0</v>
      </c>
      <c r="D59" s="55">
        <v>0</v>
      </c>
      <c r="E59" s="55">
        <f>'CSV2'!I23+'CSV2'!J23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'CSV2'!H19+'CSV2'!H13+'CSV2'!H36+SUM('CSV2'!O36:U36)-SUM('CSV2'!H36:M36)</f>
        <v>0</v>
      </c>
      <c r="D60" s="55">
        <f>'CSV2'!H18+'CSV2'!H12+'CSV2'!H35+SUM('CSV2'!O35:U35)-SUM('CSV2'!H35:M35)</f>
        <v>0</v>
      </c>
      <c r="E60" s="55">
        <f>'CSV2'!H17+'CSV2'!H11+'CSV2'!H34+SUM('CSV2'!O34:U34)-SUM('CSV2'!H34:M34)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SUM('CSV2'!I13:L13)-'CSV2'!BQ13+SUM('CSV2'!I19:M19)-'CSV2'!CU19+SUM('CSV2'!L25:S25)+'CSV2'!U25+SUM('CSV2'!W25:X25)+SUM('CSV2'!L31:O31)+'CSV2'!Q31</f>
        <v>0</v>
      </c>
      <c r="D61" s="55">
        <f>SUM('CSV2'!I12:L12)-'CSV2'!BQ12+SUM('CSV2'!I18:M18)-'CSV2'!CU18+SUM('CSV2'!L24:S24)+'CSV2'!U24+SUM('CSV2'!W24:X24)</f>
        <v>0</v>
      </c>
      <c r="E61" s="55">
        <f>SUM('CSV2'!I11:L11)-'CSV2'!BQ11+SUM('CSV2'!I17:M17)-'CSV2'!CU17+SUM('CSV2'!L23:S23)+'CSV2'!U23+SUM('CSV2'!W23:X23)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v>0</v>
      </c>
      <c r="D62" s="55">
        <v>0</v>
      </c>
      <c r="E62" s="55">
        <f>'CSV2'!CS17+'CSV2'!BO11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'CSV2'!AK25+'CSV2'!BC25+'CSV2'!AC19+'CSV2'!AC31+'CSV2'!AD31+'CSV2'!AF31+'CSV2'!AG31+'CSV2'!AO31+SUM('CSV2'!AV31:AX31)+'CSV2'!BM31</f>
        <v>0</v>
      </c>
      <c r="D64" s="55">
        <f>'CSV2'!AK24+'CSV2'!BC24+'CSV2'!AC18</f>
        <v>0</v>
      </c>
      <c r="E64" s="55">
        <f>'CSV2'!AK23+'CSV2'!BC23+'CSV2'!AC17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'CSV2'!DB25+'CSV2'!EP25+'CSV2'!DG31</f>
        <v>0</v>
      </c>
      <c r="D65" s="55">
        <f>'CSV2'!DB24+'CSV2'!EP24</f>
        <v>0</v>
      </c>
      <c r="E65" s="55">
        <f>'CSV2'!DB23+'CSV2'!EP23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SUM('CSV2'!Z25:AA25)+SUM('CSV2'!AC25:AE25)+SUM('CSV2'!P19:R19)+SUM('CSV2'!O13:Q13)+'CSV2'!I36+SUM('CSV2'!T31:U31)+SUM('CSV2'!W31:Y31)</f>
        <v>0</v>
      </c>
      <c r="D67" s="55">
        <f>SUM('CSV2'!Z24:AA24)+SUM('CSV2'!AC24:AE24)+SUM('CSV2'!P18:R18)+SUM('CSV2'!O12:Q12)+'CSV2'!I35</f>
        <v>0</v>
      </c>
      <c r="E67" s="55">
        <f>SUM('CSV2'!Z23:AA23)+SUM('CSV2'!AC23:AE23)+SUM('CSV2'!P17:R17)+SUM('CSV2'!O11:Q11)+'CSV2'!I34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'CSV2'!AL25+'CSV2'!BD25+SUM('CSV2'!U19:X19)+SUM('CSV2'!T13:U13)+'CSV2'!J36</f>
        <v>0</v>
      </c>
      <c r="D68" s="55">
        <f>'CSV2'!AL24+'CSV2'!BD24+SUM('CSV2'!U18:X18)+SUM('CSV2'!T12:U12)+'CSV2'!J35</f>
        <v>0</v>
      </c>
      <c r="E68" s="55">
        <f>'CSV2'!AL23+'CSV2'!BD23+SUM('CSV2'!U17:X17)+SUM('CSV2'!T11:U11)+'CSV2'!J34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v>0</v>
      </c>
      <c r="D72" s="55">
        <v>0</v>
      </c>
      <c r="E72" s="55">
        <f>'CSV2'!CF23+'CSV2'!CJ23+'CSV2'!AI17+'CSV2'!AB11+SUM('CSV2'!CK23:CL23)+'CSV2'!AC11+'CSV2'!AJ17+'CSV2'!O34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v>0</v>
      </c>
      <c r="D73" s="55">
        <v>0</v>
      </c>
      <c r="E73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5" t="s">
        <v>904</v>
      </c>
      <c r="B76" s="54"/>
      <c r="C76" s="55">
        <f>'CSV2'!DZ25+'CSV2'!BF19+'CSV2'!AN13+'CSV2'!DX31</f>
        <v>0</v>
      </c>
      <c r="D76" s="55">
        <f>'CSV2'!DZ24+'CSV2'!BF18+'CSV2'!AN12</f>
        <v>0</v>
      </c>
      <c r="E76" s="55">
        <f>'CSV2'!DZ23+'CSV2'!BF17+'CSV2'!AN11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5" t="s">
        <v>905</v>
      </c>
      <c r="B77" s="54"/>
      <c r="C77" s="55">
        <f>SUM('CSV2'!ED25:EE25)+SUM('CSV2'!BJ19:BK19)+'CSV2'!AM13+SUM('CSV2'!EB31:EC31)</f>
        <v>0</v>
      </c>
      <c r="D77" s="55">
        <f>SUM('CSV2'!ED24:EE24)+SUM('CSV2'!BJ18:BK18)+'CSV2'!AM12</f>
        <v>0</v>
      </c>
      <c r="E77" s="55">
        <f>SUM('CSV2'!ED23:EE23)+SUM('CSV2'!BJ17:BK17)+'CSV2'!AM11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5" t="s">
        <v>906</v>
      </c>
      <c r="B78" s="54"/>
      <c r="C78" s="55">
        <f>'CSV2'!EA25+'CSV2'!BG19+'CSV2'!AO13+'CSV2'!DY31</f>
        <v>0</v>
      </c>
      <c r="D78" s="55">
        <f>'CSV2'!EA24+'CSV2'!BG18+'CSV2'!AO12</f>
        <v>0</v>
      </c>
      <c r="E78" s="55">
        <f>'CSV2'!EA23+'CSV2'!BG17+'CSV2'!AO11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5" t="s">
        <v>907</v>
      </c>
      <c r="B79" s="54"/>
      <c r="C79" s="55">
        <f>SUM('CSV2'!EB25:EC25)+'CSV2'!EF25+SUM('CSV2'!BH19:BI19)+'CSV2'!BL19+'CSV2'!AP13+'CSV2'!P36+SUM('CSV2'!DZ31:EA31)+'CSV2'!EE31</f>
        <v>0</v>
      </c>
      <c r="D79" s="55">
        <f>SUM('CSV2'!EB24:EC24)+'CSV2'!EF24+SUM('CSV2'!BH18:BI18)+'CSV2'!BL18+'CSV2'!AP12+'CSV2'!P35</f>
        <v>0</v>
      </c>
      <c r="E79" s="55">
        <f>SUM('CSV2'!EB23:EC23)+'CSV2'!EF23+SUM('CSV2'!BH17:BI17)+'CSV2'!BL17+'CSV2'!AP11+'CSV2'!P34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5" t="s">
        <v>909</v>
      </c>
      <c r="B81" s="54"/>
      <c r="C81" s="55">
        <v>0</v>
      </c>
      <c r="D81" s="55">
        <v>0</v>
      </c>
      <c r="E81" s="55">
        <f>SUM('CSV2'!DH23:DI23)+'CSV2'!EI23+'CSV2'!BO17+'CSV2'!AR11+'CSV2'!Q34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5" t="s">
        <v>910</v>
      </c>
      <c r="B82" s="54"/>
      <c r="C82" s="55">
        <f>'CSV2'!DJ25+'CSV2'!DL25+'CSV2'!EH25+'CSV2'!BN19+'CSV2'!DD31+'CSV2'!ES31</f>
        <v>0</v>
      </c>
      <c r="D82" s="55">
        <f>'CSV2'!DJ24+'CSV2'!DL24+'CSV2'!EH24+'CSV2'!BN18</f>
        <v>0</v>
      </c>
      <c r="E82" s="55">
        <f>'CSV2'!DJ23+'CSV2'!DL23+'CSV2'!EH23+'CSV2'!BN17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v>0</v>
      </c>
      <c r="D83" s="55">
        <v>0</v>
      </c>
      <c r="E83" s="55">
        <f>'CSV2'!CZ23+'CSV2'!DC23+'CSV2'!EQ23+'CSV2'!EV23+'CSV2'!BU17+'CSV2'!BW17+'CSV2'!AV11+'CSV2'!AX11+'CSV2'!T34+'CSV2'!U34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v>0</v>
      </c>
      <c r="D84" s="55">
        <v>0</v>
      </c>
      <c r="E84" s="55">
        <f>SUM('CSV2'!EK23:EN23)+SUM('CSV2'!BQ17:BS17)+SUM('CSV2'!AS11:AT11)+'CSV2'!BW11+'CSV2'!S34+'CSV2'!R34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'CSV2'!BY19+'CSV2'!AZ13</f>
        <v>0</v>
      </c>
      <c r="D85" s="55">
        <f>'CSV2'!BY18+'CSV2'!AZ12</f>
        <v>0</v>
      </c>
      <c r="E85" s="55">
        <f>'CSV2'!BY17+'CSV2'!AZ11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'CSV2'!AP25+SUM('CSV2'!BG25:BH25)+SUM('CSV2'!CD19:CE19)+'CSV2'!BC13+'CSV2'!BU13+'CSV2'!L36+'CSV2'!AI31+'CSV2'!AZ31</f>
        <v>0</v>
      </c>
      <c r="D87" s="55">
        <f>'CSV2'!AP24+SUM('CSV2'!BG24:BH24)+SUM('CSV2'!CD18:CE18)+'CSV2'!BC12+'CSV2'!BU12+'CSV2'!L35</f>
        <v>0</v>
      </c>
      <c r="E87" s="55">
        <f>'CSV2'!AP23+SUM('CSV2'!BG23:BH23)+SUM('CSV2'!CD17:CE17)+'CSV2'!BC11+'CSV2'!BU11+'CSV2'!L34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'CSV2'!AQ25+'CSV2'!BN25+'CSV2'!AD19+'CSV2'!CJ19+'CSV2'!AJ31+'CSV2'!BL31</f>
        <v>0</v>
      </c>
      <c r="D88" s="55">
        <f>'CSV2'!AQ24+'CSV2'!BN24+'CSV2'!AD18+'CSV2'!CJ18</f>
        <v>0</v>
      </c>
      <c r="E88" s="55">
        <f>'CSV2'!AQ23+'CSV2'!BN23+'CSV2'!AD17+'CSV2'!CJ17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89" s="55">
        <f>SUM('CSV2'!AI24:AJ24)+'CSV2'!AM24+'CSV2'!BB24+'CSV2'!BE24+'CSV2'!BJ24+'CSV2'!BO24+'CSV2'!BP24+'CSV2'!BQ24+'CSV2'!BR24+'CSV2'!BS24+'CSV2'!CG18+'CSV2'!CK18+'CSV2'!BD12+'CSV2'!K35+'CSV2'!M35</f>
        <v>0</v>
      </c>
      <c r="E89" s="55">
        <f>SUM('CSV2'!AI23:AJ23)+'CSV2'!AM23+'CSV2'!BB23+'CSV2'!BE23+'CSV2'!BJ23+'CSV2'!BO23+'CSV2'!BP23+'CSV2'!BQ23+'CSV2'!BR23+'CSV2'!BS23+'CSV2'!CG17+'CSV2'!CK17+'CSV2'!BD11+'CSV2'!K34+'CSV2'!M34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SUM('CSV2'!AS25:AT25)+SUM('CSV2'!BK25:BM25)+SUM('CSV2'!BU25:BY25)+SUM('CSV2'!CH19:CI19)+SUM('CSV2'!CM19:CO19)+SUM('CSV2'!BE13:BF13)+SUM('CSV2'!BH13:BK13)+SUM('CSV2'!AK31:AL31)+SUM('CSV2'!BB31:BC31)+SUM('CSV2'!BP31:BQ31)</f>
        <v>0</v>
      </c>
      <c r="D90" s="55">
        <f>SUM('CSV2'!AS24:AT24)+SUM('CSV2'!BK24:BM24)+SUM('CSV2'!BU24:BY24)+SUM('CSV2'!CH18:CI18)+SUM('CSV2'!CM18:CO18)+SUM('CSV2'!BE12:BF12)+SUM('CSV2'!BH12:BK12)</f>
        <v>0</v>
      </c>
      <c r="E90" s="55">
        <f>SUM('CSV2'!AS23:AT23)+SUM('CSV2'!BK23:BM23)+SUM('CSV2'!BU23:BY23)+SUM('CSV2'!CH17:CI17)+SUM('CSV2'!CM17:CO17)+SUM('CSV2'!BE11:BF11)+SUM('CSV2'!BH11:BK11)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'CSV2'!AW25+'CSV2'!AS31</f>
        <v>0</v>
      </c>
      <c r="D93" s="55">
        <f>'CSV2'!AW24</f>
        <v>0</v>
      </c>
      <c r="E93" s="55">
        <f>'CSV2'!AW23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SUM('CSV2'!AX25:AZ25)+'CSV2'!AT31</f>
        <v>0</v>
      </c>
      <c r="D95" s="55">
        <f>SUM('CSV2'!AX24:AZ24)</f>
        <v>0</v>
      </c>
      <c r="E95" s="55">
        <f>SUM('CSV2'!AX23:AZ23)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-'CSV2'!AH25-'CSV2'!AO25+'CSV2'!CY25-'CSV2'!AB19+'CSV2'!CT19-'CSV2'!X13+'CSV2'!BP13-'CSV2'!AB31-'CSV2'!AN31+'CSV2'!DP31</f>
        <v>0</v>
      </c>
      <c r="D97" s="55">
        <f>-'CSV2'!AH24-'CSV2'!AO24+'CSV2'!CY24-'CSV2'!AB18+'CSV2'!CT18-'CSV2'!X12+'CSV2'!BP12</f>
        <v>0</v>
      </c>
      <c r="E97" s="55">
        <f>-'CSV2'!AH23-'CSV2'!AO23+'CSV2'!CY23-'CSV2'!AB17+'CSV2'!CT17-'CSV2'!X11+'CSV2'!BP11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/>
      <c r="D99" s="74"/>
      <c r="E99" s="74">
        <f t="shared" ref="E99" si="9">E98-E69</f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saAORPvDYMiI8xtOnl1+GEzIR+b1w1APxrwKZj334xXdibI2ARw+TrVMhxTuJH7gDpyPXMeiPrjWtFjd+qupg==" saltValue="JfcALM2RkqkURoFQTrw8Vg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5" priority="1" stopIfTrue="1" operator="lessThan">
      <formula>-0.2</formula>
    </cfRule>
    <cfRule type="cellIs" dxfId="34" priority="2" stopIfTrue="1" operator="lessThan">
      <formula>0</formula>
    </cfRule>
    <cfRule type="cellIs" dxfId="33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57" t="s">
        <v>17</v>
      </c>
      <c r="C3" s="557"/>
      <c r="D3" s="557"/>
      <c r="E3" s="557"/>
      <c r="F3" s="557"/>
      <c r="G3" s="557"/>
    </row>
    <row r="4" spans="1:10">
      <c r="A4" s="45" t="s">
        <v>597</v>
      </c>
      <c r="B4" s="557" t="s">
        <v>828</v>
      </c>
      <c r="C4" s="557"/>
      <c r="D4" s="557"/>
      <c r="E4" s="557"/>
      <c r="F4" s="557"/>
      <c r="G4" s="557"/>
    </row>
    <row r="5" spans="1:10">
      <c r="A5" s="45" t="s">
        <v>599</v>
      </c>
      <c r="B5" s="557" t="s">
        <v>829</v>
      </c>
      <c r="C5" s="557"/>
      <c r="D5" s="557"/>
      <c r="E5" s="557"/>
      <c r="F5" s="557"/>
      <c r="G5" s="557"/>
    </row>
    <row r="6" spans="1:10">
      <c r="A6" s="45" t="s">
        <v>601</v>
      </c>
      <c r="B6" s="557" t="s">
        <v>830</v>
      </c>
      <c r="C6" s="557"/>
      <c r="D6" s="557"/>
      <c r="E6" s="557"/>
      <c r="F6" s="557"/>
      <c r="G6" s="557"/>
    </row>
    <row r="7" spans="1:10" ht="25.5">
      <c r="A7" s="45" t="s">
        <v>603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831</v>
      </c>
      <c r="B8" s="557" t="s">
        <v>24</v>
      </c>
      <c r="C8" s="557"/>
      <c r="D8" s="557"/>
      <c r="E8" s="557"/>
      <c r="F8" s="557"/>
      <c r="G8" s="557"/>
    </row>
    <row r="9" spans="1:10">
      <c r="A9" s="45" t="s">
        <v>832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1025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'CSV3'!H6+'CSV3'!O6+'CSV3'!Q6+SUM('CSV3'!EM6:EN6)+SUM('CSV3'!GE6:GG6)</f>
        <v>0</v>
      </c>
      <c r="D15" s="55">
        <f>'CSV3'!H5+'CSV3'!O5+'CSV3'!Q5+SUM('CSV3'!EM5:EN5)+SUM('CSV3'!GE5:GG5)</f>
        <v>0</v>
      </c>
      <c r="E15" s="55">
        <f>'CSV3'!H4+'CSV3'!O4+'CSV3'!Q4+SUM('CSV3'!EM4:EN4)+SUM('CSV3'!GE4:GG4)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'CSV3'!V6</f>
        <v>0</v>
      </c>
      <c r="D17" s="55">
        <f>'CSV3'!V5</f>
        <v>0</v>
      </c>
      <c r="E17" s="55">
        <f>'CSV3'!V4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'CSV3'!U6</f>
        <v>0</v>
      </c>
      <c r="D18" s="55">
        <f>'CSV3'!U5</f>
        <v>0</v>
      </c>
      <c r="E18" s="55">
        <f>'CSV3'!U4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'CSV3'!ED6++'CSV3'!N6+'CSV3'!EH6+'CSV3'!EO6</f>
        <v>0</v>
      </c>
      <c r="D19" s="55">
        <f>'CSV3'!ED5+'CSV3'!N5+'CSV3'!EH5+'CSV3'!EO5</f>
        <v>0</v>
      </c>
      <c r="E19" s="55">
        <f>'CSV3'!ED4+'CSV3'!N4+'CSV3'!EH4+'CSV3'!EO4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'CSV3'!I6+'CSV3'!P6+'CSV3'!R6</f>
        <v>0</v>
      </c>
      <c r="D21" s="55">
        <f>'CSV3'!I5+'CSV3'!P5+'CSV3'!R5</f>
        <v>0</v>
      </c>
      <c r="E21" s="55">
        <f>'CSV3'!I4+'CSV3'!P4+'CSV3'!R4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'CSV3'!GH6</f>
        <v>0</v>
      </c>
      <c r="D22" s="57">
        <f>'CSV3'!GH5</f>
        <v>0</v>
      </c>
      <c r="E22" s="57">
        <f>'CSV3'!GH4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'CSV3'!K6+'CSV3'!L6+'CSV3'!W6+'CSV3'!X6</f>
        <v>0</v>
      </c>
      <c r="D24" s="55">
        <f>'CSV3'!K5+'CSV3'!L5+'CSV3'!W5+'CSV3'!X5</f>
        <v>0</v>
      </c>
      <c r="E24" s="55">
        <f>'CSV3'!K4+'CSV3'!L4+'CSV3'!W4+'CSV3'!X4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'CSV3'!Z6+'CSV3'!AA6+'CSV3'!AB6</f>
        <v>0</v>
      </c>
      <c r="D25" s="55">
        <f>'CSV3'!Z5+'CSV3'!AA5+'CSV3'!AB5</f>
        <v>0</v>
      </c>
      <c r="E25" s="55">
        <f>'CSV3'!Z4+'CSV3'!AA4+'CSV3'!AB4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'CSV3'!J6</f>
        <v>0</v>
      </c>
      <c r="D26" s="55">
        <f>'CSV3'!J5</f>
        <v>0</v>
      </c>
      <c r="E26" s="55">
        <f>'CSV3'!J4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'CSV3'!AK6+'CSV3'!AL6+'CSV3'!AM6</f>
        <v>0</v>
      </c>
      <c r="D29" s="55">
        <f>'CSV3'!AK5+'CSV3'!AL5+'CSV3'!AM5</f>
        <v>0</v>
      </c>
      <c r="E29" s="55">
        <f>'CSV3'!AK4+'CSV3'!AL4+'CSV3'!AM4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'CSV3'!AO6+'CSV3'!AP6+'CSV3'!AQ6+'CSV3'!AR6+'CSV3'!AS6+'CSV3'!AT6+'CSV3'!AU6+'CSV3'!AV6</f>
        <v>0</v>
      </c>
      <c r="D30" s="55">
        <f>'CSV3'!AO5+'CSV3'!AP5+'CSV3'!AQ5+'CSV3'!AR5+'CSV3'!AS5+'CSV3'!AT5+'CSV3'!AU5+'CSV3'!AV5</f>
        <v>0</v>
      </c>
      <c r="E30" s="55">
        <f>'CSV3'!AO4+'CSV3'!AP4+'CSV3'!AQ4+'CSV3'!AR4+'CSV3'!AS4+'CSV3'!AT4+'CSV3'!AU4+'CSV3'!AV4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'CSV3'!AF6+'CSV3'!AG6+'CSV3'!AH6</f>
        <v>0</v>
      </c>
      <c r="D31" s="55">
        <f>'CSV3'!AF5+'CSV3'!AG5+'CSV3'!AH5</f>
        <v>0</v>
      </c>
      <c r="E31" s="55">
        <f>'CSV3'!AF4+'CSV3'!AG4+'CSV3'!AH4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SUM('CSV3'!AX6:AZ6)+'CSV3'!BC6+'CSV3'!ED6-'CSV3'!EE6+'CSV3'!EH6-'CSV3'!EI6+'CSV3'!FN6+'CSV3'!FO6+SUM('CSV3'!FS6:FW6)</f>
        <v>0</v>
      </c>
      <c r="D32" s="55">
        <f>SUM('CSV3'!AX5:AZ5)+'CSV3'!BC5+'CSV3'!ED5-'CSV3'!EE5+'CSV3'!EH5-'CSV3'!EI5</f>
        <v>0</v>
      </c>
      <c r="E32" s="55">
        <f>SUM('CSV3'!AX4:AZ4)+'CSV3'!BC4+'CSV3'!ED4-'CSV3'!EE4+'CSV3'!EH4-'CSV3'!EI4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'CSV3'!Y6+'CSV3'!AC6+'CSV3'!AD6</f>
        <v>0</v>
      </c>
      <c r="D34" s="55">
        <f>'CSV3'!Y5+'CSV3'!AC5+'CSV3'!AD5</f>
        <v>0</v>
      </c>
      <c r="E34" s="55">
        <f>'CSV3'!Y4+'CSV3'!AC4+'CSV3'!AD4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SUM('CSV3'!BD6:BM6)+'CSV3'!BV6</f>
        <v>0</v>
      </c>
      <c r="D35" s="55">
        <f>SUM('CSV3'!BD5:BM5)+'CSV3'!BV5</f>
        <v>0</v>
      </c>
      <c r="E35" s="55">
        <f>SUM('CSV3'!BD4:BM4)+'CSV3'!BV4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SUM('CSV3'!BA6:BB6)+'CSV3'!BQ6+'CSV3'!BR6+'CSV3'!BS6+'CSV3'!BT6+SUM('CSV3'!BW6:BY6)+SUM('CSV3'!CH6:CI6)+SUM('CSV3'!CK6:CU6)+'CSV3'!DB6+'CSV3'!DD6+'CSV3'!DJ6+'CSV3'!EF6+'CSV3'!EJ6+SUM('CSV3'!EM6:EO6)-'CSV3'!EP6+'CSV3'!GA6</f>
        <v>0</v>
      </c>
      <c r="D36" s="55">
        <f>SUM('CSV3'!BA5:BB5)+'CSV3'!BQ5+'CSV3'!BR5+'CSV3'!BS5+'CSV3'!BT5+SUM('CSV3'!BW5:BY5)+SUM('CSV3'!CH5:CI5)+SUM('CSV3'!CK5:CU5)+'CSV3'!DB5+'CSV3'!DD5+'CSV3'!DJ5+'CSV3'!EF5+'CSV3'!EJ5+SUM('CSV3'!EM5:EO5)-'CSV3'!EP5</f>
        <v>0</v>
      </c>
      <c r="E36" s="55">
        <f>SUM('CSV3'!BA4:BB4)+'CSV3'!BQ4+'CSV3'!BR4+'CSV3'!BS4+'CSV3'!BT4+SUM('CSV3'!BW4:BY4)+SUM('CSV3'!CH4:CI4)+SUM('CSV3'!CK4:CU4)+'CSV3'!DB4+'CSV3'!DD4+'CSV3'!DJ4+'CSV3'!EF4+'CSV3'!EJ4+SUM('CSV3'!EM4:EO4)-'CSV3'!EP4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SUM('CSV3'!BZ6:CA6)+SUM('CSV3'!CB6,'CSV3'!CC6,'CSV3'!CE6,'CSV3'!CF6)+SUM('CSV3'!CV6:CZ6)</f>
        <v>0</v>
      </c>
      <c r="D37" s="55">
        <f>SUM('CSV3'!BZ5:CA5)+SUM('CSV3'!CB5,'CSV3'!CC5,'CSV3'!CE5,'CSV3'!CF5)+SUM('CSV3'!CV5:CZ5)</f>
        <v>0</v>
      </c>
      <c r="E37" s="55">
        <f>SUM('CSV3'!BZ4:CA4)+SUM('CSV3'!CB4,'CSV3'!CC4,'CSV3'!CE4,'CSV3'!CF4)+SUM('CSV3'!CV4:CZ4)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'CSV3'!DQ6+'CSV3'!FX6</f>
        <v>0</v>
      </c>
      <c r="D39" s="55">
        <f>'CSV3'!DQ5</f>
        <v>0</v>
      </c>
      <c r="E39" s="55">
        <f>'CSV3'!DQ4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SUM('CSV3'!DE6:DG6)+'CSV3'!DI6</f>
        <v>0</v>
      </c>
      <c r="D40" s="55">
        <f>SUM('CSV3'!DE5:DG5)+'CSV3'!DI5</f>
        <v>0</v>
      </c>
      <c r="E40" s="55">
        <f>SUM('CSV3'!DE4:DG4)+'CSV3'!DI4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'CSV3'!DM6+'CSV3'!DO6</f>
        <v>0</v>
      </c>
      <c r="D44" s="55">
        <f>'CSV3'!DM5+'CSV3'!DO5</f>
        <v>0</v>
      </c>
      <c r="E44" s="55">
        <f>'CSV3'!DM4+'CSV3'!DO4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'CSV3'!DL6+'CSV3'!DN6</f>
        <v>0</v>
      </c>
      <c r="D46" s="55">
        <f>'CSV3'!DL5+'CSV3'!DN5</f>
        <v>0</v>
      </c>
      <c r="E46" s="55">
        <f>'CSV3'!DL4+'CSV3'!DN4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'CSV3'!DC6</f>
        <v>0</v>
      </c>
      <c r="D48" s="55">
        <f>'CSV3'!DC5</f>
        <v>0</v>
      </c>
      <c r="E48" s="55">
        <f>'CSV3'!DC4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SUM('CSV3'!DS6:DT6)</f>
        <v>0</v>
      </c>
      <c r="D50" s="55">
        <f>SUM('CSV3'!DS5:DT5)</f>
        <v>0</v>
      </c>
      <c r="E50" s="55">
        <f>SUM('CSV3'!DS4:DT4)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SUM('CSV3'!DY6:DZ6)</f>
        <v>0</v>
      </c>
      <c r="D52" s="55">
        <f>SUM('CSV3'!DY5:DZ5)</f>
        <v>0</v>
      </c>
      <c r="E52" s="55">
        <f>SUM('CSV3'!DY4:DZ4)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'CSV3'!DX6</f>
        <v>0</v>
      </c>
      <c r="D53" s="55">
        <f>'CSV3'!DX5</f>
        <v>0</v>
      </c>
      <c r="E53" s="55">
        <f>'CSV3'!DX4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'CSV3'!I25+'CSV3'!J25+'CSV3'!I31+'CSV3'!J31</f>
        <v>0</v>
      </c>
      <c r="D59" s="55">
        <f>'CSV3'!I24+'CSV3'!J24</f>
        <v>0</v>
      </c>
      <c r="E59" s="55">
        <f>'CSV3'!I23+'CSV3'!J23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'CSV3'!H19+'CSV3'!H13+'CSV3'!H36+SUM('CSV3'!O36:U36)-SUM('CSV3'!H36:M36)</f>
        <v>0</v>
      </c>
      <c r="D60" s="55">
        <f>'CSV3'!H18+'CSV3'!H12+'CSV3'!H35+SUM('CSV3'!O35:U35)-SUM('CSV3'!H35:M35)</f>
        <v>0</v>
      </c>
      <c r="E60" s="55">
        <f>'CSV3'!H17+'CSV3'!H11+'CSV3'!H34+SUM('CSV3'!O34:U34)-SUM('CSV3'!H34:M34)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SUM('CSV3'!I13:L13)-'CSV3'!BQ13+SUM('CSV3'!I19:M19)-'CSV3'!CU19+SUM('CSV3'!L25:S25)+'CSV3'!U25+SUM('CSV3'!W25:X25)+SUM('CSV3'!L31:O31)+'CSV3'!Q31</f>
        <v>0</v>
      </c>
      <c r="D61" s="55">
        <f>SUM('CSV3'!I12:L12)-'CSV3'!BQ12+SUM('CSV3'!I18:M18)-'CSV3'!CU18+SUM('CSV3'!L24:S24)+'CSV3'!U24+SUM('CSV3'!W24:X24)</f>
        <v>0</v>
      </c>
      <c r="E61" s="55">
        <f>SUM('CSV3'!I11:L11)-'CSV3'!BQ11+SUM('CSV3'!I17:M17)-'CSV3'!CU17+SUM('CSV3'!L23:S23)+'CSV3'!U23+SUM('CSV3'!W23:X23)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'CSV3'!CS19+'CSV3'!BO13</f>
        <v>0</v>
      </c>
      <c r="D62" s="55">
        <f>'CSV3'!CS18+'CSV3'!BO12</f>
        <v>0</v>
      </c>
      <c r="E62" s="55">
        <f>'CSV3'!CS17+'CSV3'!BO11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'CSV3'!AK25+'CSV3'!BC25+'CSV3'!AC19+'CSV3'!AC31+'CSV3'!AD31+'CSV3'!AF31+'CSV3'!AG31+'CSV3'!AO31+SUM('CSV3'!AV31:AX31)+'CSV3'!BM31</f>
        <v>0</v>
      </c>
      <c r="D64" s="55">
        <f>'CSV3'!AK24+'CSV3'!BC24+'CSV3'!AC18</f>
        <v>0</v>
      </c>
      <c r="E64" s="55">
        <f>'CSV3'!AK23+'CSV3'!BC23+'CSV3'!AC17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'CSV3'!DB25+'CSV3'!EP25+'CSV3'!DG31</f>
        <v>0</v>
      </c>
      <c r="D65" s="55">
        <f>'CSV3'!DB24+'CSV3'!EP24</f>
        <v>0</v>
      </c>
      <c r="E65" s="55">
        <f>'CSV3'!DB23+'CSV3'!EP23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SUM('CSV3'!Z25:AA25)+SUM('CSV3'!AC25:AE25)+SUM('CSV3'!P19:R19)+SUM('CSV3'!O13:Q13)+'CSV3'!I36+SUM('CSV3'!T31:U31)+SUM('CSV3'!W31:Y31)</f>
        <v>0</v>
      </c>
      <c r="D67" s="55">
        <f>SUM('CSV3'!Z24:AA24)+SUM('CSV3'!AC24:AE24)+SUM('CSV3'!P18:R18)+SUM('CSV3'!O12:Q12)+'CSV3'!I35</f>
        <v>0</v>
      </c>
      <c r="E67" s="55">
        <f>SUM('CSV3'!Z23:AA23)+SUM('CSV3'!AC23:AE23)+SUM('CSV3'!P17:R17)+SUM('CSV3'!O11:Q11)+'CSV3'!I34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'CSV3'!AL25+'CSV3'!BD25+SUM('CSV3'!U19:X19)+SUM('CSV3'!T13:U13)+'CSV3'!J36</f>
        <v>0</v>
      </c>
      <c r="D68" s="55">
        <f>'CSV3'!AL24+'CSV3'!BD24+SUM('CSV3'!U18:X18)+SUM('CSV3'!T12:U12)+'CSV3'!J35</f>
        <v>0</v>
      </c>
      <c r="E68" s="55">
        <f>'CSV3'!AL23+'CSV3'!BD23+SUM('CSV3'!U17:X17)+SUM('CSV3'!T11:U11)+'CSV3'!J34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'CSV3'!CF25+'CSV3'!CJ25+'CSV3'!AI19+'CSV3'!AB13+SUM('CSV3'!CK25:CL25)+'CSV3'!AC13+'CSV3'!AJ19+'CSV3'!O36+'CSV3'!BY31+'CSV3'!BZ31+'CSV3'!CG31+'CSV3'!CL31+'CSV3'!CM31+'CSV3'!CP31</f>
        <v>0</v>
      </c>
      <c r="D72" s="55">
        <f>'CSV3'!CF24+'CSV3'!CJ24+'CSV3'!AI18+'CSV3'!AB12+SUM('CSV3'!CK24:CL24)+'CSV3'!AC12+'CSV3'!AJ18+'CSV3'!O35</f>
        <v>0</v>
      </c>
      <c r="E72" s="55">
        <f>'CSV3'!CF23+'CSV3'!CJ23+'CSV3'!AI17+'CSV3'!AB11+SUM('CSV3'!CK23:CL23)+'CSV3'!AC11+'CSV3'!AJ17+'CSV3'!O34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3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3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5" t="s">
        <v>904</v>
      </c>
      <c r="B76" s="54"/>
      <c r="C76" s="55">
        <f>'CSV3'!DZ25+'CSV3'!BF19+'CSV3'!AN13+'CSV3'!DX31</f>
        <v>0</v>
      </c>
      <c r="D76" s="55">
        <f>'CSV3'!DZ24+'CSV3'!BF18+'CSV3'!AN12</f>
        <v>0</v>
      </c>
      <c r="E76" s="55">
        <f>'CSV3'!DZ23+'CSV3'!BF17+'CSV3'!AN11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5" t="s">
        <v>905</v>
      </c>
      <c r="B77" s="54"/>
      <c r="C77" s="55">
        <f>SUM('CSV3'!ED25:EE25)+SUM('CSV3'!BJ19:BK19)+'CSV3'!AM13+SUM('CSV3'!EB31:EC31)</f>
        <v>0</v>
      </c>
      <c r="D77" s="55">
        <f>SUM('CSV3'!ED24:EE24)+SUM('CSV3'!BJ18:BK18)+'CSV3'!AM12</f>
        <v>0</v>
      </c>
      <c r="E77" s="55">
        <f>SUM('CSV3'!ED23:EE23)+SUM('CSV3'!BJ17:BK17)+'CSV3'!AM11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5" t="s">
        <v>906</v>
      </c>
      <c r="B78" s="54"/>
      <c r="C78" s="55">
        <f>'CSV3'!EA25+'CSV3'!BG19+'CSV3'!AO13+'CSV3'!DY31</f>
        <v>0</v>
      </c>
      <c r="D78" s="55">
        <f>'CSV3'!EA24+'CSV3'!BG18+'CSV3'!AO12</f>
        <v>0</v>
      </c>
      <c r="E78" s="55">
        <f>'CSV3'!EA23+'CSV3'!BG17+'CSV3'!AO11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5" t="s">
        <v>907</v>
      </c>
      <c r="B79" s="54"/>
      <c r="C79" s="55">
        <f>SUM('CSV3'!EB25:EC25)+'CSV3'!EF25+SUM('CSV3'!BH19:BI19)+'CSV3'!BL19+'CSV3'!AP13+'CSV3'!P36+SUM('CSV3'!DZ31:EA31)+'CSV3'!EE31</f>
        <v>0</v>
      </c>
      <c r="D79" s="55">
        <f>SUM('CSV3'!EB24:EC24)+'CSV3'!EF24+SUM('CSV3'!BH18:BI18)+'CSV3'!BL18+'CSV3'!AP12+'CSV3'!P35</f>
        <v>0</v>
      </c>
      <c r="E79" s="55">
        <f>SUM('CSV3'!EB23:EC23)+'CSV3'!EF23+SUM('CSV3'!BH17:BI17)+'CSV3'!BL17+'CSV3'!AP11+'CSV3'!P34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5" t="s">
        <v>909</v>
      </c>
      <c r="B81" s="54"/>
      <c r="C81" s="55">
        <f>SUM('CSV3'!DH25:DI25)+'CSV3'!EI25+'CSV3'!BO19+'CSV3'!AR13+'CSV3'!Q36+SUM('CSV3'!DB31:DC31)+SUM('CSV3'!DM31:DN31)+SUM('CSV3'!EQ31:ER31)</f>
        <v>0</v>
      </c>
      <c r="D81" s="55">
        <f>SUM('CSV3'!DH24:DI24)+'CSV3'!EI24+'CSV3'!BO18+'CSV3'!AR12+'CSV3'!Q35</f>
        <v>0</v>
      </c>
      <c r="E81" s="55">
        <f>SUM('CSV3'!DH23:DI23)+'CSV3'!EI23+'CSV3'!BO17+'CSV3'!AR11+'CSV3'!Q34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5" t="s">
        <v>910</v>
      </c>
      <c r="B82" s="54"/>
      <c r="C82" s="55">
        <f>'CSV3'!DJ25+'CSV3'!DL25+'CSV3'!EH25+'CSV3'!BN19+'CSV3'!DD31+'CSV3'!ES31</f>
        <v>0</v>
      </c>
      <c r="D82" s="55">
        <f>'CSV3'!DJ24+'CSV3'!DL24+'CSV3'!EH24+'CSV3'!BN18</f>
        <v>0</v>
      </c>
      <c r="E82" s="55">
        <f>'CSV3'!DJ23+'CSV3'!DL23+'CSV3'!EH23+'CSV3'!BN17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3" s="55">
        <f>'CSV3'!CZ24+'CSV3'!DC24+'CSV3'!EQ24+'CSV3'!EV24+'CSV3'!BU18+'CSV3'!BW18+'CSV3'!AV12+'CSV3'!AX12+'CSV3'!T35+'CSV3'!U35</f>
        <v>0</v>
      </c>
      <c r="E83" s="55">
        <f>'CSV3'!CZ23+'CSV3'!DC23+'CSV3'!EQ23+'CSV3'!EV23+'CSV3'!BU17+'CSV3'!BW17+'CSV3'!AV11+'CSV3'!AX11+'CSV3'!T34+'CSV3'!U34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SUM('CSV3'!EK25:EN25)+SUM('CSV3'!BQ19:BS19)+SUM('CSV3'!AS13:AT13)+'CSV3'!BW13+'CSV3'!S36+'CSV3'!R36+SUM('CSV3'!EV31:EY31)+'CSV3'!FA31</f>
        <v>0</v>
      </c>
      <c r="D84" s="55">
        <f>SUM('CSV3'!EK24:EN24)+SUM('CSV3'!BQ18:BS18)+SUM('CSV3'!AS12:AT12)+'CSV3'!BW12+'CSV3'!S35+'CSV3'!R35</f>
        <v>0</v>
      </c>
      <c r="E84" s="55">
        <f>SUM('CSV3'!EK23:EN23)+SUM('CSV3'!BQ17:BS17)+SUM('CSV3'!AS11:AT11)+'CSV3'!BW11+'CSV3'!S34+'CSV3'!R34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'CSV3'!BY19+'CSV3'!AZ13</f>
        <v>0</v>
      </c>
      <c r="D85" s="55">
        <f>'CSV3'!BY18+'CSV3'!AZ12</f>
        <v>0</v>
      </c>
      <c r="E85" s="55">
        <f>'CSV3'!BY17+'CSV3'!AZ11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'CSV3'!AP25+SUM('CSV3'!BG25:BH25)+SUM('CSV3'!CD19:CE19)+'CSV3'!BC13+'CSV3'!BU13+'CSV3'!L36+'CSV3'!AI31+'CSV3'!AZ31</f>
        <v>0</v>
      </c>
      <c r="D87" s="55">
        <f>'CSV3'!AP24+SUM('CSV3'!BG24:BH24)+SUM('CSV3'!CD18:CE18)+'CSV3'!BC12+'CSV3'!BU12+'CSV3'!L35</f>
        <v>0</v>
      </c>
      <c r="E87" s="55">
        <f>'CSV3'!AP23+SUM('CSV3'!BG23:BH23)+SUM('CSV3'!CD17:CE17)+'CSV3'!BC11+'CSV3'!BU11+'CSV3'!L34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'CSV3'!AQ25+'CSV3'!BN25+'CSV3'!AD19+'CSV3'!CJ19+'CSV3'!AJ31+'CSV3'!BL31</f>
        <v>0</v>
      </c>
      <c r="D88" s="55">
        <f>'CSV3'!AQ24+'CSV3'!BN24+'CSV3'!AD18+'CSV3'!CJ18</f>
        <v>0</v>
      </c>
      <c r="E88" s="55">
        <f>'CSV3'!AQ23+'CSV3'!BN23+'CSV3'!AD17+'CSV3'!CJ17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89" s="55">
        <f>SUM('CSV3'!AI24:AJ24)+'CSV3'!AM24+'CSV3'!BB24+'CSV3'!BE24+'CSV3'!BJ24+'CSV3'!BO24+'CSV3'!BP24+'CSV3'!BQ24+'CSV3'!BR24+'CSV3'!BS24+'CSV3'!CG18+'CSV3'!CK18+'CSV3'!BD12+'CSV3'!K35+'CSV3'!M35</f>
        <v>0</v>
      </c>
      <c r="E89" s="55">
        <f>SUM('CSV3'!AI23:AJ23)+'CSV3'!AM23+'CSV3'!BB23+'CSV3'!BE23+'CSV3'!BJ23+'CSV3'!BO23+'CSV3'!BP23+'CSV3'!BQ23+'CSV3'!BR23+'CSV3'!BS23+'CSV3'!CG17+'CSV3'!CK17+'CSV3'!BD11+'CSV3'!K34+'CSV3'!M34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SUM('CSV3'!AS25:AT25)+SUM('CSV3'!BK25:BM25)+SUM('CSV3'!BU25:BY25)+SUM('CSV3'!CH19:CI19)+SUM('CSV3'!CM19:CO19)+SUM('CSV3'!BE13:BF13)+SUM('CSV3'!BH13:BK13)+SUM('CSV3'!AK31:AL31)+SUM('CSV3'!BB31:BC31)+SUM('CSV3'!BP31:BQ31)</f>
        <v>0</v>
      </c>
      <c r="D90" s="55">
        <f>SUM('CSV3'!AS24:AT24)+SUM('CSV3'!BK24:BM24)+SUM('CSV3'!BU24:BY24)+SUM('CSV3'!CH18:CI18)+SUM('CSV3'!CM18:CO18)+SUM('CSV3'!BE12:BF12)+SUM('CSV3'!BH12:BK12)</f>
        <v>0</v>
      </c>
      <c r="E90" s="55">
        <f>SUM('CSV3'!AS23:AT23)+SUM('CSV3'!BK23:BM23)+SUM('CSV3'!BU23:BY23)+SUM('CSV3'!CH17:CI17)+SUM('CSV3'!CM17:CO17)+SUM('CSV3'!BE11:BF11)+SUM('CSV3'!BH11:BK11)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'CSV3'!AW25+'CSV3'!AS31</f>
        <v>0</v>
      </c>
      <c r="D93" s="55">
        <f>'CSV3'!AW24</f>
        <v>0</v>
      </c>
      <c r="E93" s="55">
        <f>'CSV3'!AW23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SUM('CSV3'!AX25:AZ25)+'CSV3'!AT31</f>
        <v>0</v>
      </c>
      <c r="D95" s="55">
        <f>SUM('CSV3'!AX24:AZ24)</f>
        <v>0</v>
      </c>
      <c r="E95" s="55">
        <f>SUM('CSV3'!AX23:AZ23)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-'CSV3'!AH25-'CSV3'!AO25+'CSV3'!CY25-'CSV3'!AB19+'CSV3'!CT19-'CSV3'!X13+'CSV3'!BP13-'CSV3'!AB31-'CSV3'!AN31+'CSV3'!DP31</f>
        <v>0</v>
      </c>
      <c r="D97" s="55">
        <f>-'CSV3'!AH24-'CSV3'!AO24+'CSV3'!CY24-'CSV3'!AB18+'CSV3'!CT18-'CSV3'!X12+'CSV3'!BP12</f>
        <v>0</v>
      </c>
      <c r="E97" s="55">
        <f>-'CSV3'!AH23-'CSV3'!AO23+'CSV3'!CY23-'CSV3'!AB17+'CSV3'!CT17-'CSV3'!X11+'CSV3'!BP11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giqVUqFkluUG2aF6vmigezl5C5tlawxf6d6W+x0af47WrM/pioAzaA2n0rr8+ePRzRBQwpN4yhJKDIFwjzBqUQ==" saltValue="C/sZ6i9aMQEJup8NgBjRMw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2" priority="1" stopIfTrue="1" operator="lessThan">
      <formula>-0.2</formula>
    </cfRule>
    <cfRule type="cellIs" dxfId="31" priority="2" stopIfTrue="1" operator="lessThan">
      <formula>0</formula>
    </cfRule>
    <cfRule type="cellIs" dxfId="30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2"/>
  <sheetViews>
    <sheetView topLeftCell="A4"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57" t="s">
        <v>17</v>
      </c>
      <c r="C3" s="557"/>
      <c r="D3" s="557"/>
      <c r="E3" s="557"/>
      <c r="F3" s="557"/>
      <c r="G3" s="557"/>
    </row>
    <row r="4" spans="1:10">
      <c r="A4" s="45" t="s">
        <v>597</v>
      </c>
      <c r="B4" s="557" t="s">
        <v>828</v>
      </c>
      <c r="C4" s="557"/>
      <c r="D4" s="557"/>
      <c r="E4" s="557"/>
      <c r="F4" s="557"/>
      <c r="G4" s="557"/>
    </row>
    <row r="5" spans="1:10">
      <c r="A5" s="45" t="s">
        <v>599</v>
      </c>
      <c r="B5" s="557" t="s">
        <v>829</v>
      </c>
      <c r="C5" s="557"/>
      <c r="D5" s="557"/>
      <c r="E5" s="557"/>
      <c r="F5" s="557"/>
      <c r="G5" s="557"/>
    </row>
    <row r="6" spans="1:10">
      <c r="A6" s="45" t="s">
        <v>601</v>
      </c>
      <c r="B6" s="557" t="s">
        <v>830</v>
      </c>
      <c r="C6" s="557"/>
      <c r="D6" s="557"/>
      <c r="E6" s="557"/>
      <c r="F6" s="557"/>
      <c r="G6" s="557"/>
    </row>
    <row r="7" spans="1:10" ht="25.5">
      <c r="A7" s="45" t="s">
        <v>603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831</v>
      </c>
      <c r="B8" s="557" t="s">
        <v>24</v>
      </c>
      <c r="C8" s="557"/>
      <c r="D8" s="557"/>
      <c r="E8" s="557"/>
      <c r="F8" s="557"/>
      <c r="G8" s="557"/>
    </row>
    <row r="9" spans="1:10">
      <c r="A9" s="45" t="s">
        <v>832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1025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'CSV4'!H6+'CSV4'!O6+'CSV4'!Q6+SUM('CSV4'!EM6:EN6)+SUM('CSV4'!GE6:GG6)</f>
        <v>0</v>
      </c>
      <c r="D15" s="55">
        <f>'CSV4'!H5+'CSV4'!O5+'CSV4'!Q5+SUM('CSV4'!EM5:EN5)+SUM('CSV4'!GE5:GG5)</f>
        <v>0</v>
      </c>
      <c r="E15" s="55">
        <f>'CSV4'!H4+'CSV4'!O4+'CSV4'!Q4+SUM('CSV4'!EM4:EN4)+SUM('CSV4'!GE4:GG4)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'CSV4'!V6</f>
        <v>0</v>
      </c>
      <c r="D17" s="55">
        <f>'CSV4'!V5</f>
        <v>0</v>
      </c>
      <c r="E17" s="55">
        <f>'CSV4'!V4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'CSV4'!U6</f>
        <v>0</v>
      </c>
      <c r="D18" s="55">
        <f>'CSV4'!U5</f>
        <v>0</v>
      </c>
      <c r="E18" s="55">
        <f>'CSV4'!U4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'CSV4'!ED6++'CSV4'!N6+'CSV4'!EH6+'CSV4'!EO6</f>
        <v>0</v>
      </c>
      <c r="D19" s="55">
        <f>'CSV4'!ED5+'CSV4'!N5+'CSV4'!EH5+'CSV4'!EO5</f>
        <v>0</v>
      </c>
      <c r="E19" s="55">
        <f>'CSV4'!ED4+'CSV4'!N4+'CSV4'!EH4+'CSV4'!EO4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'CSV4'!I6+'CSV4'!P6+'CSV4'!R6</f>
        <v>0</v>
      </c>
      <c r="D21" s="55">
        <f>'CSV4'!I5+'CSV4'!P5+'CSV4'!R5</f>
        <v>0</v>
      </c>
      <c r="E21" s="55">
        <f>'CSV4'!I4+'CSV4'!P4+'CSV4'!R4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'CSV4'!GH6</f>
        <v>0</v>
      </c>
      <c r="D22" s="57">
        <f>'CSV4'!GH5</f>
        <v>0</v>
      </c>
      <c r="E22" s="57">
        <f>'CSV4'!GH4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'CSV4'!K6+'CSV4'!L6+'CSV4'!W6+'CSV4'!X6</f>
        <v>0</v>
      </c>
      <c r="D24" s="55">
        <f>'CSV4'!K5+'CSV4'!L5+'CSV4'!W5+'CSV4'!X5</f>
        <v>0</v>
      </c>
      <c r="E24" s="55">
        <f>'CSV4'!K4+'CSV4'!L4+'CSV4'!W4+'CSV4'!X4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'CSV4'!Z6+'CSV4'!AA6+'CSV4'!AB6</f>
        <v>0</v>
      </c>
      <c r="D25" s="55">
        <f>'CSV4'!Z5+'CSV4'!AA5+'CSV4'!AB5</f>
        <v>0</v>
      </c>
      <c r="E25" s="55">
        <f>'CSV4'!Z4+'CSV4'!AA4+'CSV4'!AB4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'CSV4'!J6</f>
        <v>0</v>
      </c>
      <c r="D26" s="55">
        <f>'CSV4'!J5</f>
        <v>0</v>
      </c>
      <c r="E26" s="55">
        <f>'CSV4'!J4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'CSV4'!AK6+'CSV4'!AL6+'CSV4'!AM6</f>
        <v>0</v>
      </c>
      <c r="D29" s="55">
        <f>'CSV4'!AK5+'CSV4'!AL5+'CSV4'!AM5</f>
        <v>0</v>
      </c>
      <c r="E29" s="55">
        <f>'CSV4'!AK4+'CSV4'!AL4+'CSV4'!AM4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'CSV4'!AO6+'CSV4'!AP6+'CSV4'!AQ6+'CSV4'!AR6+'CSV4'!AS6+'CSV4'!AT6+'CSV4'!AU6+'CSV4'!AV6</f>
        <v>0</v>
      </c>
      <c r="D30" s="55">
        <f>'CSV4'!AO5+'CSV4'!AP5+'CSV4'!AQ5+'CSV4'!AR5+'CSV4'!AS5+'CSV4'!AT5+'CSV4'!AU5+'CSV4'!AV5</f>
        <v>0</v>
      </c>
      <c r="E30" s="55">
        <f>'CSV4'!AO4+'CSV4'!AP4+'CSV4'!AQ4+'CSV4'!AR4+'CSV4'!AS4+'CSV4'!AT4+'CSV4'!AU4+'CSV4'!AV4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'CSV4'!AF6+'CSV4'!AG6+'CSV4'!AH6</f>
        <v>0</v>
      </c>
      <c r="D31" s="55">
        <f>'CSV4'!AF5+'CSV4'!AG5+'CSV4'!AH5</f>
        <v>0</v>
      </c>
      <c r="E31" s="55">
        <f>'CSV4'!AF4+'CSV4'!AG4+'CSV4'!AH4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SUM('CSV4'!AX6:AZ6)+'CSV4'!BC6+'CSV4'!ED6-'CSV4'!EE6+'CSV4'!EH6-'CSV4'!EI6+'CSV4'!FN6+'CSV4'!FO6+SUM('CSV4'!FS6:FW6)</f>
        <v>0</v>
      </c>
      <c r="D32" s="55">
        <f>SUM('CSV4'!AX5:AZ5)+'CSV4'!BC5+'CSV4'!ED5-'CSV4'!EE5+'CSV4'!EH5-'CSV4'!EI5</f>
        <v>0</v>
      </c>
      <c r="E32" s="55">
        <f>SUM('CSV4'!AX4:AZ4)+'CSV4'!BC4+'CSV4'!ED4-'CSV4'!EE4+'CSV4'!EH4-'CSV4'!EI4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'CSV4'!Y6+'CSV4'!AC6+'CSV4'!AD6</f>
        <v>0</v>
      </c>
      <c r="D34" s="55">
        <f>'CSV4'!Y5+'CSV4'!AC5+'CSV4'!AD5</f>
        <v>0</v>
      </c>
      <c r="E34" s="55">
        <f>'CSV4'!Y4+'CSV4'!AC4+'CSV4'!AD4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SUM('CSV4'!BD6:BM6)+'CSV4'!BV6</f>
        <v>0</v>
      </c>
      <c r="D35" s="55">
        <f>SUM('CSV4'!BD5:BM5)+'CSV4'!BV5</f>
        <v>0</v>
      </c>
      <c r="E35" s="55">
        <f>SUM('CSV4'!BD4:BM4)+'CSV4'!BV4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SUM('CSV4'!BA6:BB6)+'CSV4'!BQ6+'CSV4'!BR6+'CSV4'!BS6+'CSV4'!BT6+SUM('CSV4'!BW6:BY6)+SUM('CSV4'!CH6:CI6)+SUM('CSV4'!CK6:CU6)+'CSV4'!DB6+'CSV4'!DD6+'CSV4'!DJ6+'CSV4'!EF6+'CSV4'!EJ6+SUM('CSV4'!EM6:EO6)-'CSV4'!EP6+'CSV4'!GA6</f>
        <v>0</v>
      </c>
      <c r="D36" s="55">
        <f>SUM('CSV4'!BA5:BB5)+'CSV4'!BQ5+'CSV4'!BR5+'CSV4'!BS5+'CSV4'!BT5+SUM('CSV4'!BW5:BY5)+SUM('CSV4'!CH5:CI5)+SUM('CSV4'!CK5:CU5)+'CSV4'!DB5+'CSV4'!DD5+'CSV4'!DJ5+'CSV4'!EF5+'CSV4'!EJ5+SUM('CSV4'!EM5:EO5)-'CSV4'!EP5</f>
        <v>0</v>
      </c>
      <c r="E36" s="55">
        <f>SUM('CSV4'!BA4:BB4)+'CSV4'!BQ4+'CSV4'!BR4+'CSV4'!BS4+'CSV4'!BT4+SUM('CSV4'!BW4:BY4)+SUM('CSV4'!CH4:CI4)+SUM('CSV4'!CK4:CU4)+'CSV4'!DB4+'CSV4'!DD4+'CSV4'!DJ4+'CSV4'!EF4+'CSV4'!EJ4+SUM('CSV4'!EM4:EO4)-'CSV4'!EP4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SUM('CSV4'!BZ6:CA6)+SUM('CSV4'!CB6,'CSV4'!CC6,'CSV4'!CE6,'CSV4'!CF6)+SUM('CSV4'!CV6:CZ6)</f>
        <v>0</v>
      </c>
      <c r="D37" s="55">
        <f>SUM('CSV4'!BZ5:CA5)+SUM('CSV4'!CB5,'CSV4'!CC5,'CSV4'!CE5,'CSV4'!CF5)+SUM('CSV4'!CV5:CZ5)</f>
        <v>0</v>
      </c>
      <c r="E37" s="55">
        <f>SUM('CSV4'!BZ4:CA4)+SUM('CSV4'!CB4,'CSV4'!CC4,'CSV4'!CE4,'CSV4'!CF4)+SUM('CSV4'!CV4:CZ4)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'CSV4'!DQ6+'CSV4'!FX6</f>
        <v>0</v>
      </c>
      <c r="D39" s="55">
        <f>'CSV4'!DQ5</f>
        <v>0</v>
      </c>
      <c r="E39" s="55">
        <f>'CSV4'!DQ4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SUM('CSV4'!DE6:DG6)+'CSV4'!DI6</f>
        <v>0</v>
      </c>
      <c r="D40" s="55">
        <f>SUM('CSV4'!DE5:DG5)+'CSV4'!DI5</f>
        <v>0</v>
      </c>
      <c r="E40" s="55">
        <f>SUM('CSV4'!DE4:DG4)+'CSV4'!DI4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'CSV4'!DM6+'CSV4'!DO6</f>
        <v>0</v>
      </c>
      <c r="D44" s="55">
        <f>'CSV4'!DM5+'CSV4'!DO5</f>
        <v>0</v>
      </c>
      <c r="E44" s="55">
        <f>'CSV4'!DM4+'CSV4'!DO4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'CSV4'!DL6+'CSV4'!DN6</f>
        <v>0</v>
      </c>
      <c r="D46" s="55">
        <f>'CSV4'!DL5+'CSV4'!DN5</f>
        <v>0</v>
      </c>
      <c r="E46" s="55">
        <f>'CSV4'!DL4+'CSV4'!DN4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'CSV4'!DC6</f>
        <v>0</v>
      </c>
      <c r="D48" s="55">
        <f>'CSV4'!DC5</f>
        <v>0</v>
      </c>
      <c r="E48" s="55">
        <f>'CSV4'!DC4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SUM('CSV4'!DS6:DT6)</f>
        <v>0</v>
      </c>
      <c r="D50" s="55">
        <f>SUM('CSV4'!DS5:DT5)</f>
        <v>0</v>
      </c>
      <c r="E50" s="55">
        <f>SUM('CSV4'!DS4:DT4)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SUM('CSV4'!DY6:DZ6)</f>
        <v>0</v>
      </c>
      <c r="D52" s="55">
        <f>SUM('CSV4'!DY5:DZ5)</f>
        <v>0</v>
      </c>
      <c r="E52" s="55">
        <f>SUM('CSV4'!DY4:DZ4)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'CSV4'!DX6</f>
        <v>0</v>
      </c>
      <c r="D53" s="55">
        <f>'CSV4'!DX5</f>
        <v>0</v>
      </c>
      <c r="E53" s="55">
        <f>'CSV4'!DX4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'CSV4'!I25+'CSV4'!J25+'CSV4'!I31+'CSV4'!J31</f>
        <v>0</v>
      </c>
      <c r="D59" s="55">
        <f>'CSV4'!I24+'CSV4'!J24</f>
        <v>0</v>
      </c>
      <c r="E59" s="55">
        <f>'CSV4'!I23+'CSV4'!J23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'CSV4'!H19+'CSV4'!H13+'CSV4'!H36+SUM('CSV4'!O36:U36)-SUM('CSV4'!H36:M36)</f>
        <v>0</v>
      </c>
      <c r="D60" s="55">
        <f>'CSV4'!H18+'CSV4'!H12+'CSV4'!H35+SUM('CSV4'!O35:U35)-SUM('CSV4'!H35:M35)</f>
        <v>0</v>
      </c>
      <c r="E60" s="55">
        <f>'CSV4'!H17+'CSV4'!H11+'CSV4'!H34+SUM('CSV4'!O34:U34)-SUM('CSV4'!H34:M34)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SUM('CSV4'!I13:L13)-'CSV4'!BQ13+SUM('CSV4'!I19:M19)-'CSV4'!CU19+SUM('CSV4'!L25:S25)+'CSV4'!U25+SUM('CSV4'!W25:X25)+SUM('CSV4'!L31:O31)+'CSV4'!Q31</f>
        <v>0</v>
      </c>
      <c r="D61" s="55">
        <f>SUM('CSV4'!I12:L12)-'CSV4'!BQ12+SUM('CSV4'!I18:M18)-'CSV4'!CU18+SUM('CSV4'!L24:S24)+'CSV4'!U24+SUM('CSV4'!W24:X24)</f>
        <v>0</v>
      </c>
      <c r="E61" s="55">
        <f>SUM('CSV4'!I11:L11)-'CSV4'!BQ11+SUM('CSV4'!I17:M17)-'CSV4'!CU17+SUM('CSV4'!L23:S23)+'CSV4'!U23+SUM('CSV4'!W23:X23)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'CSV4'!CS19+'CSV4'!BO13</f>
        <v>0</v>
      </c>
      <c r="D62" s="55">
        <f>'CSV4'!CS18+'CSV4'!BO12</f>
        <v>0</v>
      </c>
      <c r="E62" s="55">
        <f>'CSV4'!CS17+'CSV4'!BO11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'CSV4'!AK25+'CSV4'!BC25+'CSV4'!AC19+'CSV4'!AC31+'CSV4'!AD31+'CSV4'!AF31+'CSV4'!AG31+'CSV4'!AO31+SUM('CSV4'!AV31:AX31)+'CSV4'!BM31</f>
        <v>0</v>
      </c>
      <c r="D64" s="55">
        <f>'CSV4'!AK24+'CSV4'!BC24+'CSV4'!AC18</f>
        <v>0</v>
      </c>
      <c r="E64" s="55">
        <f>'CSV4'!AK23+'CSV4'!BC23+'CSV4'!AC17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'CSV4'!DB25+'CSV4'!EP25+'CSV4'!DG31</f>
        <v>0</v>
      </c>
      <c r="D65" s="55">
        <f>'CSV4'!DB24+'CSV4'!EP24</f>
        <v>0</v>
      </c>
      <c r="E65" s="55">
        <f>'CSV4'!DB23+'CSV4'!EP23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SUM('CSV4'!Z25:AA25)+SUM('CSV4'!AC25:AE25)+SUM('CSV4'!P19:R19)+SUM('CSV4'!O13:Q13)+'CSV4'!I36+SUM('CSV4'!T31:U31)+SUM('CSV4'!W31:Y31)</f>
        <v>0</v>
      </c>
      <c r="D67" s="55">
        <f>SUM('CSV4'!Z24:AA24)+SUM('CSV4'!AC24:AE24)+SUM('CSV4'!P18:R18)+SUM('CSV4'!O12:Q12)+'CSV4'!I35</f>
        <v>0</v>
      </c>
      <c r="E67" s="55">
        <f>SUM('CSV4'!Z23:AA23)+SUM('CSV4'!AC23:AE23)+SUM('CSV4'!P17:R17)+SUM('CSV4'!O11:Q11)+'CSV4'!I34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'CSV4'!AL25+'CSV4'!BD25+SUM('CSV4'!U19:X19)+SUM('CSV4'!T13:U13)+'CSV4'!J36</f>
        <v>0</v>
      </c>
      <c r="D68" s="55">
        <f>'CSV4'!AL24+'CSV4'!BD24+SUM('CSV4'!U18:X18)+SUM('CSV4'!T12:U12)+'CSV4'!J35</f>
        <v>0</v>
      </c>
      <c r="E68" s="55">
        <f>'CSV4'!AL23+'CSV4'!BD23+SUM('CSV4'!U17:X17)+SUM('CSV4'!T11:U11)+'CSV4'!J34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'CSV4'!CF25+'CSV4'!CJ25+'CSV4'!AI19+'CSV4'!AB13+SUM('CSV4'!CK25:CL25)+'CSV4'!AC13+'CSV4'!AJ19+'CSV4'!O36+'CSV4'!BY31+'CSV4'!BZ31+'CSV4'!CG31+'CSV4'!CL31+'CSV4'!CM31+'CSV4'!CP31</f>
        <v>0</v>
      </c>
      <c r="D72" s="55">
        <f>'CSV4'!CF24+'CSV4'!CJ24+'CSV4'!AI18+'CSV4'!AB12+SUM('CSV4'!CK24:CL24)+'CSV4'!AC12+'CSV4'!AJ18+'CSV4'!O35</f>
        <v>0</v>
      </c>
      <c r="E72" s="55">
        <f>'CSV4'!CF23+'CSV4'!CJ23+'CSV4'!AI17+'CSV4'!AB11+SUM('CSV4'!CK23:CL23)+'CSV4'!AC11+'CSV4'!AJ17+'CSV4'!O34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3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3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5" t="s">
        <v>904</v>
      </c>
      <c r="B76" s="54"/>
      <c r="C76" s="55">
        <f>'CSV4'!DZ25+'CSV4'!BF19+'CSV4'!AN13+'CSV4'!DX31</f>
        <v>0</v>
      </c>
      <c r="D76" s="55">
        <f>'CSV4'!DZ24+'CSV4'!BF18+'CSV4'!AN12</f>
        <v>0</v>
      </c>
      <c r="E76" s="55">
        <f>'CSV4'!DZ23+'CSV4'!BF17+'CSV4'!AN11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5" t="s">
        <v>905</v>
      </c>
      <c r="B77" s="54"/>
      <c r="C77" s="55">
        <f>SUM('CSV4'!ED25:EE25)+SUM('CSV4'!BJ19:BK19)+'CSV4'!AM13+SUM('CSV4'!EB31:EC31)</f>
        <v>0</v>
      </c>
      <c r="D77" s="55">
        <f>SUM('CSV4'!ED24:EE24)+SUM('CSV4'!BJ18:BK18)+'CSV4'!AM12</f>
        <v>0</v>
      </c>
      <c r="E77" s="55">
        <f>SUM('CSV4'!ED23:EE23)+SUM('CSV4'!BJ17:BK17)+'CSV4'!AM11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5" t="s">
        <v>906</v>
      </c>
      <c r="B78" s="54"/>
      <c r="C78" s="55">
        <f>'CSV4'!EA25+'CSV4'!BG19+'CSV4'!AO13+'CSV4'!DY31</f>
        <v>0</v>
      </c>
      <c r="D78" s="55">
        <f>'CSV4'!EA24+'CSV4'!BG18+'CSV4'!AO12</f>
        <v>0</v>
      </c>
      <c r="E78" s="55">
        <f>'CSV4'!EA23+'CSV4'!BG17+'CSV4'!AO11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5" t="s">
        <v>907</v>
      </c>
      <c r="B79" s="54"/>
      <c r="C79" s="55">
        <f>SUM('CSV4'!EB25:EC25)+'CSV4'!EF25+SUM('CSV4'!BH19:BI19)+'CSV4'!BL19+'CSV4'!AP13+'CSV4'!P36+SUM('CSV4'!DZ31:EA31)+'CSV4'!EE31</f>
        <v>0</v>
      </c>
      <c r="D79" s="55">
        <f>SUM('CSV4'!EB24:EC24)+'CSV4'!EF24+SUM('CSV4'!BH18:BI18)+'CSV4'!BL18+'CSV4'!AP12+'CSV4'!P35</f>
        <v>0</v>
      </c>
      <c r="E79" s="55">
        <f>SUM('CSV4'!EB23:EC23)+'CSV4'!EF23+SUM('CSV4'!BH17:BI17)+'CSV4'!BL17+'CSV4'!AP11+'CSV4'!P34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5" t="s">
        <v>909</v>
      </c>
      <c r="B81" s="54"/>
      <c r="C81" s="55">
        <f>SUM('CSV4'!DH25:DI25)+'CSV4'!EI25+'CSV4'!BO19+'CSV4'!AR13+'CSV4'!Q36+SUM('CSV4'!DB31:DC31)+SUM('CSV4'!DM31:DN31)+SUM('CSV4'!EQ31:ER31)</f>
        <v>0</v>
      </c>
      <c r="D81" s="55">
        <f>SUM('CSV4'!DH24:DI24)+'CSV4'!EI24+'CSV4'!BO18+'CSV4'!AR12+'CSV4'!Q35</f>
        <v>0</v>
      </c>
      <c r="E81" s="55">
        <f>SUM('CSV4'!DH23:DI23)+'CSV4'!EI23+'CSV4'!BO17+'CSV4'!AR11+'CSV4'!Q34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5" t="s">
        <v>910</v>
      </c>
      <c r="B82" s="54"/>
      <c r="C82" s="55">
        <f>'CSV4'!DJ25+'CSV4'!DL25+'CSV4'!EH25+'CSV4'!BN19+'CSV4'!DD31+'CSV4'!ES31</f>
        <v>0</v>
      </c>
      <c r="D82" s="55">
        <f>'CSV4'!DJ24+'CSV4'!DL24+'CSV4'!EH24+'CSV4'!BN18</f>
        <v>0</v>
      </c>
      <c r="E82" s="55">
        <f>'CSV4'!DJ23+'CSV4'!DL23+'CSV4'!EH23+'CSV4'!BN17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3" s="55">
        <f>'CSV4'!CZ24+'CSV4'!DC24+'CSV4'!EQ24+'CSV4'!EV24+'CSV4'!BU18+'CSV4'!BW18+'CSV4'!AV12+'CSV4'!AX12+'CSV4'!T35+'CSV4'!U35</f>
        <v>0</v>
      </c>
      <c r="E83" s="55">
        <f>'CSV4'!CZ23+'CSV4'!DC23+'CSV4'!EQ23+'CSV4'!EV23+'CSV4'!BU17+'CSV4'!BW17+'CSV4'!AV11+'CSV4'!AX11+'CSV4'!T34+'CSV4'!U34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SUM('CSV4'!EK25:EN25)+SUM('CSV4'!BQ19:BS19)+SUM('CSV4'!AS13:AT13)+'CSV4'!BW13+'CSV4'!S36+'CSV4'!R36+SUM('CSV4'!EV31:EY31)+'CSV4'!FA31</f>
        <v>0</v>
      </c>
      <c r="D84" s="55">
        <f>SUM('CSV4'!EK24:EN24)+SUM('CSV4'!BQ18:BS18)+SUM('CSV4'!AS12:AT12)+'CSV4'!BW12+'CSV4'!S35+'CSV4'!R35</f>
        <v>0</v>
      </c>
      <c r="E84" s="55">
        <f>SUM('CSV4'!EK23:EN23)+SUM('CSV4'!BQ17:BS17)+SUM('CSV4'!AS11:AT11)+'CSV4'!BW11+'CSV4'!S34+'CSV4'!R34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'CSV4'!BY19+'CSV4'!AZ13</f>
        <v>0</v>
      </c>
      <c r="D85" s="55">
        <f>'CSV4'!BY18+'CSV4'!AZ12</f>
        <v>0</v>
      </c>
      <c r="E85" s="55">
        <f>'CSV4'!BY17+'CSV4'!AZ11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'CSV4'!AP25+SUM('CSV4'!BG25:BH25)+SUM('CSV4'!CD19:CE19)+'CSV4'!BC13+'CSV4'!BU13+'CSV4'!L36+'CSV4'!AI31+'CSV4'!AZ31</f>
        <v>0</v>
      </c>
      <c r="D87" s="55">
        <f>'CSV4'!AP24+SUM('CSV4'!BG24:BH24)+SUM('CSV4'!CD18:CE18)+'CSV4'!BC12+'CSV4'!BU12+'CSV4'!L35</f>
        <v>0</v>
      </c>
      <c r="E87" s="55">
        <f>'CSV4'!AP23+SUM('CSV4'!BG23:BH23)+SUM('CSV4'!CD17:CE17)+'CSV4'!BC11+'CSV4'!BU11+'CSV4'!L34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'CSV4'!AQ25+'CSV4'!BN25+'CSV4'!AD19+'CSV4'!CJ19+'CSV4'!AJ31+'CSV4'!BL31</f>
        <v>0</v>
      </c>
      <c r="D88" s="55">
        <f>'CSV4'!AQ24+'CSV4'!BN24+'CSV4'!AD18+'CSV4'!CJ18</f>
        <v>0</v>
      </c>
      <c r="E88" s="55">
        <f>'CSV4'!AQ23+'CSV4'!BN23+'CSV4'!AD17+'CSV4'!CJ17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89" s="55">
        <f>SUM('CSV4'!AI24:AJ24)+'CSV4'!AM24+'CSV4'!BB24+'CSV4'!BE24+'CSV4'!BJ24+'CSV4'!BO24+'CSV4'!BP24+'CSV4'!BQ24+'CSV4'!BR24+'CSV4'!BS24+'CSV4'!CG18+'CSV4'!CK18+'CSV4'!BD12+'CSV4'!K35+'CSV4'!M35</f>
        <v>0</v>
      </c>
      <c r="E89" s="55">
        <f>SUM('CSV4'!AI23:AJ23)+'CSV4'!AM23+'CSV4'!BB23+'CSV4'!BE23+'CSV4'!BJ23+'CSV4'!BO23+'CSV4'!BP23+'CSV4'!BQ23+'CSV4'!BR23+'CSV4'!BS23+'CSV4'!CG17+'CSV4'!CK17+'CSV4'!BD11+'CSV4'!K34+'CSV4'!M34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SUM('CSV4'!AS25:AT25)+SUM('CSV4'!BK25:BM25)+SUM('CSV4'!BU25:BY25)+SUM('CSV4'!CH19:CI19)+SUM('CSV4'!CM19:CO19)+SUM('CSV4'!BE13:BF13)+SUM('CSV4'!BH13:BK13)+SUM('CSV4'!AK31:AL31)+SUM('CSV4'!BB31:BC31)+SUM('CSV4'!BP31:BQ31)</f>
        <v>0</v>
      </c>
      <c r="D90" s="55">
        <f>SUM('CSV4'!AS24:AT24)+SUM('CSV4'!BK24:BM24)+SUM('CSV4'!BU24:BY24)+SUM('CSV4'!CH18:CI18)+SUM('CSV4'!CM18:CO18)+SUM('CSV4'!BE12:BF12)+SUM('CSV4'!BH12:BK12)</f>
        <v>0</v>
      </c>
      <c r="E90" s="55">
        <f>SUM('CSV4'!AS23:AT23)+SUM('CSV4'!BK23:BM23)+SUM('CSV4'!BU23:BY23)+SUM('CSV4'!CH17:CI17)+SUM('CSV4'!CM17:CO17)+SUM('CSV4'!BE11:BF11)+SUM('CSV4'!BH11:BK11)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'CSV4'!AW25+'CSV4'!AS31</f>
        <v>0</v>
      </c>
      <c r="D93" s="55">
        <f>'CSV4'!AW24</f>
        <v>0</v>
      </c>
      <c r="E93" s="55">
        <f>'CSV4'!AW23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SUM('CSV4'!AX25:AZ25)+'CSV4'!AT31</f>
        <v>0</v>
      </c>
      <c r="D95" s="55">
        <f>SUM('CSV4'!AX24:AZ24)</f>
        <v>0</v>
      </c>
      <c r="E95" s="55">
        <f>SUM('CSV4'!AX23:AZ23)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-'CSV4'!AH25-'CSV4'!AO25+'CSV4'!CY25-'CSV4'!AB19+'CSV4'!CT19-'CSV4'!X13+'CSV4'!BP13-'CSV4'!AB31-'CSV4'!AN31+'CSV4'!DP31</f>
        <v>0</v>
      </c>
      <c r="D97" s="55">
        <f>-'CSV4'!AH24-'CSV4'!AO24+'CSV4'!CY24-'CSV4'!AB18+'CSV4'!CT18-'CSV4'!X12+'CSV4'!BP12</f>
        <v>0</v>
      </c>
      <c r="E97" s="55">
        <f>-'CSV4'!AH23-'CSV4'!AO23+'CSV4'!CY23-'CSV4'!AB17+'CSV4'!CT17-'CSV4'!X11+'CSV4'!BP11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ML99ZQ0KLwE3V+Zal/BZroqEgBjdo9+MbLGtztLNw2Q/8hA33tE86wgl116kdVD15egITTpzhK9/1s7pHwFs4g==" saltValue="MwU17+tv3hOOnvKFwgG6Bw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9" priority="1" stopIfTrue="1" operator="lessThan">
      <formula>-0.2</formula>
    </cfRule>
    <cfRule type="cellIs" dxfId="28" priority="2" stopIfTrue="1" operator="lessThan">
      <formula>0</formula>
    </cfRule>
    <cfRule type="cellIs" dxfId="27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61"/>
      <c r="C3" s="561"/>
      <c r="D3" s="561"/>
      <c r="E3" s="561"/>
      <c r="F3" s="561"/>
      <c r="G3" s="561"/>
    </row>
    <row r="4" spans="1:10">
      <c r="A4" s="45" t="s">
        <v>597</v>
      </c>
      <c r="B4" s="561"/>
      <c r="C4" s="561"/>
      <c r="D4" s="561"/>
      <c r="E4" s="561"/>
      <c r="F4" s="561"/>
      <c r="G4" s="561"/>
    </row>
    <row r="5" spans="1:10">
      <c r="A5" s="45" t="s">
        <v>599</v>
      </c>
      <c r="B5" s="561"/>
      <c r="C5" s="561"/>
      <c r="D5" s="561"/>
      <c r="E5" s="561"/>
      <c r="F5" s="561"/>
      <c r="G5" s="561"/>
    </row>
    <row r="6" spans="1:10">
      <c r="A6" s="45" t="s">
        <v>601</v>
      </c>
      <c r="B6" s="561"/>
      <c r="C6" s="561"/>
      <c r="D6" s="561"/>
      <c r="E6" s="561"/>
      <c r="F6" s="561"/>
      <c r="G6" s="561"/>
    </row>
    <row r="7" spans="1:10" ht="25.5">
      <c r="A7" s="45" t="s">
        <v>603</v>
      </c>
      <c r="B7" s="563"/>
      <c r="C7" s="563"/>
      <c r="D7" s="563"/>
      <c r="E7" s="563"/>
      <c r="F7" s="563"/>
      <c r="G7" s="563"/>
    </row>
    <row r="8" spans="1:10">
      <c r="A8" s="45" t="s">
        <v>831</v>
      </c>
      <c r="B8" s="561"/>
      <c r="C8" s="561"/>
      <c r="D8" s="561"/>
      <c r="E8" s="561"/>
      <c r="F8" s="561"/>
      <c r="G8" s="561"/>
    </row>
    <row r="9" spans="1:10">
      <c r="A9" s="45" t="s">
        <v>832</v>
      </c>
      <c r="B9" s="564"/>
      <c r="C9" s="564"/>
      <c r="D9" s="564"/>
      <c r="E9" s="564"/>
      <c r="F9" s="564"/>
      <c r="G9" s="564"/>
    </row>
    <row r="10" spans="1:10">
      <c r="A10" s="46" t="s">
        <v>1025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'CSV5'!H6+'CSV5'!O6+'CSV5'!Q6+SUM('CSV5'!EM6:EN6)+SUM('CSV5'!GE6:GG6)</f>
        <v>0</v>
      </c>
      <c r="D15" s="55">
        <f>'CSV5'!H5+'CSV5'!O5+'CSV5'!Q5+SUM('CSV5'!EM5:EN5)+SUM('CSV5'!GE5:GG5)</f>
        <v>0</v>
      </c>
      <c r="E15" s="55">
        <f>'CSV5'!H4+'CSV5'!O4+'CSV5'!Q4+SUM('CSV5'!EM4:EN4)+SUM('CSV5'!GE4:GG4)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'CSV5'!V6</f>
        <v>0</v>
      </c>
      <c r="D17" s="55">
        <f>'CSV5'!V5</f>
        <v>0</v>
      </c>
      <c r="E17" s="55">
        <f>'CSV5'!V4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'CSV5'!U6</f>
        <v>0</v>
      </c>
      <c r="D18" s="55">
        <f>'CSV5'!U5</f>
        <v>0</v>
      </c>
      <c r="E18" s="55">
        <f>'CSV5'!U4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'CSV5'!ED6++'CSV5'!N6+'CSV5'!EH6+'CSV5'!EO6</f>
        <v>0</v>
      </c>
      <c r="D19" s="55">
        <f>'CSV5'!ED5+'CSV5'!N5+'CSV5'!EH5+'CSV5'!EO5</f>
        <v>0</v>
      </c>
      <c r="E19" s="55">
        <f>'CSV5'!ED4+'CSV5'!N4+'CSV5'!EH4+'CSV5'!EO4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'CSV5'!I6+'CSV5'!P6+'CSV5'!R6</f>
        <v>0</v>
      </c>
      <c r="D21" s="55">
        <f>'CSV5'!I5+'CSV5'!P5+'CSV5'!R5</f>
        <v>0</v>
      </c>
      <c r="E21" s="55">
        <f>'CSV5'!I4+'CSV5'!P4+'CSV5'!R4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'CSV5'!GH6</f>
        <v>0</v>
      </c>
      <c r="D22" s="57">
        <f>'CSV5'!GH5</f>
        <v>0</v>
      </c>
      <c r="E22" s="57">
        <f>'CSV5'!GH4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'CSV5'!K6+'CSV5'!L6+'CSV5'!W6+'CSV5'!X6</f>
        <v>0</v>
      </c>
      <c r="D24" s="55">
        <f>'CSV5'!K5+'CSV5'!L5+'CSV5'!W5+'CSV5'!X5</f>
        <v>0</v>
      </c>
      <c r="E24" s="55">
        <f>'CSV5'!K4+'CSV5'!L4+'CSV5'!W4+'CSV5'!X4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'CSV5'!Z6+'CSV5'!AA6+'CSV5'!AB6</f>
        <v>0</v>
      </c>
      <c r="D25" s="55">
        <f>'CSV5'!Z5+'CSV5'!AA5+'CSV5'!AB5</f>
        <v>0</v>
      </c>
      <c r="E25" s="55">
        <f>'CSV5'!Z4+'CSV5'!AA4+'CSV5'!AB4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'CSV5'!J6</f>
        <v>0</v>
      </c>
      <c r="D26" s="55">
        <f>'CSV5'!J5</f>
        <v>0</v>
      </c>
      <c r="E26" s="55">
        <f>'CSV5'!J4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'CSV5'!AK6+'CSV5'!AL6+'CSV5'!AM6</f>
        <v>0</v>
      </c>
      <c r="D29" s="55">
        <f>'CSV5'!AK5+'CSV5'!AL5+'CSV5'!AM5</f>
        <v>0</v>
      </c>
      <c r="E29" s="55">
        <f>'CSV5'!AK4+'CSV5'!AL4+'CSV5'!AM4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'CSV5'!AO6+'CSV5'!AP6+'CSV5'!AQ6+'CSV5'!AR6+'CSV5'!AS6+'CSV5'!AT6+'CSV5'!AU6+'CSV5'!AV6</f>
        <v>0</v>
      </c>
      <c r="D30" s="55">
        <f>'CSV5'!AO5+'CSV5'!AP5+'CSV5'!AQ5+'CSV5'!AR5+'CSV5'!AS5+'CSV5'!AT5+'CSV5'!AU5+'CSV5'!AV5</f>
        <v>0</v>
      </c>
      <c r="E30" s="55">
        <f>'CSV5'!AO4+'CSV5'!AP4+'CSV5'!AQ4+'CSV5'!AR4+'CSV5'!AS4+'CSV5'!AT4+'CSV5'!AU4+'CSV5'!AV4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'CSV5'!AF6+'CSV5'!AG6+'CSV5'!AH6</f>
        <v>0</v>
      </c>
      <c r="D31" s="55">
        <f>'CSV5'!AF5+'CSV5'!AG5+'CSV5'!AH5</f>
        <v>0</v>
      </c>
      <c r="E31" s="55">
        <f>'CSV5'!AF4+'CSV5'!AG4+'CSV5'!AH4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SUM('CSV5'!AX6:AZ6)+'CSV5'!BC6+'CSV5'!ED6-'CSV5'!EE6+'CSV5'!EH6-'CSV5'!EI6+'CSV5'!FN6+'CSV5'!FO6+SUM('CSV5'!FS6:FW6)</f>
        <v>0</v>
      </c>
      <c r="D32" s="55">
        <f>SUM('CSV5'!AX5:AZ5)+'CSV5'!BC5+'CSV5'!ED5-'CSV5'!EE5+'CSV5'!EH5-'CSV5'!EI5</f>
        <v>0</v>
      </c>
      <c r="E32" s="55">
        <f>SUM('CSV5'!AX4:AZ4)+'CSV5'!BC4+'CSV5'!ED4-'CSV5'!EE4+'CSV5'!EH4-'CSV5'!EI4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'CSV5'!Y6+'CSV5'!AC6+'CSV5'!AD6</f>
        <v>0</v>
      </c>
      <c r="D34" s="55">
        <f>'CSV5'!Y5+'CSV5'!AC5+'CSV5'!AD5</f>
        <v>0</v>
      </c>
      <c r="E34" s="55">
        <f>'CSV5'!Y4+'CSV5'!AC4+'CSV5'!AD4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SUM('CSV5'!BD6:BM6)+'CSV5'!BV6</f>
        <v>0</v>
      </c>
      <c r="D35" s="55">
        <f>SUM('CSV5'!BD5:BM5)+'CSV5'!BV5</f>
        <v>0</v>
      </c>
      <c r="E35" s="55">
        <f>SUM('CSV5'!BD4:BM4)+'CSV5'!BV4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SUM('CSV5'!BA6:BB6)+'CSV5'!BQ6+'CSV5'!BR6+'CSV5'!BS6+'CSV5'!BT6+SUM('CSV5'!BW6:BY6)+SUM('CSV5'!CH6:CI6)+SUM('CSV5'!CK6:CU6)+'CSV5'!DB6+'CSV5'!DD6+'CSV5'!DJ6+'CSV5'!EF6+'CSV5'!EJ6+SUM('CSV5'!EM6:EO6)-'CSV5'!EP6+'CSV5'!GA6</f>
        <v>0</v>
      </c>
      <c r="D36" s="55">
        <f>SUM('CSV5'!BA5:BB5)+'CSV5'!BQ5+'CSV5'!BR5+'CSV5'!BS5+'CSV5'!BT5+SUM('CSV5'!BW5:BY5)+SUM('CSV5'!CH5:CI5)+SUM('CSV5'!CK5:CU5)+'CSV5'!DB5+'CSV5'!DD5+'CSV5'!DJ5+'CSV5'!EF5+'CSV5'!EJ5+SUM('CSV5'!EM5:EO5)-'CSV5'!EP5</f>
        <v>0</v>
      </c>
      <c r="E36" s="55">
        <f>SUM('CSV5'!BA4:BB4)+'CSV5'!BQ4+'CSV5'!BR4+'CSV5'!BS4+'CSV5'!BT4+SUM('CSV5'!BW4:BY4)+SUM('CSV5'!CH4:CI4)+SUM('CSV5'!CK4:CU4)+'CSV5'!DB4+'CSV5'!DD4+'CSV5'!DJ4+'CSV5'!EF4+'CSV5'!EJ4+SUM('CSV5'!EM4:EO4)-'CSV5'!EP4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SUM('CSV5'!BZ6:CA6)+SUM('CSV5'!CB6,'CSV5'!CC6,'CSV5'!CE6,'CSV5'!CF6)+SUM('CSV5'!CV6:CZ6)</f>
        <v>0</v>
      </c>
      <c r="D37" s="55">
        <f>SUM('CSV5'!BZ5:CA5)+SUM('CSV5'!CB5,'CSV5'!CC5,'CSV5'!CE5,'CSV5'!CF5)+SUM('CSV5'!CV5:CZ5)</f>
        <v>0</v>
      </c>
      <c r="E37" s="55">
        <f>SUM('CSV5'!BZ4:CA4)+SUM('CSV5'!CB4,'CSV5'!CC4,'CSV5'!CE4,'CSV5'!CF4)+SUM('CSV5'!CV4:CZ4)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'CSV5'!DQ6+'CSV5'!FX6</f>
        <v>0</v>
      </c>
      <c r="D39" s="55">
        <f>'CSV5'!DQ5</f>
        <v>0</v>
      </c>
      <c r="E39" s="55">
        <f>'CSV5'!DQ4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SUM('CSV5'!DE6:DG6)+'CSV5'!DI6</f>
        <v>0</v>
      </c>
      <c r="D40" s="55">
        <f>SUM('CSV5'!DE5:DG5)+'CSV5'!DI5</f>
        <v>0</v>
      </c>
      <c r="E40" s="55">
        <f>SUM('CSV5'!DE4:DG4)+'CSV5'!DI4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'CSV5'!DM6+'CSV5'!DO6</f>
        <v>0</v>
      </c>
      <c r="D44" s="55">
        <f>'CSV5'!DM5+'CSV5'!DO5</f>
        <v>0</v>
      </c>
      <c r="E44" s="55">
        <f>'CSV5'!DM4+'CSV5'!DO4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'CSV5'!DL6+'CSV5'!DN6</f>
        <v>0</v>
      </c>
      <c r="D46" s="55">
        <f>'CSV5'!DL5+'CSV5'!DN5</f>
        <v>0</v>
      </c>
      <c r="E46" s="55">
        <f>'CSV5'!DL4+'CSV5'!DN4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'CSV5'!DC6</f>
        <v>0</v>
      </c>
      <c r="D48" s="55">
        <f>'CSV5'!DC5</f>
        <v>0</v>
      </c>
      <c r="E48" s="55">
        <f>'CSV5'!DC4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SUM('CSV5'!DS6:DT6)</f>
        <v>0</v>
      </c>
      <c r="D50" s="55">
        <f>SUM('CSV5'!DS5:DT5)</f>
        <v>0</v>
      </c>
      <c r="E50" s="55">
        <f>SUM('CSV5'!DS4:DT4)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SUM('CSV5'!DY6:DZ6)</f>
        <v>0</v>
      </c>
      <c r="D52" s="55">
        <f>SUM('CSV5'!DY5:DZ5)</f>
        <v>0</v>
      </c>
      <c r="E52" s="55">
        <f>SUM('CSV5'!DY4:DZ4)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'CSV5'!DX6</f>
        <v>0</v>
      </c>
      <c r="D53" s="55">
        <f>'CSV5'!DX5</f>
        <v>0</v>
      </c>
      <c r="E53" s="55">
        <f>'CSV5'!DX4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6" t="str">
        <f>IF($B$7&lt;&gt;"",CONCATENATE("31/03/",$B$7),"31/03/2020")</f>
        <v>31/03/2020</v>
      </c>
      <c r="D58" s="346" t="str">
        <f>IF($B$7&lt;&gt;"",CONCATENATE("31/03/",$B$7-1),"31/03/2019")</f>
        <v>31/03/2019</v>
      </c>
      <c r="E58" s="347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'CSV5'!I25+'CSV5'!J25+'CSV5'!I31+'CSV5'!J31</f>
        <v>0</v>
      </c>
      <c r="D59" s="55">
        <f>'CSV5'!I24+'CSV5'!J24</f>
        <v>0</v>
      </c>
      <c r="E59" s="55">
        <f>'CSV5'!I23+'CSV5'!J23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'CSV5'!H19+'CSV5'!H13+'CSV5'!H36+SUM('CSV5'!O36:U36)-SUM('CSV5'!H36:M36)</f>
        <v>0</v>
      </c>
      <c r="D60" s="55">
        <f>'CSV5'!H18+'CSV5'!H12+'CSV5'!H35+SUM('CSV5'!O35:U35)-SUM('CSV5'!H35:M35)</f>
        <v>0</v>
      </c>
      <c r="E60" s="55">
        <f>'CSV5'!H17+'CSV5'!H11+'CSV5'!H34+SUM('CSV5'!O34:U34)-SUM('CSV5'!H34:M34)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SUM('CSV5'!I13:L13)-'CSV5'!BQ13+SUM('CSV5'!I19:M19)-'CSV5'!CU19+SUM('CSV5'!L25:S25)+'CSV5'!U25+SUM('CSV5'!W25:X25)+SUM('CSV5'!L31:O31)+'CSV5'!Q31</f>
        <v>0</v>
      </c>
      <c r="D61" s="55">
        <f>SUM('CSV5'!I12:L12)-'CSV5'!BQ12+SUM('CSV5'!I18:M18)-'CSV5'!CU18+SUM('CSV5'!L24:S24)+'CSV5'!U24+SUM('CSV5'!W24:X24)</f>
        <v>0</v>
      </c>
      <c r="E61" s="55">
        <f>SUM('CSV5'!I11:L11)-'CSV5'!BQ11+SUM('CSV5'!I17:M17)-'CSV5'!CU17+SUM('CSV5'!L23:S23)+'CSV5'!U23+SUM('CSV5'!W23:X23)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'CSV5'!CS19+'CSV5'!BO13</f>
        <v>0</v>
      </c>
      <c r="D62" s="55">
        <f>'CSV5'!CS18+'CSV5'!BO12</f>
        <v>0</v>
      </c>
      <c r="E62" s="55">
        <f>'CSV5'!CS17+'CSV5'!BO11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'CSV5'!AK25+'CSV5'!BC25+'CSV5'!AC19+'CSV5'!AC31+'CSV5'!AD31+'CSV5'!AF31+'CSV5'!AG31+'CSV5'!AO31+SUM('CSV5'!AV31:AX31)+'CSV5'!BM31</f>
        <v>0</v>
      </c>
      <c r="D64" s="55">
        <f>'CSV5'!AK24+'CSV5'!BC24+'CSV5'!AC18</f>
        <v>0</v>
      </c>
      <c r="E64" s="55">
        <f>'CSV5'!AK23+'CSV5'!BC23+'CSV5'!AC17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'CSV5'!DB25+'CSV5'!EP25+'CSV5'!DG31</f>
        <v>0</v>
      </c>
      <c r="D65" s="55">
        <f>'CSV5'!DB24+'CSV5'!EP24</f>
        <v>0</v>
      </c>
      <c r="E65" s="55">
        <f>'CSV5'!DB23+'CSV5'!EP23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SUM('CSV5'!Z25:AA25)+SUM('CSV5'!AC25:AE25)+SUM('CSV5'!P19:R19)+SUM('CSV5'!O13:Q13)+'CSV5'!I36+SUM('CSV5'!T31:U31)+SUM('CSV5'!W31:Y31)</f>
        <v>0</v>
      </c>
      <c r="D67" s="55">
        <f>SUM('CSV5'!Z24:AA24)+SUM('CSV5'!AC24:AE24)+SUM('CSV5'!P18:R18)+SUM('CSV5'!O12:Q12)+'CSV5'!I35</f>
        <v>0</v>
      </c>
      <c r="E67" s="55">
        <f>SUM('CSV5'!Z23:AA23)+SUM('CSV5'!AC23:AE23)+SUM('CSV5'!P17:R17)+SUM('CSV5'!O11:Q11)+'CSV5'!I34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'CSV5'!AL25+'CSV5'!BD25+SUM('CSV5'!U19:X19)+SUM('CSV5'!T13:U13)+'CSV5'!J36</f>
        <v>0</v>
      </c>
      <c r="D68" s="55">
        <f>'CSV5'!AL24+'CSV5'!BD24+SUM('CSV5'!U18:X18)+SUM('CSV5'!T12:U12)+'CSV5'!J35</f>
        <v>0</v>
      </c>
      <c r="E68" s="55">
        <f>'CSV5'!AL23+'CSV5'!BD23+SUM('CSV5'!U17:X17)+SUM('CSV5'!T11:U11)+'CSV5'!J34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'CSV5'!CF25+'CSV5'!CJ25+'CSV5'!AI19+'CSV5'!AB13+SUM('CSV5'!CK25:CL25)+'CSV5'!AC13+'CSV5'!AJ19+'CSV5'!O36+'CSV5'!BY31+'CSV5'!BZ31+'CSV5'!CG31+'CSV5'!CL31+'CSV5'!CM31+'CSV5'!CP31</f>
        <v>0</v>
      </c>
      <c r="D72" s="55">
        <f>'CSV5'!CF24+'CSV5'!CJ24+'CSV5'!AI18+'CSV5'!AB12+SUM('CSV5'!CK24:CL24)+'CSV5'!AC12+'CSV5'!AJ18+'CSV5'!O35</f>
        <v>0</v>
      </c>
      <c r="E72" s="55">
        <f>'CSV5'!CF23+'CSV5'!CJ23+'CSV5'!AI17+'CSV5'!AB11+SUM('CSV5'!CK23:CL23)+'CSV5'!AC11+'CSV5'!AJ17+'CSV5'!O34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3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3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5" t="s">
        <v>904</v>
      </c>
      <c r="B76" s="54"/>
      <c r="C76" s="55">
        <f>'CSV5'!DZ25+'CSV5'!BF19+'CSV5'!AN13+'CSV5'!DX31</f>
        <v>0</v>
      </c>
      <c r="D76" s="55">
        <f>'CSV5'!DZ24+'CSV5'!BF18+'CSV5'!AN12</f>
        <v>0</v>
      </c>
      <c r="E76" s="55">
        <f>'CSV5'!DZ23+'CSV5'!BF17+'CSV5'!AN11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5" t="s">
        <v>905</v>
      </c>
      <c r="B77" s="54"/>
      <c r="C77" s="55">
        <f>SUM('CSV5'!ED25:EE25)+SUM('CSV5'!BJ19:BK19)+'CSV5'!AM13+SUM('CSV5'!EB31:EC31)</f>
        <v>0</v>
      </c>
      <c r="D77" s="55">
        <f>SUM('CSV5'!ED24:EE24)+SUM('CSV5'!BJ18:BK18)+'CSV5'!AM12</f>
        <v>0</v>
      </c>
      <c r="E77" s="55">
        <f>SUM('CSV5'!ED23:EE23)+SUM('CSV5'!BJ17:BK17)+'CSV5'!AM11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5" t="s">
        <v>906</v>
      </c>
      <c r="B78" s="54"/>
      <c r="C78" s="55">
        <f>'CSV5'!EA25+'CSV5'!BG19+'CSV5'!AO13+'CSV5'!DY31</f>
        <v>0</v>
      </c>
      <c r="D78" s="55">
        <f>'CSV5'!EA24+'CSV5'!BG18+'CSV5'!AO12</f>
        <v>0</v>
      </c>
      <c r="E78" s="55">
        <f>'CSV5'!EA23+'CSV5'!BG17+'CSV5'!AO11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5" t="s">
        <v>907</v>
      </c>
      <c r="B79" s="54"/>
      <c r="C79" s="55">
        <f>SUM('CSV5'!EB25:EC25)+'CSV5'!EF25+SUM('CSV5'!BH19:BI19)+'CSV5'!BL19+'CSV5'!AP13+'CSV5'!P36+SUM('CSV5'!DZ31:EA31)+'CSV5'!EE31</f>
        <v>0</v>
      </c>
      <c r="D79" s="55">
        <f>SUM('CSV5'!EB24:EC24)+'CSV5'!EF24+SUM('CSV5'!BH18:BI18)+'CSV5'!BL18+'CSV5'!AP12+'CSV5'!P35</f>
        <v>0</v>
      </c>
      <c r="E79" s="55">
        <f>SUM('CSV5'!EB23:EC23)+'CSV5'!EF23+SUM('CSV5'!BH17:BI17)+'CSV5'!BL17+'CSV5'!AP11+'CSV5'!P34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5" t="s">
        <v>909</v>
      </c>
      <c r="B81" s="54"/>
      <c r="C81" s="55">
        <f>SUM('CSV5'!DH25:DI25)+'CSV5'!EI25+'CSV5'!BO19+'CSV5'!AR13+'CSV5'!Q36+SUM('CSV5'!DB31:DC31)+SUM('CSV5'!DM31:DN31)+SUM('CSV5'!EQ31:ER31)</f>
        <v>0</v>
      </c>
      <c r="D81" s="55">
        <f>SUM('CSV5'!DH24:DI24)+'CSV5'!EI24+'CSV5'!BO18+'CSV5'!AR12+'CSV5'!Q35</f>
        <v>0</v>
      </c>
      <c r="E81" s="55">
        <f>SUM('CSV5'!DH23:DI23)+'CSV5'!EI23+'CSV5'!BO17+'CSV5'!AR11+'CSV5'!Q34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5" t="s">
        <v>910</v>
      </c>
      <c r="B82" s="54"/>
      <c r="C82" s="55">
        <f>'CSV5'!DJ25+'CSV5'!DL25+'CSV5'!EH25+'CSV5'!BN19+'CSV5'!DD31+'CSV5'!ES31</f>
        <v>0</v>
      </c>
      <c r="D82" s="55">
        <f>'CSV5'!DJ24+'CSV5'!DL24+'CSV5'!EH24+'CSV5'!BN18</f>
        <v>0</v>
      </c>
      <c r="E82" s="55">
        <f>'CSV5'!DJ23+'CSV5'!DL23+'CSV5'!EH23+'CSV5'!BN17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3" s="55">
        <f>'CSV5'!CZ24+'CSV5'!DC24+'CSV5'!EQ24+'CSV5'!EV24+'CSV5'!BU18+'CSV5'!BW18+'CSV5'!AV12+'CSV5'!AX12+'CSV5'!T35+'CSV5'!U35</f>
        <v>0</v>
      </c>
      <c r="E83" s="55">
        <f>'CSV5'!CZ23+'CSV5'!DC23+'CSV5'!EQ23+'CSV5'!EV23+'CSV5'!BU17+'CSV5'!BW17+'CSV5'!AV11+'CSV5'!AX11+'CSV5'!T34+'CSV5'!U34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SUM('CSV5'!EK25:EN25)+SUM('CSV5'!BQ19:BS19)+SUM('CSV5'!AS13:AT13)+'CSV5'!BW13+'CSV5'!S36+'CSV5'!R36+SUM('CSV5'!EV31:EY31)+'CSV5'!FA31</f>
        <v>0</v>
      </c>
      <c r="D84" s="55">
        <f>SUM('CSV5'!EK24:EN24)+SUM('CSV5'!BQ18:BS18)+SUM('CSV5'!AS12:AT12)+'CSV5'!BW12+'CSV5'!S35+'CSV5'!R35</f>
        <v>0</v>
      </c>
      <c r="E84" s="55">
        <f>SUM('CSV5'!EK23:EN23)+SUM('CSV5'!BQ17:BS17)+SUM('CSV5'!AS11:AT11)+'CSV5'!BW11+'CSV5'!S34+'CSV5'!R34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'CSV5'!BY19+'CSV5'!AZ13</f>
        <v>0</v>
      </c>
      <c r="D85" s="55">
        <f>'CSV5'!BY18+'CSV5'!AZ12</f>
        <v>0</v>
      </c>
      <c r="E85" s="55">
        <f>'CSV5'!BY17+'CSV5'!AZ11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'CSV5'!AP25+SUM('CSV5'!BG25:BH25)+SUM('CSV5'!CD19:CE19)+'CSV5'!BC13+'CSV5'!BU13+'CSV5'!L36+'CSV5'!AI31+'CSV5'!AZ31</f>
        <v>0</v>
      </c>
      <c r="D87" s="55">
        <f>'CSV5'!AP24+SUM('CSV5'!BG24:BH24)+SUM('CSV5'!CD18:CE18)+'CSV5'!BC12+'CSV5'!BU12+'CSV5'!L35</f>
        <v>0</v>
      </c>
      <c r="E87" s="55">
        <f>'CSV5'!AP23+SUM('CSV5'!BG23:BH23)+SUM('CSV5'!CD17:CE17)+'CSV5'!BC11+'CSV5'!BU11+'CSV5'!L34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'CSV5'!AQ25+'CSV5'!BN25+'CSV5'!AD19+'CSV5'!CJ19+'CSV5'!AJ31+'CSV5'!BL31</f>
        <v>0</v>
      </c>
      <c r="D88" s="55">
        <f>'CSV5'!AQ24+'CSV5'!BN24+'CSV5'!AD18+'CSV5'!CJ18</f>
        <v>0</v>
      </c>
      <c r="E88" s="55">
        <f>'CSV5'!AQ23+'CSV5'!BN23+'CSV5'!AD17+'CSV5'!CJ17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89" s="55">
        <f>SUM('CSV5'!AI24:AJ24)+'CSV5'!AM24+'CSV5'!BB24+'CSV5'!BE24+'CSV5'!BJ24+'CSV5'!BO24+'CSV5'!BP24+'CSV5'!BQ24+'CSV5'!BR24+'CSV5'!BS24+'CSV5'!CG18+'CSV5'!CK18+'CSV5'!BD12+'CSV5'!K35+'CSV5'!M35</f>
        <v>0</v>
      </c>
      <c r="E89" s="55">
        <f>SUM('CSV5'!AI23:AJ23)+'CSV5'!AM23+'CSV5'!BB23+'CSV5'!BE23+'CSV5'!BJ23+'CSV5'!BO23+'CSV5'!BP23+'CSV5'!BQ23+'CSV5'!BR23+'CSV5'!BS23+'CSV5'!CG17+'CSV5'!CK17+'CSV5'!BD11+'CSV5'!K34+'CSV5'!M34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SUM('CSV5'!AS25:AT25)+SUM('CSV5'!BK25:BM25)+SUM('CSV5'!BU25:BY25)+SUM('CSV5'!CH19:CI19)+SUM('CSV5'!CM19:CO19)+SUM('CSV5'!BE13:BF13)+SUM('CSV5'!BH13:BK13)+SUM('CSV5'!AK31:AL31)+SUM('CSV5'!BB31:BC31)+SUM('CSV5'!BP31:BQ31)</f>
        <v>0</v>
      </c>
      <c r="D90" s="55">
        <f>SUM('CSV5'!AS24:AT24)+SUM('CSV5'!BK24:BM24)+SUM('CSV5'!BU24:BY24)+SUM('CSV5'!CH18:CI18)+SUM('CSV5'!CM18:CO18)+SUM('CSV5'!BE12:BF12)+SUM('CSV5'!BH12:BK12)</f>
        <v>0</v>
      </c>
      <c r="E90" s="55">
        <f>SUM('CSV5'!AS23:AT23)+SUM('CSV5'!BK23:BM23)+SUM('CSV5'!BU23:BY23)+SUM('CSV5'!CH17:CI17)+SUM('CSV5'!CM17:CO17)+SUM('CSV5'!BE11:BF11)+SUM('CSV5'!BH11:BK11)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'CSV5'!AW25+'CSV5'!AS31</f>
        <v>0</v>
      </c>
      <c r="D93" s="55">
        <f>'CSV5'!AW24</f>
        <v>0</v>
      </c>
      <c r="E93" s="55">
        <f>'CSV5'!AW23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SUM('CSV5'!AX25:AZ25)+'CSV5'!AT31</f>
        <v>0</v>
      </c>
      <c r="D95" s="55">
        <f>SUM('CSV5'!AX24:AZ24)</f>
        <v>0</v>
      </c>
      <c r="E95" s="55">
        <f>SUM('CSV5'!AX23:AZ23)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-'CSV5'!AH25-'CSV5'!AO25+'CSV5'!CY25-'CSV5'!AB19+'CSV5'!CT19-'CSV5'!X13+'CSV5'!BP13-'CSV5'!AB31-'CSV5'!AN31+'CSV5'!DP31</f>
        <v>0</v>
      </c>
      <c r="D97" s="55">
        <f>-'CSV5'!AH24-'CSV5'!AO24+'CSV5'!CY24-'CSV5'!AB18+'CSV5'!CT18-'CSV5'!X12+'CSV5'!BP12</f>
        <v>0</v>
      </c>
      <c r="E97" s="55">
        <f>-'CSV5'!AH23-'CSV5'!AO23+'CSV5'!CY23-'CSV5'!AB17+'CSV5'!CT17-'CSV5'!X11+'CSV5'!BP11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1QQvVKk7w94Kq8UzRZVg8w1rQXiqDSxy4/QdB3uqFeEwffl7CE5XuT0Z9UZ5MnHZTuUhjcicOiAyrj/x5tmhNA==" saltValue="3zV2FMNIfZpFaXHPYZE2Og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6" priority="1" stopIfTrue="1" operator="lessThan">
      <formula>-0.2</formula>
    </cfRule>
    <cfRule type="cellIs" dxfId="25" priority="2" stopIfTrue="1" operator="lessThan">
      <formula>0</formula>
    </cfRule>
    <cfRule type="cellIs" dxfId="24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61"/>
      <c r="C3" s="561"/>
      <c r="D3" s="561"/>
      <c r="E3" s="561"/>
      <c r="F3" s="561"/>
      <c r="G3" s="561"/>
    </row>
    <row r="4" spans="1:10">
      <c r="A4" s="45" t="s">
        <v>597</v>
      </c>
      <c r="B4" s="561"/>
      <c r="C4" s="561"/>
      <c r="D4" s="561"/>
      <c r="E4" s="561"/>
      <c r="F4" s="561"/>
      <c r="G4" s="561"/>
    </row>
    <row r="5" spans="1:10">
      <c r="A5" s="45" t="s">
        <v>599</v>
      </c>
      <c r="B5" s="561"/>
      <c r="C5" s="561"/>
      <c r="D5" s="561"/>
      <c r="E5" s="561"/>
      <c r="F5" s="561"/>
      <c r="G5" s="561"/>
    </row>
    <row r="6" spans="1:10">
      <c r="A6" s="45" t="s">
        <v>601</v>
      </c>
      <c r="B6" s="561"/>
      <c r="C6" s="561"/>
      <c r="D6" s="561"/>
      <c r="E6" s="561"/>
      <c r="F6" s="561"/>
      <c r="G6" s="561"/>
    </row>
    <row r="7" spans="1:10" ht="25.5">
      <c r="A7" s="45" t="s">
        <v>603</v>
      </c>
      <c r="B7" s="563"/>
      <c r="C7" s="563"/>
      <c r="D7" s="563"/>
      <c r="E7" s="563"/>
      <c r="F7" s="563"/>
      <c r="G7" s="563"/>
    </row>
    <row r="8" spans="1:10">
      <c r="A8" s="45" t="s">
        <v>831</v>
      </c>
      <c r="B8" s="561"/>
      <c r="C8" s="561"/>
      <c r="D8" s="561"/>
      <c r="E8" s="561"/>
      <c r="F8" s="561"/>
      <c r="G8" s="561"/>
    </row>
    <row r="9" spans="1:10">
      <c r="A9" s="45" t="s">
        <v>832</v>
      </c>
      <c r="B9" s="564"/>
      <c r="C9" s="564"/>
      <c r="D9" s="564"/>
      <c r="E9" s="564"/>
      <c r="F9" s="564"/>
      <c r="G9" s="564"/>
    </row>
    <row r="10" spans="1:10">
      <c r="A10" s="46" t="s">
        <v>1025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'CSV6'!H6+'CSV6'!O6+'CSV6'!Q6+SUM('CSV6'!EM6:EN6)+SUM('CSV6'!GE6:GG6)</f>
        <v>0</v>
      </c>
      <c r="D15" s="55">
        <f>'CSV6'!H5+'CSV6'!O5+'CSV6'!Q5+SUM('CSV6'!EM5:EN5)+SUM('CSV6'!GE5:GG5)</f>
        <v>0</v>
      </c>
      <c r="E15" s="55">
        <f>'CSV6'!H4+'CSV6'!O4+'CSV6'!Q4+SUM('CSV6'!EM4:EN4)+SUM('CSV6'!GE4:GG4)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'CSV6'!V6</f>
        <v>0</v>
      </c>
      <c r="D17" s="55">
        <f>'CSV6'!V5</f>
        <v>0</v>
      </c>
      <c r="E17" s="55">
        <f>'CSV6'!V4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'CSV6'!U6</f>
        <v>0</v>
      </c>
      <c r="D18" s="55">
        <f>'CSV6'!U5</f>
        <v>0</v>
      </c>
      <c r="E18" s="55">
        <f>'CSV6'!U4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'CSV6'!ED6++'CSV6'!N6+'CSV6'!EH6+'CSV6'!EO6</f>
        <v>0</v>
      </c>
      <c r="D19" s="55">
        <f>'CSV6'!ED5+'CSV6'!N5+'CSV6'!EH5+'CSV6'!EO5</f>
        <v>0</v>
      </c>
      <c r="E19" s="55">
        <f>'CSV6'!ED4+'CSV6'!N4+'CSV6'!EH4+'CSV6'!EO4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'CSV6'!I6+'CSV6'!P6+'CSV6'!R6</f>
        <v>0</v>
      </c>
      <c r="D21" s="55">
        <f>'CSV6'!I5+'CSV6'!P5+'CSV6'!R5</f>
        <v>0</v>
      </c>
      <c r="E21" s="55">
        <f>'CSV6'!I4+'CSV6'!P4+'CSV6'!R4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'CSV6'!GH6</f>
        <v>0</v>
      </c>
      <c r="D22" s="57">
        <f>'CSV6'!GH5</f>
        <v>0</v>
      </c>
      <c r="E22" s="57">
        <f>'CSV6'!GH4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'CSV6'!K6+'CSV6'!L6+'CSV6'!W6+'CSV6'!X6</f>
        <v>0</v>
      </c>
      <c r="D24" s="55">
        <f>'CSV6'!K5+'CSV6'!L5+'CSV6'!W5+'CSV6'!X5</f>
        <v>0</v>
      </c>
      <c r="E24" s="55">
        <f>'CSV6'!K4+'CSV6'!L4+'CSV6'!W4+'CSV6'!X4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'CSV6'!Z6+'CSV6'!AA6+'CSV6'!AB6</f>
        <v>0</v>
      </c>
      <c r="D25" s="55">
        <f>'CSV6'!Z5+'CSV6'!AA5+'CSV6'!AB5</f>
        <v>0</v>
      </c>
      <c r="E25" s="55">
        <f>'CSV6'!Z4+'CSV6'!AA4+'CSV6'!AB4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'CSV6'!J6</f>
        <v>0</v>
      </c>
      <c r="D26" s="55">
        <f>'CSV6'!J5</f>
        <v>0</v>
      </c>
      <c r="E26" s="55">
        <f>'CSV6'!J4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'CSV6'!AK6+'CSV6'!AL6+'CSV6'!AM6</f>
        <v>0</v>
      </c>
      <c r="D29" s="55">
        <f>'CSV6'!AK5+'CSV6'!AL5+'CSV6'!AM5</f>
        <v>0</v>
      </c>
      <c r="E29" s="55">
        <f>'CSV6'!AK4+'CSV6'!AL4+'CSV6'!AM4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'CSV6'!AO6+'CSV6'!AP6+'CSV6'!AQ6+'CSV6'!AR6+'CSV6'!AS6+'CSV6'!AT6+'CSV6'!AU6+'CSV6'!AV6</f>
        <v>0</v>
      </c>
      <c r="D30" s="55">
        <f>'CSV6'!AO5+'CSV6'!AP5+'CSV6'!AQ5+'CSV6'!AR5+'CSV6'!AS5+'CSV6'!AT5+'CSV6'!AU5+'CSV6'!AV5</f>
        <v>0</v>
      </c>
      <c r="E30" s="55">
        <f>'CSV6'!AO4+'CSV6'!AP4+'CSV6'!AQ4+'CSV6'!AR4+'CSV6'!AS4+'CSV6'!AT4+'CSV6'!AU4+'CSV6'!AV4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'CSV6'!AF6+'CSV6'!AG6+'CSV6'!AH6</f>
        <v>0</v>
      </c>
      <c r="D31" s="55">
        <f>'CSV6'!AF5+'CSV6'!AG5+'CSV6'!AH5</f>
        <v>0</v>
      </c>
      <c r="E31" s="55">
        <f>'CSV6'!AF4+'CSV6'!AG4+'CSV6'!AH4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SUM('CSV6'!AX6:AZ6)+'CSV6'!BC6+'CSV6'!ED6-'CSV6'!EE6+'CSV6'!EH6-'CSV6'!EI6+'CSV6'!FN6+'CSV6'!FO6+SUM('CSV6'!FS6:FW6)</f>
        <v>0</v>
      </c>
      <c r="D32" s="55">
        <f>SUM('CSV6'!AX5:AZ5)+'CSV6'!BC5+'CSV6'!ED5-'CSV6'!EE5+'CSV6'!EH5-'CSV6'!EI5</f>
        <v>0</v>
      </c>
      <c r="E32" s="55">
        <f>SUM('CSV6'!AX4:AZ4)+'CSV6'!BC4+'CSV6'!ED4-'CSV6'!EE4+'CSV6'!EH4-'CSV6'!EI4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'CSV6'!Y6+'CSV6'!AC6+'CSV6'!AD6</f>
        <v>0</v>
      </c>
      <c r="D34" s="55">
        <f>'CSV6'!Y5+'CSV6'!AC5+'CSV6'!AD5</f>
        <v>0</v>
      </c>
      <c r="E34" s="55">
        <f>'CSV6'!Y4+'CSV6'!AC4+'CSV6'!AD4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SUM('CSV6'!BD6:BM6)+'CSV6'!BV6</f>
        <v>0</v>
      </c>
      <c r="D35" s="55">
        <f>SUM('CSV6'!BD5:BM5)+'CSV6'!BV5</f>
        <v>0</v>
      </c>
      <c r="E35" s="55">
        <f>SUM('CSV6'!BD4:BM4)+'CSV6'!BV4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SUM('CSV6'!BA6:BB6)+'CSV6'!BQ6+'CSV6'!BR6+'CSV6'!BS6+'CSV6'!BT6+SUM('CSV6'!BW6:BY6)+SUM('CSV6'!CH6:CI6)+SUM('CSV6'!CK6:CU6)+'CSV6'!DB6+'CSV6'!DD6+'CSV6'!DJ6+'CSV6'!EF6+'CSV6'!EJ6+SUM('CSV6'!EM6:EO6)-'CSV6'!EP6+'CSV6'!GA6</f>
        <v>0</v>
      </c>
      <c r="D36" s="55">
        <f>SUM('CSV6'!BA5:BB5)+'CSV6'!BQ5+'CSV6'!BR5+'CSV6'!BS5+'CSV6'!BT5+SUM('CSV6'!BW5:BY5)+SUM('CSV6'!CH5:CI5)+SUM('CSV6'!CK5:CU5)+'CSV6'!DB5+'CSV6'!DD5+'CSV6'!DJ5+'CSV6'!EF5+'CSV6'!EJ5+SUM('CSV6'!EM5:EO5)-'CSV6'!EP5</f>
        <v>0</v>
      </c>
      <c r="E36" s="55">
        <f>SUM('CSV6'!BA4:BB4)+'CSV6'!BQ4+'CSV6'!BR4+'CSV6'!BS4+'CSV6'!BT4+SUM('CSV6'!BW4:BY4)+SUM('CSV6'!CH4:CI4)+SUM('CSV6'!CK4:CU4)+'CSV6'!DB4+'CSV6'!DD4+'CSV6'!DJ4+'CSV6'!EF4+'CSV6'!EJ4+SUM('CSV6'!EM4:EO4)-'CSV6'!EP4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SUM('CSV6'!BZ6:CA6)+SUM('CSV6'!CB6,'CSV6'!CC6,'CSV6'!CE6,'CSV6'!CF6)+SUM('CSV6'!CV6:CZ6)</f>
        <v>0</v>
      </c>
      <c r="D37" s="55">
        <f>SUM('CSV6'!BZ5:CA5)+SUM('CSV6'!CB5,'CSV6'!CC5,'CSV6'!CE5,'CSV6'!CF5)+SUM('CSV6'!CV5:CZ5)</f>
        <v>0</v>
      </c>
      <c r="E37" s="55">
        <f>SUM('CSV6'!BZ4:CA4)+SUM('CSV6'!CB4,'CSV6'!CC4,'CSV6'!CE4,'CSV6'!CF4)+SUM('CSV6'!CV4:CZ4)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'CSV6'!DQ6+'CSV6'!FX6</f>
        <v>0</v>
      </c>
      <c r="D39" s="55">
        <f>'CSV6'!DQ5</f>
        <v>0</v>
      </c>
      <c r="E39" s="55">
        <f>'CSV6'!DQ4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SUM('CSV6'!DE6:DG6)+'CSV6'!DI6</f>
        <v>0</v>
      </c>
      <c r="D40" s="55">
        <f>SUM('CSV6'!DE5:DG5)+'CSV6'!DI5</f>
        <v>0</v>
      </c>
      <c r="E40" s="55">
        <f>SUM('CSV6'!DE4:DG4)+'CSV6'!DI4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'CSV6'!DM6+'CSV6'!DO6</f>
        <v>0</v>
      </c>
      <c r="D44" s="55">
        <f>'CSV6'!DM5+'CSV6'!DO5</f>
        <v>0</v>
      </c>
      <c r="E44" s="55">
        <f>'CSV6'!DM4+'CSV6'!DO4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'CSV6'!DL6+'CSV6'!DN6</f>
        <v>0</v>
      </c>
      <c r="D46" s="55">
        <f>'CSV6'!DL5+'CSV6'!DN5</f>
        <v>0</v>
      </c>
      <c r="E46" s="55">
        <f>'CSV6'!DL4+'CSV6'!DN4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'CSV6'!DC6</f>
        <v>0</v>
      </c>
      <c r="D48" s="55">
        <f>'CSV6'!DC5</f>
        <v>0</v>
      </c>
      <c r="E48" s="55">
        <f>'CSV6'!DC4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SUM('CSV6'!DS6:DT6)</f>
        <v>0</v>
      </c>
      <c r="D50" s="55">
        <f>SUM('CSV6'!DS5:DT5)</f>
        <v>0</v>
      </c>
      <c r="E50" s="55">
        <f>SUM('CSV6'!DS4:DT4)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SUM('CSV6'!DY6:DZ6)</f>
        <v>0</v>
      </c>
      <c r="D52" s="55">
        <f>SUM('CSV6'!DY5:DZ5)</f>
        <v>0</v>
      </c>
      <c r="E52" s="55">
        <f>SUM('CSV6'!DY4:DZ4)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'CSV6'!DX6</f>
        <v>0</v>
      </c>
      <c r="D53" s="55">
        <f>'CSV6'!DX5</f>
        <v>0</v>
      </c>
      <c r="E53" s="55">
        <f>'CSV6'!DX4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6" t="str">
        <f>IF($B$7&lt;&gt;"",CONCATENATE("31/03/",$B$7),"31/03/2020")</f>
        <v>31/03/2020</v>
      </c>
      <c r="D58" s="346" t="str">
        <f>IF($B$7&lt;&gt;"",CONCATENATE("31/03/",$B$7-1),"31/03/2019")</f>
        <v>31/03/2019</v>
      </c>
      <c r="E58" s="347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'CSV6'!I25+'CSV6'!J25+'CSV6'!I31+'CSV6'!J31</f>
        <v>0</v>
      </c>
      <c r="D59" s="55">
        <f>'CSV6'!I24+'CSV6'!J24</f>
        <v>0</v>
      </c>
      <c r="E59" s="55">
        <f>'CSV6'!I23+'CSV6'!J23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'CSV6'!H19+'CSV6'!H13+'CSV6'!H36+SUM('CSV6'!O36:U36)-SUM('CSV6'!H36:M36)</f>
        <v>0</v>
      </c>
      <c r="D60" s="55">
        <f>'CSV6'!H18+'CSV6'!H12+'CSV6'!H35+SUM('CSV6'!O35:U35)-SUM('CSV6'!H35:M35)</f>
        <v>0</v>
      </c>
      <c r="E60" s="55">
        <f>'CSV6'!H17+'CSV6'!H11+'CSV6'!H34+SUM('CSV6'!O34:U34)-SUM('CSV6'!H34:M34)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SUM('CSV6'!I13:L13)-'CSV6'!BQ13+SUM('CSV6'!I19:M19)-'CSV6'!CU19+SUM('CSV6'!L25:S25)+'CSV6'!U25+SUM('CSV6'!W25:X25)+SUM('CSV6'!L31:O31)+'CSV6'!Q31</f>
        <v>0</v>
      </c>
      <c r="D61" s="55">
        <f>SUM('CSV6'!I12:L12)-'CSV6'!BQ12+SUM('CSV6'!I18:M18)-'CSV6'!CU18+SUM('CSV6'!L24:S24)+'CSV6'!U24+SUM('CSV6'!W24:X24)</f>
        <v>0</v>
      </c>
      <c r="E61" s="55">
        <f>SUM('CSV6'!I11:L11)-'CSV6'!BQ11+SUM('CSV6'!I17:M17)-'CSV6'!CU17+SUM('CSV6'!L23:S23)+'CSV6'!U23+SUM('CSV6'!W23:X23)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'CSV6'!CS19+'CSV6'!BO13</f>
        <v>0</v>
      </c>
      <c r="D62" s="55">
        <f>'CSV6'!CS18+'CSV6'!BO12</f>
        <v>0</v>
      </c>
      <c r="E62" s="55">
        <f>'CSV6'!CS17+'CSV6'!BO11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'CSV6'!AK25+'CSV6'!BC25+'CSV6'!AC19+'CSV6'!AC31+'CSV6'!AD31+'CSV6'!AF31+'CSV6'!AG31+'CSV6'!AO31+SUM('CSV6'!AV31:AX31)+'CSV6'!BM31</f>
        <v>0</v>
      </c>
      <c r="D64" s="55">
        <f>'CSV6'!AK24+'CSV6'!BC24+'CSV6'!AC18</f>
        <v>0</v>
      </c>
      <c r="E64" s="55">
        <f>'CSV6'!AK23+'CSV6'!BC23+'CSV6'!AC17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'CSV6'!DB25+'CSV6'!EP25+'CSV6'!DG31</f>
        <v>0</v>
      </c>
      <c r="D65" s="55">
        <f>'CSV6'!DB24+'CSV6'!EP24</f>
        <v>0</v>
      </c>
      <c r="E65" s="55">
        <f>'CSV6'!DB23+'CSV6'!EP23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SUM('CSV6'!Z25:AA25)+SUM('CSV6'!AC25:AE25)+SUM('CSV6'!P19:R19)+SUM('CSV6'!O13:Q13)+'CSV6'!I36+SUM('CSV6'!T31:U31)+SUM('CSV6'!W31:Y31)</f>
        <v>0</v>
      </c>
      <c r="D67" s="55">
        <f>SUM('CSV6'!Z24:AA24)+SUM('CSV6'!AC24:AE24)+SUM('CSV6'!P18:R18)+SUM('CSV6'!O12:Q12)+'CSV6'!I35</f>
        <v>0</v>
      </c>
      <c r="E67" s="55">
        <f>SUM('CSV6'!Z23:AA23)+SUM('CSV6'!AC23:AE23)+SUM('CSV6'!P17:R17)+SUM('CSV6'!O11:Q11)+'CSV6'!I34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'CSV6'!AL25+'CSV6'!BD25+SUM('CSV6'!U19:X19)+SUM('CSV6'!T13:U13)+'CSV6'!J36</f>
        <v>0</v>
      </c>
      <c r="D68" s="55">
        <f>'CSV6'!AL24+'CSV6'!BD24+SUM('CSV6'!U18:X18)+SUM('CSV6'!T12:U12)+'CSV6'!J35</f>
        <v>0</v>
      </c>
      <c r="E68" s="55">
        <f>'CSV6'!AL23+'CSV6'!BD23+SUM('CSV6'!U17:X17)+SUM('CSV6'!T11:U11)+'CSV6'!J34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'CSV6'!CC25+'CSV6'!CG25+'CSV6'!AG19+'CSV6'!Z13+SUM('CSV6'!CK25:CL25)+'CSV6'!AC13+'CSV6'!AJ19+'CSV6'!BV31+'CSV6'!BZ31+'CSV6'!CE31+'CSV6'!CI31+'CSV6'!CM31+'CSV6'!CN31</f>
        <v>0</v>
      </c>
      <c r="D71" s="55">
        <f>'CSV6'!CC24+'CSV6'!CG24+'CSV6'!AG18+'CSV6'!Z12+SUM('CSV6'!CK24:CL24)+'CSV6'!AC12+'CSV6'!AJ18</f>
        <v>0</v>
      </c>
      <c r="E71" s="55">
        <f>'CSV6'!CC23+'CSV6'!CG23+'CSV6'!AG17+'CSV6'!Z11+SUM('CSV6'!CK23:CL23)+'CSV6'!AC11+'CSV6'!AJ17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'CSV6'!CF25+'CSV6'!CJ25+'CSV6'!AI19+'CSV6'!AB13+SUM('CSV6'!CK25:CL25)+'CSV6'!AC13+'CSV6'!AJ19+'CSV6'!O36+'CSV6'!BY31+'CSV6'!BZ31+'CSV6'!CG31+'CSV6'!CL31+'CSV6'!CM31+'CSV6'!CP31</f>
        <v>0</v>
      </c>
      <c r="D72" s="55">
        <f>'CSV6'!CF24+'CSV6'!CJ24+'CSV6'!AI18+'CSV6'!AB12+SUM('CSV6'!CK24:CL24)+'CSV6'!AC12+'CSV6'!AJ18+'CSV6'!O35</f>
        <v>0</v>
      </c>
      <c r="E72" s="55">
        <f>'CSV6'!CF23+'CSV6'!CJ23+'CSV6'!AI17+'CSV6'!AB11+SUM('CSV6'!CK23:CL23)+'CSV6'!AC11+'CSV6'!AJ17+'CSV6'!O34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6'!CN25+'CSV6'!CO25+'CSV6'!CP25+SUM('CSV6'!CR25:CW25)+'CSV6'!DA25+SUM('CSV6'!DP25:DQ25)+SUM('CSV6'!DS25:DX25)+SUM('CSV6'!AL19:AN19)+SUM('CSV6'!AP19:AT19)+SUM('CSV6'!AV19:AW19)+SUM('CSV6'!AY19:BC19)+'CSV6'!BX19+SUM('CSV6'!AE13:AF13)+SUM('CSV6'!AH13:AJ13)+'CSV6'!AY13+SUM('CSV6'!CR31:CS31)+SUM('CSV6'!CU31:CZ31)+'CSV6'!DF31+SUM('CSV6'!EG31:EH31)+SUM('CSV6'!EJ31:EO31)+'CSV6'!CD31</f>
        <v>0</v>
      </c>
      <c r="D73" s="55">
        <f>'CSV6'!CN24+'CSV6'!CO24+'CSV6'!CP24+SUM('CSV6'!CR24:CW24)+'CSV6'!DA24+SUM('CSV6'!DP24:DQ24)+SUM('CSV6'!DS24:DX24)+SUM('CSV6'!AL18:AN18)+SUM('CSV6'!AP18:AT18)+SUM('CSV6'!AV18:AW18)+SUM('CSV6'!AY18:BC18)+'CSV6'!BX18+SUM('CSV6'!AE12:AF12)+SUM('CSV6'!AH12:AJ12)+'CSV6'!AY12</f>
        <v>0</v>
      </c>
      <c r="E73" s="55">
        <f>'CSV6'!CN23+'CSV6'!CO23+'CSV6'!CP23+SUM('CSV6'!CR23:CW23)+'CSV6'!DA23+SUM('CSV6'!DP23:DQ23)+SUM('CSV6'!DS23:DX23)+SUM('CSV6'!AL17:AN17)+SUM('CSV6'!AP17:AT17)+SUM('CSV6'!AV17:AW17)+SUM('CSV6'!AY17:BC17)+'CSV6'!BX17+SUM('CSV6'!AE11:AF11)+SUM('CSV6'!AH11:AJ11)+'CSV6'!AY11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5" t="s">
        <v>904</v>
      </c>
      <c r="B76" s="54"/>
      <c r="C76" s="55">
        <f>'CSV6'!DZ25+'CSV6'!BF19+'CSV6'!AN13+'CSV6'!DX31</f>
        <v>0</v>
      </c>
      <c r="D76" s="55">
        <f>'CSV6'!DZ24+'CSV6'!BF18+'CSV6'!AN12</f>
        <v>0</v>
      </c>
      <c r="E76" s="55">
        <f>'CSV6'!DZ23+'CSV6'!BF17+'CSV6'!AN11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5" t="s">
        <v>905</v>
      </c>
      <c r="B77" s="54"/>
      <c r="C77" s="55">
        <f>SUM('CSV6'!ED25:EE25)+SUM('CSV6'!BJ19:BK19)+'CSV6'!AM13+SUM('CSV6'!EB31:EC31)</f>
        <v>0</v>
      </c>
      <c r="D77" s="55">
        <f>SUM('CSV6'!ED24:EE24)+SUM('CSV6'!BJ18:BK18)+'CSV6'!AM12</f>
        <v>0</v>
      </c>
      <c r="E77" s="55">
        <f>SUM('CSV6'!ED23:EE23)+SUM('CSV6'!BJ17:BK17)+'CSV6'!AM11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5" t="s">
        <v>906</v>
      </c>
      <c r="B78" s="54"/>
      <c r="C78" s="55">
        <f>'CSV6'!EA25+'CSV6'!BG19+'CSV6'!AO13+'CSV6'!DY31</f>
        <v>0</v>
      </c>
      <c r="D78" s="55">
        <f>'CSV6'!EA24+'CSV6'!BG18+'CSV6'!AO12</f>
        <v>0</v>
      </c>
      <c r="E78" s="55">
        <f>'CSV6'!EA23+'CSV6'!BG17+'CSV6'!AO11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5" t="s">
        <v>907</v>
      </c>
      <c r="B79" s="54"/>
      <c r="C79" s="55">
        <f>SUM('CSV6'!EB25:EC25)+'CSV6'!EF25+SUM('CSV6'!BH19:BI19)+'CSV6'!BL19+'CSV6'!AP13+'CSV6'!P36+SUM('CSV6'!DZ31:EA31)+'CSV6'!EE31</f>
        <v>0</v>
      </c>
      <c r="D79" s="55">
        <f>SUM('CSV6'!EB24:EC24)+'CSV6'!EF24+SUM('CSV6'!BH18:BI18)+'CSV6'!BL18+'CSV6'!AP12+'CSV6'!P35</f>
        <v>0</v>
      </c>
      <c r="E79" s="55">
        <f>SUM('CSV6'!EB23:EC23)+'CSV6'!EF23+SUM('CSV6'!BH17:BI17)+'CSV6'!BL17+'CSV6'!AP11+'CSV6'!P34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5" t="s">
        <v>909</v>
      </c>
      <c r="B81" s="54"/>
      <c r="C81" s="55">
        <f>SUM('CSV6'!DH25:DI25)+'CSV6'!EI25+'CSV6'!BO19+'CSV6'!AR13+'CSV6'!Q36+SUM('CSV6'!DB31:DC31)+SUM('CSV6'!DM31:DN31)+SUM('CSV6'!EQ31:ER31)</f>
        <v>0</v>
      </c>
      <c r="D81" s="55">
        <f>SUM('CSV6'!DH24:DI24)+'CSV6'!EI24+'CSV6'!BO18+'CSV6'!AR12+'CSV6'!Q35</f>
        <v>0</v>
      </c>
      <c r="E81" s="55">
        <f>SUM('CSV6'!DH23:DI23)+'CSV6'!EI23+'CSV6'!BO17+'CSV6'!AR11+'CSV6'!Q34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5" t="s">
        <v>910</v>
      </c>
      <c r="B82" s="54"/>
      <c r="C82" s="55">
        <f>'CSV6'!DJ25+'CSV6'!DL25+'CSV6'!EH25+'CSV6'!BN19+'CSV6'!DD31+'CSV6'!ES31</f>
        <v>0</v>
      </c>
      <c r="D82" s="55">
        <f>'CSV6'!DJ24+'CSV6'!DL24+'CSV6'!EH24+'CSV6'!BN18</f>
        <v>0</v>
      </c>
      <c r="E82" s="55">
        <f>'CSV6'!DJ23+'CSV6'!DL23+'CSV6'!EH23+'CSV6'!BN17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'CSV6'!CZ25+'CSV6'!DC25+'CSV6'!EQ25+'CSV6'!EV25+'CSV6'!BU19+'CSV6'!BW19+'CSV6'!AV13+'CSV6'!AX13+'CSV6'!T36+'CSV6'!U36+'CSV6'!DH31+SUM('CSV6'!DQ31:DS31)+SUM('CSV6'!FB31:FD31)+'CSV6'!FI31+SUM('CSV6'!FL31:FM31)+'CSV6'!FK31</f>
        <v>0</v>
      </c>
      <c r="D83" s="55">
        <f>'CSV6'!CZ24+'CSV6'!DC24+'CSV6'!EQ24+'CSV6'!EV24+'CSV6'!BU18+'CSV6'!BW18+'CSV6'!AV12+'CSV6'!AX12+'CSV6'!T35+'CSV6'!U35</f>
        <v>0</v>
      </c>
      <c r="E83" s="55">
        <f>'CSV6'!CZ23+'CSV6'!DC23+'CSV6'!EQ23+'CSV6'!EV23+'CSV6'!BU17+'CSV6'!BW17+'CSV6'!AV11+'CSV6'!AX11+'CSV6'!T34+'CSV6'!U34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SUM('CSV6'!EK25:EN25)+SUM('CSV6'!BQ19:BS19)+SUM('CSV6'!AS13:AT13)+'CSV6'!BW13+'CSV6'!S36+'CSV6'!R36+SUM('CSV6'!EV31:EY31)+'CSV6'!FA31</f>
        <v>0</v>
      </c>
      <c r="D84" s="55">
        <f>SUM('CSV6'!EK24:EN24)+SUM('CSV6'!BQ18:BS18)+SUM('CSV6'!AS12:AT12)+'CSV6'!BW12+'CSV6'!S35+'CSV6'!R35</f>
        <v>0</v>
      </c>
      <c r="E84" s="55">
        <f>SUM('CSV6'!EK23:EN23)+SUM('CSV6'!BQ17:BS17)+SUM('CSV6'!AS11:AT11)+'CSV6'!BW11+'CSV6'!S34+'CSV6'!R34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'CSV6'!BY19+'CSV6'!AZ13</f>
        <v>0</v>
      </c>
      <c r="D85" s="55">
        <f>'CSV6'!BY18+'CSV6'!AZ12</f>
        <v>0</v>
      </c>
      <c r="E85" s="55">
        <f>'CSV6'!BY17+'CSV6'!AZ11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'CSV6'!AP25+SUM('CSV6'!BG25:BH25)+SUM('CSV6'!CD19:CE19)+'CSV6'!BC13+'CSV6'!BU13+'CSV6'!L36+'CSV6'!AI31+'CSV6'!AZ31</f>
        <v>0</v>
      </c>
      <c r="D87" s="55">
        <f>'CSV6'!AP24+SUM('CSV6'!BG24:BH24)+SUM('CSV6'!CD18:CE18)+'CSV6'!BC12+'CSV6'!BU12+'CSV6'!L35</f>
        <v>0</v>
      </c>
      <c r="E87" s="55">
        <f>'CSV6'!AP23+SUM('CSV6'!BG23:BH23)+SUM('CSV6'!CD17:CE17)+'CSV6'!BC11+'CSV6'!BU11+'CSV6'!L34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'CSV6'!AQ25+'CSV6'!BN25+'CSV6'!AD19+'CSV6'!CJ19+'CSV6'!AJ31+'CSV6'!BL31</f>
        <v>0</v>
      </c>
      <c r="D88" s="55">
        <f>'CSV6'!AQ24+'CSV6'!BN24+'CSV6'!AD18+'CSV6'!CJ18</f>
        <v>0</v>
      </c>
      <c r="E88" s="55">
        <f>'CSV6'!AQ23+'CSV6'!BN23+'CSV6'!AD17+'CSV6'!CJ17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SUM('CSV6'!AI25:AJ25)+'CSV6'!AM25+'CSV6'!BB25+'CSV6'!BE25+'CSV6'!BJ25+'CSV6'!BO25+'CSV6'!BP25+'CSV6'!BQ25+'CSV6'!BR25+'CSV6'!BS25+'CSV6'!CG19+'CSV6'!CK19+'CSV6'!BD13+'CSV6'!K36+'CSV6'!M36+'CSV6'!AP31+'CSV6'!BA31+SUM('CSV6'!BE31:BI31)+'CSV6'!BN31+'CSV6'!AE31+'CSV6'!BS31</f>
        <v>0</v>
      </c>
      <c r="D89" s="55">
        <f>SUM('CSV6'!AI24:AJ24)+'CSV6'!AM24+'CSV6'!BB24+'CSV6'!BE24+'CSV6'!BJ24+'CSV6'!BO24+'CSV6'!BP24+'CSV6'!BQ24+'CSV6'!BR24+'CSV6'!BS24+'CSV6'!CG18+'CSV6'!CK18+'CSV6'!BD12+'CSV6'!K35+'CSV6'!M35</f>
        <v>0</v>
      </c>
      <c r="E89" s="55">
        <f>SUM('CSV6'!AI23:AJ23)+'CSV6'!AM23+'CSV6'!BB23+'CSV6'!BE23+'CSV6'!BJ23+'CSV6'!BO23+'CSV6'!BP23+'CSV6'!BQ23+'CSV6'!BR23+'CSV6'!BS23+'CSV6'!CG17+'CSV6'!CK17+'CSV6'!BD11+'CSV6'!K34+'CSV6'!M34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SUM('CSV6'!AS25:AT25)+SUM('CSV6'!BK25:BM25)+SUM('CSV6'!BU25:BY25)+SUM('CSV6'!CH19:CI19)+SUM('CSV6'!CM19:CO19)+SUM('CSV6'!BE13:BF13)+SUM('CSV6'!BH13:BK13)+SUM('CSV6'!AK31:AL31)+SUM('CSV6'!BB31:BC31)+SUM('CSV6'!BP31:BQ31)</f>
        <v>0</v>
      </c>
      <c r="D90" s="55">
        <f>SUM('CSV6'!AS24:AT24)+SUM('CSV6'!BK24:BM24)+SUM('CSV6'!BU24:BY24)+SUM('CSV6'!CH18:CI18)+SUM('CSV6'!CM18:CO18)+SUM('CSV6'!BE12:BF12)+SUM('CSV6'!BH12:BK12)</f>
        <v>0</v>
      </c>
      <c r="E90" s="55">
        <f>SUM('CSV6'!AS23:AT23)+SUM('CSV6'!BK23:BM23)+SUM('CSV6'!BU23:BY23)+SUM('CSV6'!CH17:CI17)+SUM('CSV6'!CM17:CO17)+SUM('CSV6'!BE11:BF11)+SUM('CSV6'!BH11:BK11)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'CSV6'!AW25+'CSV6'!AS31</f>
        <v>0</v>
      </c>
      <c r="D93" s="55">
        <f>'CSV6'!AW24</f>
        <v>0</v>
      </c>
      <c r="E93" s="55">
        <f>'CSV6'!AW23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SUM('CSV6'!AX25:AZ25)+'CSV6'!AT31</f>
        <v>0</v>
      </c>
      <c r="D95" s="55">
        <f>SUM('CSV6'!AX24:AZ24)</f>
        <v>0</v>
      </c>
      <c r="E95" s="55">
        <f>SUM('CSV6'!AX23:AZ23)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-'CSV6'!AH25-'CSV6'!AO25+'CSV6'!CY25-'CSV6'!AB19+'CSV6'!CT19-'CSV6'!X13+'CSV6'!BP13-'CSV6'!AB31-'CSV6'!AN31+'CSV6'!DP31</f>
        <v>0</v>
      </c>
      <c r="D97" s="55">
        <f>-'CSV6'!AH24-'CSV6'!AO24+'CSV6'!CY24-'CSV6'!AB18+'CSV6'!CT18-'CSV6'!X12+'CSV6'!BP12</f>
        <v>0</v>
      </c>
      <c r="E97" s="55">
        <f>-'CSV6'!AH23-'CSV6'!AO23+'CSV6'!CY23-'CSV6'!AB17+'CSV6'!CT17-'CSV6'!X11+'CSV6'!BP11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QseowXIPh0SVD7sEc16vmE6PL7RdVBP/ov49+bcKT8cWDoHWXngnaHigsfQVYXMXgT0lLc7bBtHyHRfWxyoPZA==" saltValue="Mopt+n2uueyk/vor0y2se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3" priority="1" stopIfTrue="1" operator="lessThan">
      <formula>-0.2</formula>
    </cfRule>
    <cfRule type="cellIs" dxfId="22" priority="2" stopIfTrue="1" operator="lessThan">
      <formula>0</formula>
    </cfRule>
    <cfRule type="cellIs" dxfId="21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61"/>
      <c r="C3" s="561"/>
      <c r="D3" s="561"/>
      <c r="E3" s="561"/>
      <c r="F3" s="561"/>
      <c r="G3" s="561"/>
    </row>
    <row r="4" spans="1:10">
      <c r="A4" s="45" t="s">
        <v>597</v>
      </c>
      <c r="B4" s="561"/>
      <c r="C4" s="561"/>
      <c r="D4" s="561"/>
      <c r="E4" s="561"/>
      <c r="F4" s="561"/>
      <c r="G4" s="561"/>
    </row>
    <row r="5" spans="1:10">
      <c r="A5" s="45" t="s">
        <v>599</v>
      </c>
      <c r="B5" s="561"/>
      <c r="C5" s="561"/>
      <c r="D5" s="561"/>
      <c r="E5" s="561"/>
      <c r="F5" s="561"/>
      <c r="G5" s="561"/>
    </row>
    <row r="6" spans="1:10">
      <c r="A6" s="45" t="s">
        <v>601</v>
      </c>
      <c r="B6" s="561"/>
      <c r="C6" s="561"/>
      <c r="D6" s="561"/>
      <c r="E6" s="561"/>
      <c r="F6" s="561"/>
      <c r="G6" s="561"/>
    </row>
    <row r="7" spans="1:10" ht="25.5">
      <c r="A7" s="45" t="s">
        <v>603</v>
      </c>
      <c r="B7" s="563"/>
      <c r="C7" s="563"/>
      <c r="D7" s="563"/>
      <c r="E7" s="563"/>
      <c r="F7" s="563"/>
      <c r="G7" s="563"/>
    </row>
    <row r="8" spans="1:10">
      <c r="A8" s="45" t="s">
        <v>831</v>
      </c>
      <c r="B8" s="561"/>
      <c r="C8" s="561"/>
      <c r="D8" s="561"/>
      <c r="E8" s="561"/>
      <c r="F8" s="561"/>
      <c r="G8" s="561"/>
    </row>
    <row r="9" spans="1:10">
      <c r="A9" s="45" t="s">
        <v>832</v>
      </c>
      <c r="B9" s="564"/>
      <c r="C9" s="564"/>
      <c r="D9" s="564"/>
      <c r="E9" s="564"/>
      <c r="F9" s="564"/>
      <c r="G9" s="564"/>
    </row>
    <row r="10" spans="1:10">
      <c r="A10" s="46" t="s">
        <v>1025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'CSV7'!H6+'CSV7'!O6+'CSV7'!Q6+SUM('CSV7'!EM6:EN6)+SUM('CSV7'!GE6:GG6)</f>
        <v>0</v>
      </c>
      <c r="D15" s="55">
        <f>'CSV7'!H5+'CSV7'!O5+'CSV7'!Q5+SUM('CSV7'!EM5:EN5)+SUM('CSV7'!GE5:GG5)</f>
        <v>0</v>
      </c>
      <c r="E15" s="55">
        <f>'CSV7'!H4+'CSV7'!O4+'CSV7'!Q4+SUM('CSV7'!EM4:EN4)+SUM('CSV7'!GE4:GG4)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4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'CSV7'!V6</f>
        <v>0</v>
      </c>
      <c r="D17" s="55">
        <f>'CSV7'!V5</f>
        <v>0</v>
      </c>
      <c r="E17" s="55">
        <f>'CSV7'!V4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'CSV7'!U6</f>
        <v>0</v>
      </c>
      <c r="D18" s="55">
        <f>'CSV7'!U5</f>
        <v>0</v>
      </c>
      <c r="E18" s="55">
        <f>'CSV7'!U4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'CSV7'!ED6++'CSV7'!N6+'CSV7'!EH6+'CSV7'!EO6</f>
        <v>0</v>
      </c>
      <c r="D19" s="55">
        <f>'CSV7'!ED5+'CSV7'!N5+'CSV7'!EH5+'CSV7'!EO5</f>
        <v>0</v>
      </c>
      <c r="E19" s="55">
        <f>'CSV7'!ED4+'CSV7'!N4+'CSV7'!EH4+'CSV7'!EO4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'CSV7'!I6+'CSV7'!P6+'CSV7'!R6</f>
        <v>0</v>
      </c>
      <c r="D21" s="55">
        <f>'CSV7'!I5+'CSV7'!P5+'CSV7'!R5</f>
        <v>0</v>
      </c>
      <c r="E21" s="55">
        <f>'CSV7'!I4+'CSV7'!P4+'CSV7'!R4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'CSV7'!GH6</f>
        <v>0</v>
      </c>
      <c r="D22" s="57">
        <f>'CSV7'!GH5</f>
        <v>0</v>
      </c>
      <c r="E22" s="57">
        <f>'CSV7'!GH4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'CSV7'!K6+'CSV7'!L6+'CSV7'!W6+'CSV7'!X6</f>
        <v>0</v>
      </c>
      <c r="D24" s="55">
        <f>'CSV7'!K5+'CSV7'!L5+'CSV7'!W5+'CSV7'!X5</f>
        <v>0</v>
      </c>
      <c r="E24" s="55">
        <f>'CSV7'!K4+'CSV7'!L4+'CSV7'!W4+'CSV7'!X4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'CSV7'!Z6+'CSV7'!AA6+'CSV7'!AB6</f>
        <v>0</v>
      </c>
      <c r="D25" s="55">
        <f>'CSV7'!Z5+'CSV7'!AA5+'CSV7'!AB5</f>
        <v>0</v>
      </c>
      <c r="E25" s="55">
        <f>'CSV7'!Z4+'CSV7'!AA4+'CSV7'!AB4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'CSV7'!J6</f>
        <v>0</v>
      </c>
      <c r="D26" s="55">
        <f>'CSV7'!J5</f>
        <v>0</v>
      </c>
      <c r="E26" s="55">
        <f>'CSV7'!J4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'CSV7'!AK6+'CSV7'!AL6+'CSV7'!AM6</f>
        <v>0</v>
      </c>
      <c r="D29" s="55">
        <f>'CSV7'!AK5+'CSV7'!AL5+'CSV7'!AM5</f>
        <v>0</v>
      </c>
      <c r="E29" s="55">
        <f>'CSV7'!AK4+'CSV7'!AL4+'CSV7'!AM4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'CSV7'!AO6+'CSV7'!AP6+'CSV7'!AQ6+'CSV7'!AR6+'CSV7'!AS6+'CSV7'!AT6+'CSV7'!AU6+'CSV7'!AV6</f>
        <v>0</v>
      </c>
      <c r="D30" s="55">
        <f>'CSV7'!AO5+'CSV7'!AP5+'CSV7'!AQ5+'CSV7'!AR5+'CSV7'!AS5+'CSV7'!AT5+'CSV7'!AU5+'CSV7'!AV5</f>
        <v>0</v>
      </c>
      <c r="E30" s="55">
        <f>'CSV7'!AO4+'CSV7'!AP4+'CSV7'!AQ4+'CSV7'!AR4+'CSV7'!AS4+'CSV7'!AT4+'CSV7'!AU4+'CSV7'!AV4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'CSV7'!AF6+'CSV7'!AG6+'CSV7'!AH6</f>
        <v>0</v>
      </c>
      <c r="D31" s="55">
        <f>'CSV7'!AF5+'CSV7'!AG5+'CSV7'!AH5</f>
        <v>0</v>
      </c>
      <c r="E31" s="55">
        <f>'CSV7'!AF4+'CSV7'!AG4+'CSV7'!AH4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SUM('CSV7'!AX6:AZ6)+'CSV7'!BC6+'CSV7'!ED6-'CSV7'!EE6+'CSV7'!EH6-'CSV7'!EI6+'CSV7'!FN6+'CSV7'!FO6+SUM('CSV7'!FS6:FW6)</f>
        <v>0</v>
      </c>
      <c r="D32" s="55">
        <f>SUM('CSV7'!AX5:AZ5)+'CSV7'!BC5+'CSV7'!ED5-'CSV7'!EE5+'CSV7'!EH5-'CSV7'!EI5</f>
        <v>0</v>
      </c>
      <c r="E32" s="55">
        <f>SUM('CSV7'!AX4:AZ4)+'CSV7'!BC4+'CSV7'!ED4-'CSV7'!EE4+'CSV7'!EH4-'CSV7'!EI4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'CSV7'!Y6+'CSV7'!AC6+'CSV7'!AD6</f>
        <v>0</v>
      </c>
      <c r="D34" s="55">
        <f>'CSV7'!Y5+'CSV7'!AC5+'CSV7'!AD5</f>
        <v>0</v>
      </c>
      <c r="E34" s="55">
        <f>'CSV7'!Y4+'CSV7'!AC4+'CSV7'!AD4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SUM('CSV7'!BD6:BM6)+'CSV7'!BV6</f>
        <v>0</v>
      </c>
      <c r="D35" s="55">
        <f>SUM('CSV7'!BD5:BM5)+'CSV7'!BV5</f>
        <v>0</v>
      </c>
      <c r="E35" s="55">
        <f>SUM('CSV7'!BD4:BM4)+'CSV7'!BV4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SUM('CSV7'!BA6:BB6)+'CSV7'!BQ6+'CSV7'!BR6+'CSV7'!BS6+'CSV7'!BT6+SUM('CSV7'!BW6:BY6)+SUM('CSV7'!CH6:CI6)+SUM('CSV7'!CK6:CU6)+'CSV7'!DB6+'CSV7'!DD6+'CSV7'!DJ6+'CSV7'!EF6+'CSV7'!EJ6+SUM('CSV7'!EM6:EO6)-'CSV7'!EP6+'CSV7'!GA6</f>
        <v>0</v>
      </c>
      <c r="D36" s="55">
        <f>SUM('CSV7'!BA5:BB5)+'CSV7'!BQ5+'CSV7'!BR5+'CSV7'!BS5+'CSV7'!BT5+SUM('CSV7'!BW5:BY5)+SUM('CSV7'!CH5:CI5)+SUM('CSV7'!CK5:CU5)+'CSV7'!DB5+'CSV7'!DD5+'CSV7'!DJ5+'CSV7'!EF5+'CSV7'!EJ5+SUM('CSV7'!EM5:EO5)-'CSV7'!EP5</f>
        <v>0</v>
      </c>
      <c r="E36" s="55">
        <f>SUM('CSV7'!BA4:BB4)+'CSV7'!BQ4+'CSV7'!BR4+'CSV7'!BS4+'CSV7'!BT4+SUM('CSV7'!BW4:BY4)+SUM('CSV7'!CH4:CI4)+SUM('CSV7'!CK4:CU4)+'CSV7'!DB4+'CSV7'!DD4+'CSV7'!DJ4+'CSV7'!EF4+'CSV7'!EJ4+SUM('CSV7'!EM4:EO4)-'CSV7'!EP4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SUM('CSV7'!BZ6:CA6)+SUM('CSV7'!CB6,'CSV7'!CC6,'CSV7'!CE6,'CSV7'!CF6)+SUM('CSV7'!CV6:CZ6)</f>
        <v>0</v>
      </c>
      <c r="D37" s="55">
        <f>SUM('CSV7'!BZ5:CA5)+SUM('CSV7'!CB5,'CSV7'!CC5,'CSV7'!CE5,'CSV7'!CF5)+SUM('CSV7'!CV5:CZ5)</f>
        <v>0</v>
      </c>
      <c r="E37" s="55">
        <f>SUM('CSV7'!BZ4:CA4)+SUM('CSV7'!CB4,'CSV7'!CC4,'CSV7'!CE4,'CSV7'!CF4)+SUM('CSV7'!CV4:CZ4)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'CSV7'!DQ6+'CSV7'!FX6</f>
        <v>0</v>
      </c>
      <c r="D39" s="55">
        <f>'CSV7'!DQ5</f>
        <v>0</v>
      </c>
      <c r="E39" s="55">
        <f>'CSV7'!DQ4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SUM('CSV7'!DE6:DG6)+'CSV7'!DI6</f>
        <v>0</v>
      </c>
      <c r="D40" s="55">
        <f>SUM('CSV7'!DE5:DG5)+'CSV7'!DI5</f>
        <v>0</v>
      </c>
      <c r="E40" s="55">
        <f>SUM('CSV7'!DE4:DG4)+'CSV7'!DI4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'CSV7'!DM6+'CSV7'!DO6</f>
        <v>0</v>
      </c>
      <c r="D44" s="55">
        <f>'CSV7'!DM5+'CSV7'!DO5</f>
        <v>0</v>
      </c>
      <c r="E44" s="55">
        <f>'CSV7'!DM4+'CSV7'!DO4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'CSV7'!DL6+'CSV7'!DN6</f>
        <v>0</v>
      </c>
      <c r="D46" s="55">
        <f>'CSV7'!DL5+'CSV7'!DN5</f>
        <v>0</v>
      </c>
      <c r="E46" s="55">
        <f>'CSV7'!DL4+'CSV7'!DN4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'CSV7'!DC6</f>
        <v>0</v>
      </c>
      <c r="D48" s="55">
        <f>'CSV7'!DC5</f>
        <v>0</v>
      </c>
      <c r="E48" s="55">
        <f>'CSV7'!DC4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SUM('CSV7'!DS6:DT6)</f>
        <v>0</v>
      </c>
      <c r="D50" s="55">
        <f>SUM('CSV7'!DS5:DT5)</f>
        <v>0</v>
      </c>
      <c r="E50" s="55">
        <f>SUM('CSV7'!DS4:DT4)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SUM('CSV7'!DY6:DZ6)</f>
        <v>0</v>
      </c>
      <c r="D52" s="55">
        <f>SUM('CSV7'!DY5:DZ5)</f>
        <v>0</v>
      </c>
      <c r="E52" s="55">
        <f>SUM('CSV7'!DY4:DZ4)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'CSV7'!DX6</f>
        <v>0</v>
      </c>
      <c r="D53" s="55">
        <f>'CSV7'!DX5</f>
        <v>0</v>
      </c>
      <c r="E53" s="55">
        <f>'CSV7'!DX4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6" t="str">
        <f>IF($B$7&lt;&gt;"",CONCATENATE("31/03/",$B$7),"31/03/2020")</f>
        <v>31/03/2020</v>
      </c>
      <c r="D58" s="346" t="str">
        <f>IF($B$7&lt;&gt;"",CONCATENATE("31/03/",$B$7-1),"31/03/2019")</f>
        <v>31/03/2019</v>
      </c>
      <c r="E58" s="347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'CSV7'!I25+'CSV7'!J25+'CSV7'!I31+'CSV7'!J31</f>
        <v>0</v>
      </c>
      <c r="D59" s="55">
        <f>'CSV7'!I24+'CSV7'!J24</f>
        <v>0</v>
      </c>
      <c r="E59" s="55">
        <f>'CSV7'!I23+'CSV7'!J23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'CSV7'!H19+'CSV7'!H13+'CSV7'!H36+SUM('CSV7'!O36:U36)-SUM('CSV7'!H36:M36)</f>
        <v>0</v>
      </c>
      <c r="D60" s="55">
        <f>'CSV7'!H18+'CSV7'!H12+'CSV7'!H35+SUM('CSV7'!O35:U35)-SUM('CSV7'!H35:M35)</f>
        <v>0</v>
      </c>
      <c r="E60" s="55">
        <f>'CSV7'!H17+'CSV7'!H11+'CSV7'!H34+SUM('CSV7'!O34:U34)-SUM('CSV7'!H34:M34)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SUM('CSV7'!I13:L13)-'CSV7'!BQ13+SUM('CSV7'!I19:M19)-'CSV7'!CU19+SUM('CSV7'!L25:S25)+'CSV7'!U25+SUM('CSV7'!W25:X25)+SUM('CSV7'!L31:O31)+'CSV7'!Q31</f>
        <v>0</v>
      </c>
      <c r="D61" s="55">
        <f>SUM('CSV7'!I12:L12)-'CSV7'!BQ12+SUM('CSV7'!I18:M18)-'CSV7'!CU18+SUM('CSV7'!L24:S24)+'CSV7'!U24+SUM('CSV7'!W24:X24)</f>
        <v>0</v>
      </c>
      <c r="E61" s="55">
        <f>SUM('CSV7'!I11:L11)-'CSV7'!BQ11+SUM('CSV7'!I17:M17)-'CSV7'!CU17+SUM('CSV7'!L23:S23)+'CSV7'!U23+SUM('CSV7'!W23:X23)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'CSV7'!CS19+'CSV7'!BO13</f>
        <v>0</v>
      </c>
      <c r="D62" s="55">
        <f>'CSV7'!CS18+'CSV7'!BO12</f>
        <v>0</v>
      </c>
      <c r="E62" s="55">
        <f>'CSV7'!CS17+'CSV7'!BO11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'CSV7'!AK25+'CSV7'!BC25+'CSV7'!AC19+'CSV7'!AC31+'CSV7'!AD31+'CSV7'!AF31+'CSV7'!AG31+'CSV7'!AO31+SUM('CSV7'!AV31:AX31)+'CSV7'!BM31</f>
        <v>0</v>
      </c>
      <c r="D64" s="55">
        <f>'CSV7'!AK24+'CSV7'!BC24+'CSV7'!AC18</f>
        <v>0</v>
      </c>
      <c r="E64" s="55">
        <f>'CSV7'!AK23+'CSV7'!BC23+'CSV7'!AC17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'CSV7'!DB25+'CSV7'!EP25+'CSV7'!DG31</f>
        <v>0</v>
      </c>
      <c r="D65" s="55">
        <f>'CSV7'!DB24+'CSV7'!EP24</f>
        <v>0</v>
      </c>
      <c r="E65" s="55">
        <f>'CSV7'!DB23+'CSV7'!EP23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SUM('CSV7'!Z25:AA25)+SUM('CSV7'!AC25:AE25)+SUM('CSV7'!P19:R19)+SUM('CSV7'!O13:Q13)+'CSV7'!I36+SUM('CSV7'!T31:U31)+SUM('CSV7'!W31:Y31)</f>
        <v>0</v>
      </c>
      <c r="D67" s="55">
        <f>SUM('CSV7'!Z24:AA24)+SUM('CSV7'!AC24:AE24)+SUM('CSV7'!P18:R18)+SUM('CSV7'!O12:Q12)+'CSV7'!I35</f>
        <v>0</v>
      </c>
      <c r="E67" s="55">
        <f>SUM('CSV7'!Z23:AA23)+SUM('CSV7'!AC23:AE23)+SUM('CSV7'!P17:R17)+SUM('CSV7'!O11:Q11)+'CSV7'!I34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'CSV7'!AL25+'CSV7'!BD25+SUM('CSV7'!U19:X19)+SUM('CSV7'!T13:U13)+'CSV7'!J36</f>
        <v>0</v>
      </c>
      <c r="D68" s="55">
        <f>'CSV7'!AL24+'CSV7'!BD24+SUM('CSV7'!U18:X18)+SUM('CSV7'!T12:U12)+'CSV7'!J35</f>
        <v>0</v>
      </c>
      <c r="E68" s="55">
        <f>'CSV7'!AL23+'CSV7'!BD23+SUM('CSV7'!U17:X17)+SUM('CSV7'!T11:U11)+'CSV7'!J34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'CSV7'!CC25+'CSV7'!CG25+'CSV7'!AG19+'CSV7'!Z13+SUM('CSV7'!CK25:CL25)+'CSV7'!AC13+'CSV7'!AJ19+'CSV7'!BV31+'CSV7'!BZ31+'CSV7'!CE31+'CSV7'!CI31+'CSV7'!CM31+'CSV7'!CN31</f>
        <v>0</v>
      </c>
      <c r="D71" s="55">
        <f>'CSV7'!CC24+'CSV7'!CG24+'CSV7'!AG18+'CSV7'!Z12+SUM('CSV7'!CK24:CL24)+'CSV7'!AC12+'CSV7'!AJ18</f>
        <v>0</v>
      </c>
      <c r="E71" s="55">
        <f>'CSV7'!CC23+'CSV7'!CG23+'CSV7'!AG17+'CSV7'!Z11+SUM('CSV7'!CK23:CL23)+'CSV7'!AC11+'CSV7'!AJ17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'CSV7'!CF25+'CSV7'!CJ25+'CSV7'!AI19+'CSV7'!AB13+SUM('CSV7'!CK25:CL25)+'CSV7'!AC13+'CSV7'!AJ19+'CSV7'!O36+'CSV7'!BY31+'CSV7'!BZ31+'CSV7'!CG31+'CSV7'!CL31+'CSV7'!CM31+'CSV7'!CP31</f>
        <v>0</v>
      </c>
      <c r="D72" s="55">
        <f>'CSV7'!CF24+'CSV7'!CJ24+'CSV7'!AI18+'CSV7'!AB12+SUM('CSV7'!CK24:CL24)+'CSV7'!AC12+'CSV7'!AJ18+'CSV7'!O35</f>
        <v>0</v>
      </c>
      <c r="E72" s="55">
        <f>'CSV7'!CF23+'CSV7'!CJ23+'CSV7'!AI17+'CSV7'!AB11+SUM('CSV7'!CK23:CL23)+'CSV7'!AC11+'CSV7'!AJ17+'CSV7'!O34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7'!CN25+'CSV7'!CO25+'CSV7'!CP25+SUM('CSV7'!CR25:CW25)+'CSV7'!DA25+SUM('CSV7'!DP25:DQ25)+SUM('CSV7'!DS25:DX25)+SUM('CSV7'!AL19:AN19)+SUM('CSV7'!AP19:AT19)+SUM('CSV7'!AV19:AW19)+SUM('CSV7'!AY19:BC19)+'CSV7'!BX19+SUM('CSV7'!AE13:AF13)+SUM('CSV7'!AH13:AJ13)+'CSV7'!AY13+SUM('CSV7'!CR31:CS31)+SUM('CSV7'!CU31:CZ31)+'CSV7'!DF31+SUM('CSV7'!EG31:EH31)+SUM('CSV7'!EJ31:EO31)+'CSV7'!CD31</f>
        <v>0</v>
      </c>
      <c r="D73" s="55">
        <f>'CSV7'!CN24+'CSV7'!CO24+'CSV7'!CP24+SUM('CSV7'!CR24:CW24)+'CSV7'!DA24+SUM('CSV7'!DP24:DQ24)+SUM('CSV7'!DS24:DX24)+SUM('CSV7'!AL18:AN18)+SUM('CSV7'!AP18:AT18)+SUM('CSV7'!AV18:AW18)+SUM('CSV7'!AY18:BC18)+'CSV7'!BX18+SUM('CSV7'!AE12:AF12)+SUM('CSV7'!AH12:AJ12)+'CSV7'!AY12</f>
        <v>0</v>
      </c>
      <c r="E73" s="55">
        <f>'CSV7'!CN23+'CSV7'!CO23+'CSV7'!CP23+SUM('CSV7'!CR23:CW23)+'CSV7'!DA23+SUM('CSV7'!DP23:DQ23)+SUM('CSV7'!DS23:DX23)+SUM('CSV7'!AL17:AN17)+SUM('CSV7'!AP17:AT17)+SUM('CSV7'!AV17:AW17)+SUM('CSV7'!AY17:BC17)+'CSV7'!BX17+SUM('CSV7'!AE11:AF11)+SUM('CSV7'!AH11:AJ11)+'CSV7'!AY11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5" t="s">
        <v>904</v>
      </c>
      <c r="B76" s="54"/>
      <c r="C76" s="55">
        <f>'CSV7'!DZ25+'CSV7'!BF19+'CSV7'!AN13+'CSV7'!DX31</f>
        <v>0</v>
      </c>
      <c r="D76" s="55">
        <f>'CSV7'!DZ24+'CSV7'!BF18+'CSV7'!AN12</f>
        <v>0</v>
      </c>
      <c r="E76" s="55">
        <f>'CSV7'!DZ23+'CSV7'!BF17+'CSV7'!AN11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5" t="s">
        <v>905</v>
      </c>
      <c r="B77" s="54"/>
      <c r="C77" s="55">
        <f>SUM('CSV7'!ED25:EE25)+SUM('CSV7'!BJ19:BK19)+'CSV7'!AM13+SUM('CSV7'!EB31:EC31)</f>
        <v>0</v>
      </c>
      <c r="D77" s="55">
        <f>SUM('CSV7'!ED24:EE24)+SUM('CSV7'!BJ18:BK18)+'CSV7'!AM12</f>
        <v>0</v>
      </c>
      <c r="E77" s="55">
        <f>SUM('CSV7'!ED23:EE23)+SUM('CSV7'!BJ17:BK17)+'CSV7'!AM11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5" t="s">
        <v>906</v>
      </c>
      <c r="B78" s="54"/>
      <c r="C78" s="55">
        <f>'CSV7'!EA25+'CSV7'!BG19+'CSV7'!AO13+'CSV7'!DY31</f>
        <v>0</v>
      </c>
      <c r="D78" s="55">
        <f>'CSV7'!EA24+'CSV7'!BG18+'CSV7'!AO12</f>
        <v>0</v>
      </c>
      <c r="E78" s="55">
        <f>'CSV7'!EA23+'CSV7'!BG17+'CSV7'!AO11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5" t="s">
        <v>907</v>
      </c>
      <c r="B79" s="54"/>
      <c r="C79" s="55">
        <f>SUM('CSV7'!EB25:EC25)+'CSV7'!EF25+SUM('CSV7'!BH19:BI19)+'CSV7'!BL19+'CSV7'!AP13+'CSV7'!P36+SUM('CSV7'!DZ31:EA31)+'CSV7'!EE31</f>
        <v>0</v>
      </c>
      <c r="D79" s="55">
        <f>SUM('CSV7'!EB24:EC24)+'CSV7'!EF24+SUM('CSV7'!BH18:BI18)+'CSV7'!BL18+'CSV7'!AP12+'CSV7'!P35</f>
        <v>0</v>
      </c>
      <c r="E79" s="55">
        <f>SUM('CSV7'!EB23:EC23)+'CSV7'!EF23+SUM('CSV7'!BH17:BI17)+'CSV7'!BL17+'CSV7'!AP11+'CSV7'!P34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5" t="s">
        <v>909</v>
      </c>
      <c r="B81" s="54"/>
      <c r="C81" s="55">
        <f>SUM('CSV7'!DH25:DI25)+'CSV7'!EI25+'CSV7'!BO19+'CSV7'!AR13+'CSV7'!Q36+SUM('CSV7'!DB31:DC31)+SUM('CSV7'!DM31:DN31)+SUM('CSV7'!EQ31:ER31)</f>
        <v>0</v>
      </c>
      <c r="D81" s="55">
        <f>SUM('CSV7'!DH24:DI24)+'CSV7'!EI24+'CSV7'!BO18+'CSV7'!AR12+'CSV7'!Q35</f>
        <v>0</v>
      </c>
      <c r="E81" s="55">
        <f>SUM('CSV7'!DH23:DI23)+'CSV7'!EI23+'CSV7'!BO17+'CSV7'!AR11+'CSV7'!Q34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5" t="s">
        <v>910</v>
      </c>
      <c r="B82" s="54"/>
      <c r="C82" s="55">
        <f>'CSV7'!DJ25+'CSV7'!DL25+'CSV7'!EH25+'CSV7'!BN19+'CSV7'!DD31+'CSV7'!ES31</f>
        <v>0</v>
      </c>
      <c r="D82" s="55">
        <f>'CSV7'!DJ24+'CSV7'!DL24+'CSV7'!EH24+'CSV7'!BN18</f>
        <v>0</v>
      </c>
      <c r="E82" s="55">
        <f>'CSV7'!DJ23+'CSV7'!DL23+'CSV7'!EH23+'CSV7'!BN17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'CSV7'!CZ25+'CSV7'!DC25+'CSV7'!EQ25+'CSV7'!EV25+'CSV7'!BU19+'CSV7'!BW19+'CSV7'!AV13+'CSV7'!AX13+'CSV7'!T36+'CSV7'!U36+'CSV7'!DH31+SUM('CSV7'!DQ31:DS31)+SUM('CSV7'!FB31:FD31)+'CSV7'!FI31+SUM('CSV7'!FL31:FM31)+'CSV7'!FK31</f>
        <v>0</v>
      </c>
      <c r="D83" s="55">
        <f>'CSV7'!CZ24+'CSV7'!DC24+'CSV7'!EQ24+'CSV7'!EV24+'CSV7'!BU18+'CSV7'!BW18+'CSV7'!AV12+'CSV7'!AX12+'CSV7'!T35+'CSV7'!U35</f>
        <v>0</v>
      </c>
      <c r="E83" s="55">
        <f>'CSV7'!CZ23+'CSV7'!DC23+'CSV7'!EQ23+'CSV7'!EV23+'CSV7'!BU17+'CSV7'!BW17+'CSV7'!AV11+'CSV7'!AX11+'CSV7'!T34+'CSV7'!U34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SUM('CSV7'!EK25:EN25)+SUM('CSV7'!BQ19:BS19)+SUM('CSV7'!AS13:AT13)+'CSV7'!BW13+'CSV7'!S36+'CSV7'!R36+SUM('CSV7'!EV31:EY31)+'CSV7'!FA31</f>
        <v>0</v>
      </c>
      <c r="D84" s="55">
        <f>SUM('CSV7'!EK24:EN24)+SUM('CSV7'!BQ18:BS18)+SUM('CSV7'!AS12:AT12)+'CSV7'!BW12+'CSV7'!S35+'CSV7'!R35</f>
        <v>0</v>
      </c>
      <c r="E84" s="55">
        <f>SUM('CSV7'!EK23:EN23)+SUM('CSV7'!BQ17:BS17)+SUM('CSV7'!AS11:AT11)+'CSV7'!BW11+'CSV7'!S34+'CSV7'!R34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'CSV7'!BY19+'CSV7'!AZ13</f>
        <v>0</v>
      </c>
      <c r="D85" s="55">
        <f>'CSV7'!BY18+'CSV7'!AZ12</f>
        <v>0</v>
      </c>
      <c r="E85" s="55">
        <f>'CSV7'!BY17+'CSV7'!AZ11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'CSV7'!AP25+SUM('CSV7'!BG25:BH25)+SUM('CSV7'!CD19:CE19)+'CSV7'!BC13+'CSV7'!BU13+'CSV7'!L36+'CSV7'!AI31+'CSV7'!AZ31</f>
        <v>0</v>
      </c>
      <c r="D87" s="55">
        <f>'CSV7'!AP24+SUM('CSV7'!BG24:BH24)+SUM('CSV7'!CD18:CE18)+'CSV7'!BC12+'CSV7'!BU12+'CSV7'!L35</f>
        <v>0</v>
      </c>
      <c r="E87" s="55">
        <f>'CSV7'!AP23+SUM('CSV7'!BG23:BH23)+SUM('CSV7'!CD17:CE17)+'CSV7'!BC11+'CSV7'!BU11+'CSV7'!L34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'CSV7'!AQ25+'CSV7'!BN25+'CSV7'!AD19+'CSV7'!CJ19+'CSV7'!AJ31+'CSV7'!BL31</f>
        <v>0</v>
      </c>
      <c r="D88" s="55">
        <f>'CSV7'!AQ24+'CSV7'!BN24+'CSV7'!AD18+'CSV7'!CJ18</f>
        <v>0</v>
      </c>
      <c r="E88" s="55">
        <f>'CSV7'!AQ23+'CSV7'!BN23+'CSV7'!AD17+'CSV7'!CJ17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SUM('CSV7'!AI25:AJ25)+'CSV7'!AM25+'CSV7'!BB25+'CSV7'!BE25+'CSV7'!BJ25+'CSV7'!BO25+'CSV7'!BP25+'CSV7'!BQ25+'CSV7'!BR25+'CSV7'!BS25+'CSV7'!CG19+'CSV7'!CK19+'CSV7'!BD13+'CSV7'!K36+'CSV7'!M36+'CSV7'!AP31+'CSV7'!BA31+SUM('CSV7'!BE31:BI31)+'CSV7'!BN31+'CSV7'!AE31+'CSV7'!BS31</f>
        <v>0</v>
      </c>
      <c r="D89" s="55">
        <f>SUM('CSV7'!AI24:AJ24)+'CSV7'!AM24+'CSV7'!BB24+'CSV7'!BE24+'CSV7'!BJ24+'CSV7'!BO24+'CSV7'!BP24+'CSV7'!BQ24+'CSV7'!BR24+'CSV7'!BS24+'CSV7'!CG18+'CSV7'!CK18+'CSV7'!BD12+'CSV7'!K35+'CSV7'!M35</f>
        <v>0</v>
      </c>
      <c r="E89" s="55">
        <f>SUM('CSV7'!AI23:AJ23)+'CSV7'!AM23+'CSV7'!BB23+'CSV7'!BE23+'CSV7'!BJ23+'CSV7'!BO23+'CSV7'!BP23+'CSV7'!BQ23+'CSV7'!BR23+'CSV7'!BS23+'CSV7'!CG17+'CSV7'!CK17+'CSV7'!BD11+'CSV7'!K34+'CSV7'!M34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SUM('CSV7'!AS25:AT25)+SUM('CSV7'!BK25:BM25)+SUM('CSV7'!BU25:BY25)+SUM('CSV7'!CH19:CI19)+SUM('CSV7'!CM19:CO19)+SUM('CSV7'!BE13:BF13)+SUM('CSV7'!BH13:BK13)+SUM('CSV7'!AK31:AL31)+SUM('CSV7'!BB31:BC31)+SUM('CSV7'!BP31:BQ31)</f>
        <v>0</v>
      </c>
      <c r="D90" s="55">
        <f>SUM('CSV7'!AS24:AT24)+SUM('CSV7'!BK24:BM24)+SUM('CSV7'!BU24:BY24)+SUM('CSV7'!CH18:CI18)+SUM('CSV7'!CM18:CO18)+SUM('CSV7'!BE12:BF12)+SUM('CSV7'!BH12:BK12)</f>
        <v>0</v>
      </c>
      <c r="E90" s="55">
        <f>SUM('CSV7'!AS23:AT23)+SUM('CSV7'!BK23:BM23)+SUM('CSV7'!BU23:BY23)+SUM('CSV7'!CH17:CI17)+SUM('CSV7'!CM17:CO17)+SUM('CSV7'!BE11:BF11)+SUM('CSV7'!BH11:BK11)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'CSV7'!AW25+'CSV7'!AS31</f>
        <v>0</v>
      </c>
      <c r="D93" s="55">
        <f>'CSV7'!AW24</f>
        <v>0</v>
      </c>
      <c r="E93" s="55">
        <f>'CSV7'!AW23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SUM('CSV7'!AX25:AZ25)+'CSV7'!AT31</f>
        <v>0</v>
      </c>
      <c r="D95" s="55">
        <f>SUM('CSV7'!AX24:AZ24)</f>
        <v>0</v>
      </c>
      <c r="E95" s="55">
        <f>SUM('CSV7'!AX23:AZ23)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-'CSV7'!AH25-'CSV7'!AO25+'CSV7'!CY25-'CSV7'!AB19+'CSV7'!CT19-'CSV7'!X13+'CSV7'!BP13-'CSV7'!AB31-'CSV7'!AN31+'CSV7'!DP31</f>
        <v>0</v>
      </c>
      <c r="D97" s="55">
        <f>-'CSV7'!AH24-'CSV7'!AO24+'CSV7'!CY24-'CSV7'!AB18+'CSV7'!CT18-'CSV7'!X12+'CSV7'!BP12</f>
        <v>0</v>
      </c>
      <c r="E97" s="55">
        <f>-'CSV7'!AH23-'CSV7'!AO23+'CSV7'!CY23-'CSV7'!AB17+'CSV7'!CT17-'CSV7'!X11+'CSV7'!BP11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f6/CK1ek/O/KYvtRtDgCRjmAgfIOaG6F4/6JSuj3jgCiiSryozocFZpzv5TwPRgTXscOqpzZRrhn57rsof8bw==" saltValue="Pxxbg7T/zk+QqIwH8+X1i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0" priority="1" stopIfTrue="1" operator="lessThan">
      <formula>-0.2</formula>
    </cfRule>
    <cfRule type="cellIs" dxfId="19" priority="2" stopIfTrue="1" operator="lessThan">
      <formula>0</formula>
    </cfRule>
    <cfRule type="cellIs" dxfId="18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61"/>
      <c r="C3" s="561"/>
      <c r="D3" s="561"/>
      <c r="E3" s="561"/>
      <c r="F3" s="561"/>
      <c r="G3" s="561"/>
    </row>
    <row r="4" spans="1:10">
      <c r="A4" s="45" t="s">
        <v>597</v>
      </c>
      <c r="B4" s="561"/>
      <c r="C4" s="561"/>
      <c r="D4" s="561"/>
      <c r="E4" s="561"/>
      <c r="F4" s="561"/>
      <c r="G4" s="561"/>
    </row>
    <row r="5" spans="1:10">
      <c r="A5" s="45" t="s">
        <v>599</v>
      </c>
      <c r="B5" s="561"/>
      <c r="C5" s="561"/>
      <c r="D5" s="561"/>
      <c r="E5" s="561"/>
      <c r="F5" s="561"/>
      <c r="G5" s="561"/>
    </row>
    <row r="6" spans="1:10">
      <c r="A6" s="45" t="s">
        <v>601</v>
      </c>
      <c r="B6" s="561"/>
      <c r="C6" s="561"/>
      <c r="D6" s="561"/>
      <c r="E6" s="561"/>
      <c r="F6" s="561"/>
      <c r="G6" s="561"/>
    </row>
    <row r="7" spans="1:10" ht="25.5">
      <c r="A7" s="45" t="s">
        <v>603</v>
      </c>
      <c r="B7" s="563"/>
      <c r="C7" s="563"/>
      <c r="D7" s="563"/>
      <c r="E7" s="563"/>
      <c r="F7" s="563"/>
      <c r="G7" s="563"/>
    </row>
    <row r="8" spans="1:10">
      <c r="A8" s="45" t="s">
        <v>831</v>
      </c>
      <c r="B8" s="561"/>
      <c r="C8" s="561"/>
      <c r="D8" s="561"/>
      <c r="E8" s="561"/>
      <c r="F8" s="561"/>
      <c r="G8" s="561"/>
    </row>
    <row r="9" spans="1:10">
      <c r="A9" s="45" t="s">
        <v>832</v>
      </c>
      <c r="B9" s="564"/>
      <c r="C9" s="564"/>
      <c r="D9" s="564"/>
      <c r="E9" s="564"/>
      <c r="F9" s="564"/>
      <c r="G9" s="564"/>
    </row>
    <row r="10" spans="1:10">
      <c r="A10" s="46" t="s">
        <v>1025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'CSV8'!H6+'CSV8'!O6+'CSV8'!Q6+SUM('CSV8'!EM6:EN6)+SUM('CSV8'!GE6:GG6)</f>
        <v>0</v>
      </c>
      <c r="D15" s="55">
        <f>'CSV8'!H5+'CSV8'!O5+'CSV8'!Q5+SUM('CSV8'!EM5:EN5)+SUM('CSV8'!GE5:GG5)</f>
        <v>0</v>
      </c>
      <c r="E15" s="55">
        <f>'CSV8'!H4+'CSV8'!O4+'CSV8'!Q4+SUM('CSV8'!EM4:EN4)+SUM('CSV8'!GE4:GG4)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'CSV8'!V6</f>
        <v>0</v>
      </c>
      <c r="D17" s="55">
        <f>'CSV8'!V5</f>
        <v>0</v>
      </c>
      <c r="E17" s="55">
        <f>'CSV8'!V4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'CSV8'!U6</f>
        <v>0</v>
      </c>
      <c r="D18" s="55">
        <f>'CSV8'!U5</f>
        <v>0</v>
      </c>
      <c r="E18" s="55">
        <f>'CSV8'!U4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'CSV8'!ED6++'CSV8'!N6+'CSV8'!EH6+'CSV8'!EO6</f>
        <v>0</v>
      </c>
      <c r="D19" s="55">
        <f>'CSV8'!ED5+'CSV8'!N5+'CSV8'!EH5+'CSV8'!EO5</f>
        <v>0</v>
      </c>
      <c r="E19" s="55">
        <f>'CSV8'!ED4+'CSV8'!N4+'CSV8'!EH4+'CSV8'!EO4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'CSV8'!I6+'CSV8'!P6+'CSV8'!R6</f>
        <v>0</v>
      </c>
      <c r="D21" s="55">
        <f>'CSV8'!I5+'CSV8'!P5+'CSV8'!R5</f>
        <v>0</v>
      </c>
      <c r="E21" s="55">
        <f>'CSV8'!I4+'CSV8'!P4+'CSV8'!R4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'CSV8'!GH6</f>
        <v>0</v>
      </c>
      <c r="D22" s="57">
        <f>'CSV8'!GH5</f>
        <v>0</v>
      </c>
      <c r="E22" s="57">
        <f>'CSV8'!GH4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'CSV8'!K6+'CSV8'!L6+'CSV8'!W6+'CSV8'!X6</f>
        <v>0</v>
      </c>
      <c r="D24" s="55">
        <f>'CSV8'!K5+'CSV8'!L5+'CSV8'!W5+'CSV8'!X5</f>
        <v>0</v>
      </c>
      <c r="E24" s="55">
        <f>'CSV8'!K4+'CSV8'!L4+'CSV8'!W4+'CSV8'!X4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'CSV8'!Z6+'CSV8'!AA6+'CSV8'!AB6</f>
        <v>0</v>
      </c>
      <c r="D25" s="55">
        <f>'CSV8'!Z5+'CSV8'!AA5+'CSV8'!AB5</f>
        <v>0</v>
      </c>
      <c r="E25" s="55">
        <f>'CSV8'!Z4+'CSV8'!AA4+'CSV8'!AB4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'CSV8'!J6</f>
        <v>0</v>
      </c>
      <c r="D26" s="55">
        <f>'CSV8'!J5</f>
        <v>0</v>
      </c>
      <c r="E26" s="55">
        <f>'CSV8'!J4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'CSV8'!AK6+'CSV8'!AL6+'CSV8'!AM6</f>
        <v>0</v>
      </c>
      <c r="D29" s="55">
        <f>'CSV8'!AK5+'CSV8'!AL5+'CSV8'!AM5</f>
        <v>0</v>
      </c>
      <c r="E29" s="55">
        <f>'CSV8'!AK4+'CSV8'!AL4+'CSV8'!AM4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'CSV8'!AO6+'CSV8'!AP6+'CSV8'!AQ6+'CSV8'!AR6+'CSV8'!AS6+'CSV8'!AT6+'CSV8'!AU6+'CSV8'!AV6</f>
        <v>0</v>
      </c>
      <c r="D30" s="55">
        <f>'CSV8'!AO5+'CSV8'!AP5+'CSV8'!AQ5+'CSV8'!AR5+'CSV8'!AS5+'CSV8'!AT5+'CSV8'!AU5+'CSV8'!AV5</f>
        <v>0</v>
      </c>
      <c r="E30" s="55">
        <f>'CSV8'!AO4+'CSV8'!AP4+'CSV8'!AQ4+'CSV8'!AR4+'CSV8'!AS4+'CSV8'!AT4+'CSV8'!AU4+'CSV8'!AV4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'CSV8'!AF6+'CSV8'!AG6+'CSV8'!AH6</f>
        <v>0</v>
      </c>
      <c r="D31" s="55">
        <f>'CSV8'!AF5+'CSV8'!AG5+'CSV8'!AH5</f>
        <v>0</v>
      </c>
      <c r="E31" s="55">
        <f>'CSV8'!AF4+'CSV8'!AG4+'CSV8'!AH4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SUM('CSV8'!AX6:AZ6)+'CSV8'!BC6+'CSV8'!ED6-'CSV8'!EE6+'CSV8'!EH6-'CSV8'!EI6+'CSV8'!FN6+'CSV8'!FO6+SUM('CSV8'!FS6:FW6)</f>
        <v>0</v>
      </c>
      <c r="D32" s="55">
        <f>SUM('CSV8'!AX5:AZ5)+'CSV8'!BC5+'CSV8'!ED5-'CSV8'!EE5+'CSV8'!EH5-'CSV8'!EI5</f>
        <v>0</v>
      </c>
      <c r="E32" s="55">
        <f>SUM('CSV8'!AX4:AZ4)+'CSV8'!BC4+'CSV8'!ED4-'CSV8'!EE4+'CSV8'!EH4-'CSV8'!EI4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'CSV8'!Y6+'CSV8'!AC6+'CSV8'!AD6</f>
        <v>0</v>
      </c>
      <c r="D34" s="55">
        <f>'CSV8'!Y5+'CSV8'!AC5+'CSV8'!AD5</f>
        <v>0</v>
      </c>
      <c r="E34" s="55">
        <f>'CSV8'!Y4+'CSV8'!AC4+'CSV8'!AD4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SUM('CSV8'!BD6:BM6)+'CSV8'!BV6</f>
        <v>0</v>
      </c>
      <c r="D35" s="55">
        <f>SUM('CSV8'!BD5:BM5)+'CSV8'!BV5</f>
        <v>0</v>
      </c>
      <c r="E35" s="55">
        <f>SUM('CSV8'!BD4:BM4)+'CSV8'!BV4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SUM('CSV8'!BA6:BB6)+'CSV8'!BQ6+'CSV8'!BR6+'CSV8'!BS6+'CSV8'!BT6+SUM('CSV8'!BW6:BY6)+SUM('CSV8'!CH6:CI6)+SUM('CSV8'!CK6:CU6)+'CSV8'!DB6+'CSV8'!DD6+'CSV8'!DJ6+'CSV8'!EF6+'CSV8'!EJ6+SUM('CSV8'!EM6:EO6)-'CSV8'!EP6+'CSV8'!GA6</f>
        <v>0</v>
      </c>
      <c r="D36" s="55">
        <f>SUM('CSV8'!BA5:BB5)+'CSV8'!BQ5+'CSV8'!BR5+'CSV8'!BS5+'CSV8'!BT5+SUM('CSV8'!BW5:BY5)+SUM('CSV8'!CH5:CI5)+SUM('CSV8'!CK5:CU5)+'CSV8'!DB5+'CSV8'!DD5+'CSV8'!DJ5+'CSV8'!EF5+'CSV8'!EJ5+SUM('CSV8'!EM5:EO5)-'CSV8'!EP5</f>
        <v>0</v>
      </c>
      <c r="E36" s="55">
        <f>SUM('CSV8'!BA4:BB4)+'CSV8'!BQ4+'CSV8'!BR4+'CSV8'!BS4+'CSV8'!BT4+SUM('CSV8'!BW4:BY4)+SUM('CSV8'!CH4:CI4)+SUM('CSV8'!CK4:CU4)+'CSV8'!DB4+'CSV8'!DD4+'CSV8'!DJ4+'CSV8'!EF4+'CSV8'!EJ4+SUM('CSV8'!EM4:EO4)-'CSV8'!EP4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SUM('CSV8'!BZ6:CA6)+SUM('CSV8'!CB6,'CSV8'!CC6,'CSV8'!CE6,'CSV8'!CF6)+SUM('CSV8'!CV6:CZ6)</f>
        <v>0</v>
      </c>
      <c r="D37" s="55">
        <f>SUM('CSV8'!BZ5:CA5)+SUM('CSV8'!CB5,'CSV8'!CC5,'CSV8'!CE5,'CSV8'!CF5)+SUM('CSV8'!CV5:CZ5)</f>
        <v>0</v>
      </c>
      <c r="E37" s="55">
        <f>SUM('CSV8'!BZ4:CA4)+SUM('CSV8'!CB4,'CSV8'!CC4,'CSV8'!CE4,'CSV8'!CF4)+SUM('CSV8'!CV4:CZ4)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'CSV8'!DQ6+'CSV8'!FX6</f>
        <v>0</v>
      </c>
      <c r="D39" s="55">
        <f>'CSV8'!DQ5</f>
        <v>0</v>
      </c>
      <c r="E39" s="55">
        <f>'CSV8'!DQ4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SUM('CSV8'!DE6:DG6)+'CSV8'!DI6</f>
        <v>0</v>
      </c>
      <c r="D40" s="55">
        <f>SUM('CSV8'!DE5:DG5)+'CSV8'!DI5</f>
        <v>0</v>
      </c>
      <c r="E40" s="55">
        <f>SUM('CSV8'!DE4:DG4)+'CSV8'!DI4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'CSV8'!DM6+'CSV8'!DO6</f>
        <v>0</v>
      </c>
      <c r="D44" s="55">
        <f>'CSV8'!DM5+'CSV8'!DO5</f>
        <v>0</v>
      </c>
      <c r="E44" s="55">
        <f>'CSV8'!DM4+'CSV8'!DO4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'CSV8'!DL6+'CSV8'!DN6</f>
        <v>0</v>
      </c>
      <c r="D46" s="55">
        <f>'CSV8'!DL5+'CSV8'!DN5</f>
        <v>0</v>
      </c>
      <c r="E46" s="55">
        <f>'CSV8'!DL4+'CSV8'!DN4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'CSV8'!DC6</f>
        <v>0</v>
      </c>
      <c r="D48" s="55">
        <f>'CSV8'!DC5</f>
        <v>0</v>
      </c>
      <c r="E48" s="55">
        <f>'CSV8'!DC4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SUM('CSV8'!DS6:DT6)</f>
        <v>0</v>
      </c>
      <c r="D50" s="55">
        <f>SUM('CSV8'!DS5:DT5)</f>
        <v>0</v>
      </c>
      <c r="E50" s="55">
        <f>SUM('CSV8'!DS4:DT4)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SUM('CSV8'!DY6:DZ6)</f>
        <v>0</v>
      </c>
      <c r="D52" s="55">
        <f>SUM('CSV8'!DY5:DZ5)</f>
        <v>0</v>
      </c>
      <c r="E52" s="55">
        <f>SUM('CSV8'!DY4:DZ4)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'CSV8'!DX6</f>
        <v>0</v>
      </c>
      <c r="D53" s="55">
        <f>'CSV8'!DX5</f>
        <v>0</v>
      </c>
      <c r="E53" s="55">
        <f>'CSV8'!DX4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6" t="str">
        <f>IF($B$7&lt;&gt;"",CONCATENATE("31/03/",$B$7),"31/03/2020")</f>
        <v>31/03/2020</v>
      </c>
      <c r="D58" s="346" t="str">
        <f>IF($B$7&lt;&gt;"",CONCATENATE("31/03/",$B$7-1),"31/03/2019")</f>
        <v>31/03/2019</v>
      </c>
      <c r="E58" s="347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'CSV8'!I25+'CSV8'!J25+'CSV8'!I31+'CSV8'!J31</f>
        <v>0</v>
      </c>
      <c r="D59" s="55">
        <f>'CSV8'!I24+'CSV8'!J24</f>
        <v>0</v>
      </c>
      <c r="E59" s="55">
        <f>'CSV8'!I23+'CSV8'!J23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'CSV8'!H19+'CSV8'!H13+'CSV8'!H36+SUM('CSV8'!O36:U36)-SUM('CSV8'!H36:M36)</f>
        <v>0</v>
      </c>
      <c r="D60" s="55">
        <f>'CSV8'!H18+'CSV8'!H12+'CSV8'!H35+SUM('CSV8'!O35:U35)-SUM('CSV8'!H35:M35)</f>
        <v>0</v>
      </c>
      <c r="E60" s="55">
        <f>'CSV8'!H17+'CSV8'!H11+'CSV8'!H34+SUM('CSV8'!O34:U34)-SUM('CSV8'!H34:M34)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SUM('CSV8'!I13:L13)-'CSV8'!BQ13+SUM('CSV8'!I19:M19)-'CSV8'!CU19+SUM('CSV8'!L25:S25)+'CSV8'!U25+SUM('CSV8'!W25:X25)+SUM('CSV8'!L31:O31)+'CSV8'!Q31</f>
        <v>0</v>
      </c>
      <c r="D61" s="55">
        <f>SUM('CSV8'!I12:L12)-'CSV8'!BQ12+SUM('CSV8'!I18:M18)-'CSV8'!CU18+SUM('CSV8'!L24:S24)+'CSV8'!U24+SUM('CSV8'!W24:X24)</f>
        <v>0</v>
      </c>
      <c r="E61" s="55">
        <f>SUM('CSV8'!I11:L11)-'CSV8'!BQ11+SUM('CSV8'!I17:M17)-'CSV8'!CU17+SUM('CSV8'!L23:S23)+'CSV8'!U23+SUM('CSV8'!W23:X23)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'CSV8'!CS19+'CSV8'!BO13</f>
        <v>0</v>
      </c>
      <c r="D62" s="55">
        <f>'CSV8'!CS18+'CSV8'!BO12</f>
        <v>0</v>
      </c>
      <c r="E62" s="55">
        <f>'CSV8'!CS17+'CSV8'!BO11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'CSV8'!AK25+'CSV8'!BC25+'CSV8'!AC19+'CSV8'!AC31+'CSV8'!AD31+'CSV8'!AF31+'CSV8'!AG31+'CSV8'!AO31+SUM('CSV8'!AV31:AX31)+'CSV8'!BM31</f>
        <v>0</v>
      </c>
      <c r="D64" s="55">
        <f>'CSV8'!AK24+'CSV8'!BC24+'CSV8'!AC18</f>
        <v>0</v>
      </c>
      <c r="E64" s="55">
        <f>'CSV8'!AK23+'CSV8'!BC23+'CSV8'!AC17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'CSV8'!DB25+'CSV8'!EP25+'CSV8'!DG31</f>
        <v>0</v>
      </c>
      <c r="D65" s="55">
        <f>'CSV8'!DB24+'CSV8'!EP24</f>
        <v>0</v>
      </c>
      <c r="E65" s="55">
        <f>'CSV8'!DB23+'CSV8'!EP23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SUM('CSV8'!Z25:AA25)+SUM('CSV8'!AC25:AE25)+SUM('CSV8'!P19:R19)+SUM('CSV8'!O13:Q13)+'CSV8'!I36+SUM('CSV8'!T31:U31)+SUM('CSV8'!W31:Y31)</f>
        <v>0</v>
      </c>
      <c r="D67" s="55">
        <f>SUM('CSV8'!Z24:AA24)+SUM('CSV8'!AC24:AE24)+SUM('CSV8'!P18:R18)+SUM('CSV8'!O12:Q12)+'CSV8'!I35</f>
        <v>0</v>
      </c>
      <c r="E67" s="55">
        <f>SUM('CSV8'!Z23:AA23)+SUM('CSV8'!AC23:AE23)+SUM('CSV8'!P17:R17)+SUM('CSV8'!O11:Q11)+'CSV8'!I34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'CSV8'!AL25+'CSV8'!BD25+SUM('CSV8'!U19:X19)+SUM('CSV8'!T13:U13)+'CSV8'!J36</f>
        <v>0</v>
      </c>
      <c r="D68" s="55">
        <f>'CSV8'!AL24+'CSV8'!BD24+SUM('CSV8'!U18:X18)+SUM('CSV8'!T12:U12)+'CSV8'!J35</f>
        <v>0</v>
      </c>
      <c r="E68" s="55">
        <f>'CSV8'!AL23+'CSV8'!BD23+SUM('CSV8'!U17:X17)+SUM('CSV8'!T11:U11)+'CSV8'!J34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'CSV8'!CC25+'CSV8'!CG25+'CSV8'!AG19+'CSV8'!Z13+SUM('CSV8'!CK25:CL25)+'CSV8'!AC13+'CSV8'!AJ19+'CSV8'!BV31+'CSV8'!BZ31+'CSV8'!CE31+'CSV8'!CI31+'CSV8'!CM31+'CSV8'!CN31</f>
        <v>0</v>
      </c>
      <c r="D71" s="55">
        <f>'CSV8'!CC24+'CSV8'!CG24+'CSV8'!AG18+'CSV8'!Z12+SUM('CSV8'!CK24:CL24)+'CSV8'!AC12+'CSV8'!AJ18</f>
        <v>0</v>
      </c>
      <c r="E71" s="55">
        <f>'CSV8'!CC23+'CSV8'!CG23+'CSV8'!AG17+'CSV8'!Z11+SUM('CSV8'!CK23:CL23)+'CSV8'!AC11+'CSV8'!AJ17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'CSV8'!CF25+'CSV8'!CJ25+'CSV8'!AI19+'CSV8'!AB13+SUM('CSV8'!CK25:CL25)+'CSV8'!AC13+'CSV8'!AJ19+'CSV8'!O36+'CSV8'!BY31+'CSV8'!BZ31+'CSV8'!CG31+'CSV8'!CL31+'CSV8'!CM31+'CSV8'!CP31</f>
        <v>0</v>
      </c>
      <c r="D72" s="55">
        <f>'CSV8'!CF24+'CSV8'!CJ24+'CSV8'!AI18+'CSV8'!AB12+SUM('CSV8'!CK24:CL24)+'CSV8'!AC12+'CSV8'!AJ18+'CSV8'!O35</f>
        <v>0</v>
      </c>
      <c r="E72" s="55">
        <f>'CSV8'!CF23+'CSV8'!CJ23+'CSV8'!AI17+'CSV8'!AB11+SUM('CSV8'!CK23:CL23)+'CSV8'!AC11+'CSV8'!AJ17+'CSV8'!O34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8'!CN25+'CSV8'!CO25+'CSV8'!CP25+SUM('CSV8'!CR25:CW25)+'CSV8'!DA25+SUM('CSV8'!DP25:DQ25)+SUM('CSV8'!DS25:DX25)+SUM('CSV8'!AL19:AN19)+SUM('CSV8'!AP19:AT19)+SUM('CSV8'!AV19:AW19)+SUM('CSV8'!AY19:BC19)+'CSV8'!BX19+SUM('CSV8'!AE13:AF13)+SUM('CSV8'!AH13:AJ13)+'CSV8'!AY13+SUM('CSV8'!CR31:CS31)+SUM('CSV8'!CU31:CZ31)+'CSV8'!DF31+SUM('CSV8'!EG31:EH31)+SUM('CSV8'!EJ31:EO31)+'CSV8'!CD31</f>
        <v>0</v>
      </c>
      <c r="D73" s="55">
        <f>'CSV8'!CN24+'CSV8'!CO24+'CSV8'!CP24+SUM('CSV8'!CR24:CW24)+'CSV8'!DA24+SUM('CSV8'!DP24:DQ24)+SUM('CSV8'!DS24:DX24)+SUM('CSV8'!AL18:AN18)+SUM('CSV8'!AP18:AT18)+SUM('CSV8'!AV18:AW18)+SUM('CSV8'!AY18:BC18)+'CSV8'!BX18+SUM('CSV8'!AE12:AF12)+SUM('CSV8'!AH12:AJ12)+'CSV8'!AY12</f>
        <v>0</v>
      </c>
      <c r="E73" s="55">
        <f>'CSV8'!CN23+'CSV8'!CO23+'CSV8'!CP23+SUM('CSV8'!CR23:CW23)+'CSV8'!DA23+SUM('CSV8'!DP23:DQ23)+SUM('CSV8'!DS23:DX23)+SUM('CSV8'!AL17:AN17)+SUM('CSV8'!AP17:AT17)+SUM('CSV8'!AV17:AW17)+SUM('CSV8'!AY17:BC17)+'CSV8'!BX17+SUM('CSV8'!AE11:AF11)+SUM('CSV8'!AH11:AJ11)+'CSV8'!AY11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5" t="s">
        <v>904</v>
      </c>
      <c r="B76" s="54"/>
      <c r="C76" s="55">
        <f>'CSV8'!DZ25+'CSV8'!BF19+'CSV8'!AN13+'CSV8'!DX31</f>
        <v>0</v>
      </c>
      <c r="D76" s="55">
        <f>'CSV8'!DZ24+'CSV8'!BF18+'CSV8'!AN12</f>
        <v>0</v>
      </c>
      <c r="E76" s="55">
        <f>'CSV8'!DZ23+'CSV8'!BF17+'CSV8'!AN11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5" t="s">
        <v>905</v>
      </c>
      <c r="B77" s="54"/>
      <c r="C77" s="55">
        <f>SUM('CSV8'!ED25:EE25)+SUM('CSV8'!BJ19:BK19)+'CSV8'!AM13+SUM('CSV8'!EB31:EC31)</f>
        <v>0</v>
      </c>
      <c r="D77" s="55">
        <f>SUM('CSV8'!ED24:EE24)+SUM('CSV8'!BJ18:BK18)+'CSV8'!AM12</f>
        <v>0</v>
      </c>
      <c r="E77" s="55">
        <f>SUM('CSV8'!ED23:EE23)+SUM('CSV8'!BJ17:BK17)+'CSV8'!AM11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5" t="s">
        <v>906</v>
      </c>
      <c r="B78" s="54"/>
      <c r="C78" s="55">
        <f>'CSV8'!EA25+'CSV8'!BG19+'CSV8'!AO13+'CSV8'!DY31</f>
        <v>0</v>
      </c>
      <c r="D78" s="55">
        <f>'CSV8'!EA24+'CSV8'!BG18+'CSV8'!AO12</f>
        <v>0</v>
      </c>
      <c r="E78" s="55">
        <f>'CSV8'!EA23+'CSV8'!BG17+'CSV8'!AO11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5" t="s">
        <v>907</v>
      </c>
      <c r="B79" s="54"/>
      <c r="C79" s="55">
        <f>SUM('CSV8'!EB25:EC25)+'CSV8'!EF25+SUM('CSV8'!BH19:BI19)+'CSV8'!BL19+'CSV8'!AP13+'CSV8'!P36+SUM('CSV8'!DZ31:EA31)+'CSV8'!EE31</f>
        <v>0</v>
      </c>
      <c r="D79" s="55">
        <f>SUM('CSV8'!EB24:EC24)+'CSV8'!EF24+SUM('CSV8'!BH18:BI18)+'CSV8'!BL18+'CSV8'!AP12+'CSV8'!P35</f>
        <v>0</v>
      </c>
      <c r="E79" s="55">
        <f>SUM('CSV8'!EB23:EC23)+'CSV8'!EF23+SUM('CSV8'!BH17:BI17)+'CSV8'!BL17+'CSV8'!AP11+'CSV8'!P34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5" t="s">
        <v>909</v>
      </c>
      <c r="B81" s="54"/>
      <c r="C81" s="55">
        <f>SUM('CSV8'!DH25:DI25)+'CSV8'!EI25+'CSV8'!BO19+'CSV8'!AR13+'CSV8'!Q36+SUM('CSV8'!DB31:DC31)+SUM('CSV8'!DM31:DN31)+SUM('CSV8'!EQ31:ER31)</f>
        <v>0</v>
      </c>
      <c r="D81" s="55">
        <f>SUM('CSV8'!DH24:DI24)+'CSV8'!EI24+'CSV8'!BO18+'CSV8'!AR12+'CSV8'!Q35</f>
        <v>0</v>
      </c>
      <c r="E81" s="55">
        <f>SUM('CSV8'!DH23:DI23)+'CSV8'!EI23+'CSV8'!BO17+'CSV8'!AR11+'CSV8'!Q34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5" t="s">
        <v>910</v>
      </c>
      <c r="B82" s="54"/>
      <c r="C82" s="55">
        <f>'CSV8'!DJ25+'CSV8'!DL25+'CSV8'!EH25+'CSV8'!BN19+'CSV8'!DD31+'CSV8'!ES31</f>
        <v>0</v>
      </c>
      <c r="D82" s="55">
        <f>'CSV8'!DJ24+'CSV8'!DL24+'CSV8'!EH24+'CSV8'!BN18</f>
        <v>0</v>
      </c>
      <c r="E82" s="55">
        <f>'CSV8'!DJ23+'CSV8'!DL23+'CSV8'!EH23+'CSV8'!BN17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'CSV8'!CZ25+'CSV8'!DC25+'CSV8'!EQ25+'CSV8'!EV25+'CSV8'!BU19+'CSV8'!BW19+'CSV8'!AV13+'CSV8'!AX13+'CSV8'!T36+'CSV8'!U36+'CSV8'!DH31+SUM('CSV8'!DQ31:DS31)+SUM('CSV8'!FB31:FD31)+'CSV8'!FI31+SUM('CSV8'!FL31:FM31)+'CSV8'!FK31</f>
        <v>0</v>
      </c>
      <c r="D83" s="55">
        <f>'CSV8'!CZ24+'CSV8'!DC24+'CSV8'!EQ24+'CSV8'!EV24+'CSV8'!BU18+'CSV8'!BW18+'CSV8'!AV12+'CSV8'!AX12+'CSV8'!T35+'CSV8'!U35</f>
        <v>0</v>
      </c>
      <c r="E83" s="55">
        <f>'CSV8'!CZ23+'CSV8'!DC23+'CSV8'!EQ23+'CSV8'!EV23+'CSV8'!BU17+'CSV8'!BW17+'CSV8'!AV11+'CSV8'!AX11+'CSV8'!T34+'CSV8'!U34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SUM('CSV8'!EK25:EN25)+SUM('CSV8'!BQ19:BS19)+SUM('CSV8'!AS13:AT13)+'CSV8'!BW13+'CSV8'!S36+'CSV8'!R36+SUM('CSV8'!EV31:EY31)+'CSV8'!FA31</f>
        <v>0</v>
      </c>
      <c r="D84" s="55">
        <f>SUM('CSV8'!EK24:EN24)+SUM('CSV8'!BQ18:BS18)+SUM('CSV8'!AS12:AT12)+'CSV8'!BW12+'CSV8'!S35+'CSV8'!R35</f>
        <v>0</v>
      </c>
      <c r="E84" s="55">
        <f>SUM('CSV8'!EK23:EN23)+SUM('CSV8'!BQ17:BS17)+SUM('CSV8'!AS11:AT11)+'CSV8'!BW11+'CSV8'!S34+'CSV8'!R34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'CSV8'!BY19+'CSV8'!AZ13</f>
        <v>0</v>
      </c>
      <c r="D85" s="55">
        <f>'CSV8'!BY18+'CSV8'!AZ12</f>
        <v>0</v>
      </c>
      <c r="E85" s="55">
        <f>'CSV8'!BY17+'CSV8'!AZ11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'CSV8'!AP25+SUM('CSV8'!BG25:BH25)+SUM('CSV8'!CD19:CE19)+'CSV8'!BC13+'CSV8'!BU13+'CSV8'!L36+'CSV8'!AI31+'CSV8'!AZ31</f>
        <v>0</v>
      </c>
      <c r="D87" s="55">
        <f>'CSV8'!AP24+SUM('CSV8'!BG24:BH24)+SUM('CSV8'!CD18:CE18)+'CSV8'!BC12+'CSV8'!BU12+'CSV8'!L35</f>
        <v>0</v>
      </c>
      <c r="E87" s="55">
        <f>'CSV8'!AP23+SUM('CSV8'!BG23:BH23)+SUM('CSV8'!CD17:CE17)+'CSV8'!BC11+'CSV8'!BU11+'CSV8'!L34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'CSV8'!AQ25+'CSV8'!BN25+'CSV8'!AD19+'CSV8'!CJ19+'CSV8'!AJ31+'CSV8'!BL31</f>
        <v>0</v>
      </c>
      <c r="D88" s="55">
        <f>'CSV8'!AQ24+'CSV8'!BN24+'CSV8'!AD18+'CSV8'!CJ18</f>
        <v>0</v>
      </c>
      <c r="E88" s="55">
        <f>'CSV8'!AQ23+'CSV8'!BN23+'CSV8'!AD17+'CSV8'!CJ17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SUM('CSV8'!AI25:AJ25)+'CSV8'!AM25+'CSV8'!BB25+'CSV8'!BE25+'CSV8'!BJ25+'CSV8'!BO25+'CSV8'!BP25+'CSV8'!BQ25+'CSV8'!BR25+'CSV8'!BS25+'CSV8'!CG19+'CSV8'!CK19+'CSV8'!BD13+'CSV8'!K36+'CSV8'!M36+'CSV8'!AP31+'CSV8'!BA31+SUM('CSV8'!BE31:BI31)+'CSV8'!BN31+'CSV8'!AE31+'CSV8'!BS31</f>
        <v>0</v>
      </c>
      <c r="D89" s="55">
        <f>SUM('CSV8'!AI24:AJ24)+'CSV8'!AM24+'CSV8'!BB24+'CSV8'!BE24+'CSV8'!BJ24+'CSV8'!BO24+'CSV8'!BP24+'CSV8'!BQ24+'CSV8'!BR24+'CSV8'!BS24+'CSV8'!CG18+'CSV8'!CK18+'CSV8'!BD12+'CSV8'!K35+'CSV8'!M35</f>
        <v>0</v>
      </c>
      <c r="E89" s="55">
        <f>SUM('CSV8'!AI23:AJ23)+'CSV8'!AM23+'CSV8'!BB23+'CSV8'!BE23+'CSV8'!BJ23+'CSV8'!BO23+'CSV8'!BP23+'CSV8'!BQ23+'CSV8'!BR23+'CSV8'!BS23+'CSV8'!CG17+'CSV8'!CK17+'CSV8'!BD11+'CSV8'!K34+'CSV8'!M34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SUM('CSV8'!AS25:AT25)+SUM('CSV8'!BK25:BM25)+SUM('CSV8'!BU25:BY25)+SUM('CSV8'!CH19:CI19)+SUM('CSV8'!CM19:CO19)+SUM('CSV8'!BE13:BF13)+SUM('CSV8'!BH13:BK13)+SUM('CSV8'!AK31:AL31)+SUM('CSV8'!BB31:BC31)+SUM('CSV8'!BP31:BQ31)</f>
        <v>0</v>
      </c>
      <c r="D90" s="55">
        <f>SUM('CSV8'!AS24:AT24)+SUM('CSV8'!BK24:BM24)+SUM('CSV8'!BU24:BY24)+SUM('CSV8'!CH18:CI18)+SUM('CSV8'!CM18:CO18)+SUM('CSV8'!BE12:BF12)+SUM('CSV8'!BH12:BK12)</f>
        <v>0</v>
      </c>
      <c r="E90" s="55">
        <f>SUM('CSV8'!AS23:AT23)+SUM('CSV8'!BK23:BM23)+SUM('CSV8'!BU23:BY23)+SUM('CSV8'!CH17:CI17)+SUM('CSV8'!CM17:CO17)+SUM('CSV8'!BE11:BF11)+SUM('CSV8'!BH11:BK11)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'CSV8'!AW25+'CSV8'!AS31</f>
        <v>0</v>
      </c>
      <c r="D93" s="55">
        <f>'CSV8'!AW24</f>
        <v>0</v>
      </c>
      <c r="E93" s="55">
        <f>'CSV8'!AW23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SUM('CSV8'!AX25:AZ25)+'CSV8'!AT31</f>
        <v>0</v>
      </c>
      <c r="D95" s="55">
        <f>SUM('CSV8'!AX24:AZ24)</f>
        <v>0</v>
      </c>
      <c r="E95" s="55">
        <f>SUM('CSV8'!AX23:AZ23)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-'CSV8'!AH25-'CSV8'!AO25+'CSV8'!CY25-'CSV8'!AB19+'CSV8'!CT19-'CSV8'!X13+'CSV8'!BP13-'CSV8'!AB31-'CSV8'!AN31+'CSV8'!DP31</f>
        <v>0</v>
      </c>
      <c r="D97" s="55">
        <f>-'CSV8'!AH24-'CSV8'!AO24+'CSV8'!CY24-'CSV8'!AB18+'CSV8'!CT18-'CSV8'!X12+'CSV8'!BP12</f>
        <v>0</v>
      </c>
      <c r="E97" s="55">
        <f>-'CSV8'!AH23-'CSV8'!AO23+'CSV8'!CY23-'CSV8'!AB17+'CSV8'!CT17-'CSV8'!X11+'CSV8'!BP11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Uvys/YbGKGe9kNesRAk0GPtbetzQEKA4rk2ZK4EO9BuodEbyHkdpfGYI+QmJ/vYLYZSgFnKxxdGVOx5G9pKGRQ==" saltValue="cVAM8j/K0kIIFJzSsUezj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7" priority="1" stopIfTrue="1" operator="lessThan">
      <formula>-0.2</formula>
    </cfRule>
    <cfRule type="cellIs" dxfId="16" priority="2" stopIfTrue="1" operator="lessThan">
      <formula>0</formula>
    </cfRule>
    <cfRule type="cellIs" dxfId="15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61"/>
      <c r="C3" s="561"/>
      <c r="D3" s="561"/>
      <c r="E3" s="561"/>
      <c r="F3" s="561"/>
      <c r="G3" s="561"/>
    </row>
    <row r="4" spans="1:10">
      <c r="A4" s="45" t="s">
        <v>597</v>
      </c>
      <c r="B4" s="561"/>
      <c r="C4" s="561"/>
      <c r="D4" s="561"/>
      <c r="E4" s="561"/>
      <c r="F4" s="561"/>
      <c r="G4" s="561"/>
    </row>
    <row r="5" spans="1:10">
      <c r="A5" s="45" t="s">
        <v>599</v>
      </c>
      <c r="B5" s="561"/>
      <c r="C5" s="561"/>
      <c r="D5" s="561"/>
      <c r="E5" s="561"/>
      <c r="F5" s="561"/>
      <c r="G5" s="561"/>
    </row>
    <row r="6" spans="1:10">
      <c r="A6" s="45" t="s">
        <v>601</v>
      </c>
      <c r="B6" s="561"/>
      <c r="C6" s="561"/>
      <c r="D6" s="561"/>
      <c r="E6" s="561"/>
      <c r="F6" s="561"/>
      <c r="G6" s="561"/>
    </row>
    <row r="7" spans="1:10" ht="25.5">
      <c r="A7" s="45" t="s">
        <v>603</v>
      </c>
      <c r="B7" s="563"/>
      <c r="C7" s="563"/>
      <c r="D7" s="563"/>
      <c r="E7" s="563"/>
      <c r="F7" s="563"/>
      <c r="G7" s="563"/>
    </row>
    <row r="8" spans="1:10">
      <c r="A8" s="45" t="s">
        <v>831</v>
      </c>
      <c r="B8" s="561"/>
      <c r="C8" s="561"/>
      <c r="D8" s="561"/>
      <c r="E8" s="561"/>
      <c r="F8" s="561"/>
      <c r="G8" s="561"/>
    </row>
    <row r="9" spans="1:10">
      <c r="A9" s="45" t="s">
        <v>832</v>
      </c>
      <c r="B9" s="564"/>
      <c r="C9" s="564"/>
      <c r="D9" s="564"/>
      <c r="E9" s="564"/>
      <c r="F9" s="564"/>
      <c r="G9" s="564"/>
    </row>
    <row r="10" spans="1:10">
      <c r="A10" s="46" t="s">
        <v>1025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'CSV9'!H6+'CSV9'!O6+'CSV9'!Q6+SUM('CSV9'!EM6:EN6)+SUM('CSV9'!GE6:GG6)</f>
        <v>0</v>
      </c>
      <c r="D15" s="55">
        <f>'CSV9'!H5+'CSV9'!O5+'CSV9'!Q5+SUM('CSV9'!EM5:EN5)+SUM('CSV9'!GE5:GG5)</f>
        <v>0</v>
      </c>
      <c r="E15" s="55">
        <f>'CSV9'!H4+'CSV9'!O4+'CSV9'!Q4+SUM('CSV9'!EM4:EN4)+SUM('CSV9'!GE4:GG4)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'CSV9'!V6</f>
        <v>0</v>
      </c>
      <c r="D17" s="55">
        <f>'CSV9'!V5</f>
        <v>0</v>
      </c>
      <c r="E17" s="55">
        <f>'CSV9'!V4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'CSV9'!U6</f>
        <v>0</v>
      </c>
      <c r="D18" s="55">
        <f>'CSV9'!U5</f>
        <v>0</v>
      </c>
      <c r="E18" s="55">
        <f>'CSV9'!U4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'CSV9'!ED6++'CSV9'!N6+'CSV9'!EH6+'CSV9'!EO6</f>
        <v>0</v>
      </c>
      <c r="D19" s="55">
        <f>'CSV9'!ED5+'CSV9'!N5+'CSV9'!EH5+'CSV9'!EO5</f>
        <v>0</v>
      </c>
      <c r="E19" s="55">
        <f>'CSV9'!ED4+'CSV9'!N4+'CSV9'!EH4+'CSV9'!EO4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'CSV9'!I6+'CSV9'!P6+'CSV9'!R6</f>
        <v>0</v>
      </c>
      <c r="D21" s="55">
        <f>'CSV9'!I5+'CSV9'!P5+'CSV9'!R5</f>
        <v>0</v>
      </c>
      <c r="E21" s="55">
        <f>'CSV9'!I4+'CSV9'!P4+'CSV9'!R4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'CSV9'!GH6</f>
        <v>0</v>
      </c>
      <c r="D22" s="57">
        <f>'CSV9'!GH5</f>
        <v>0</v>
      </c>
      <c r="E22" s="57">
        <f>'CSV9'!GH4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'CSV9'!K6+'CSV9'!L6+'CSV9'!W6+'CSV9'!X6</f>
        <v>0</v>
      </c>
      <c r="D24" s="55">
        <f>'CSV9'!K5+'CSV9'!L5+'CSV9'!W5+'CSV9'!X5</f>
        <v>0</v>
      </c>
      <c r="E24" s="55">
        <f>'CSV9'!K4+'CSV9'!L4+'CSV9'!W4+'CSV9'!X4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'CSV9'!Z6+'CSV9'!AA6+'CSV9'!AB6</f>
        <v>0</v>
      </c>
      <c r="D25" s="55">
        <f>'CSV9'!Z5+'CSV9'!AA5+'CSV9'!AB5</f>
        <v>0</v>
      </c>
      <c r="E25" s="55">
        <f>'CSV9'!Z4+'CSV9'!AA4+'CSV9'!AB4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'CSV9'!J6</f>
        <v>0</v>
      </c>
      <c r="D26" s="55">
        <f>'CSV9'!J5</f>
        <v>0</v>
      </c>
      <c r="E26" s="55">
        <f>'CSV9'!J4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'CSV9'!AK6+'CSV9'!AL6+'CSV9'!AM6</f>
        <v>0</v>
      </c>
      <c r="D29" s="55">
        <f>'CSV9'!AK5+'CSV9'!AL5+'CSV9'!AM5</f>
        <v>0</v>
      </c>
      <c r="E29" s="55">
        <f>'CSV9'!AK4+'CSV9'!AL4+'CSV9'!AM4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'CSV9'!AO6+'CSV9'!AP6+'CSV9'!AQ6+'CSV9'!AR6+'CSV9'!AS6+'CSV9'!AT6+'CSV9'!AU6+'CSV9'!AV6</f>
        <v>0</v>
      </c>
      <c r="D30" s="55">
        <f>'CSV9'!AO5+'CSV9'!AP5+'CSV9'!AQ5+'CSV9'!AR5+'CSV9'!AS5+'CSV9'!AT5+'CSV9'!AU5+'CSV9'!AV5</f>
        <v>0</v>
      </c>
      <c r="E30" s="55">
        <f>'CSV9'!AO4+'CSV9'!AP4+'CSV9'!AQ4+'CSV9'!AR4+'CSV9'!AS4+'CSV9'!AT4+'CSV9'!AU4+'CSV9'!AV4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'CSV9'!AF6+'CSV9'!AG6+'CSV9'!AH6</f>
        <v>0</v>
      </c>
      <c r="D31" s="55">
        <f>'CSV9'!AF5+'CSV9'!AG5+'CSV9'!AH5</f>
        <v>0</v>
      </c>
      <c r="E31" s="55">
        <f>'CSV9'!AF4+'CSV9'!AG4+'CSV9'!AH4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SUM('CSV9'!AX6:AZ6)+'CSV9'!BC6+'CSV9'!ED6-'CSV9'!EE6+'CSV9'!EH6-'CSV9'!EI6+'CSV9'!FN6+'CSV9'!FO6+SUM('CSV9'!FS6:FW6)</f>
        <v>0</v>
      </c>
      <c r="D32" s="55">
        <f>SUM('CSV9'!AX5:AZ5)+'CSV9'!BC5+'CSV9'!ED5-'CSV9'!EE5+'CSV9'!EH5-'CSV9'!EI5</f>
        <v>0</v>
      </c>
      <c r="E32" s="55">
        <f>SUM('CSV9'!AX4:AZ4)+'CSV9'!BC4+'CSV9'!ED4-'CSV9'!EE4+'CSV9'!EH4-'CSV9'!EI4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'CSV9'!Y6+'CSV9'!AC6+'CSV9'!AD6</f>
        <v>0</v>
      </c>
      <c r="D34" s="55">
        <f>'CSV9'!Y5+'CSV9'!AC5+'CSV9'!AD5</f>
        <v>0</v>
      </c>
      <c r="E34" s="55">
        <f>'CSV9'!Y4+'CSV9'!AC4+'CSV9'!AD4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SUM('CSV9'!BD6:BM6)+'CSV9'!BV6</f>
        <v>0</v>
      </c>
      <c r="D35" s="55">
        <f>SUM('CSV9'!BD5:BM5)+'CSV9'!BV5</f>
        <v>0</v>
      </c>
      <c r="E35" s="55">
        <f>SUM('CSV9'!BD4:BM4)+'CSV9'!BV4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SUM('CSV9'!BA6:BB6)+'CSV9'!BQ6+'CSV9'!BR6+'CSV9'!BS6+'CSV9'!BT6+SUM('CSV9'!BW6:BY6)+SUM('CSV9'!CH6:CI6)+SUM('CSV9'!CK6:CU6)+'CSV9'!DB6+'CSV9'!DD6+'CSV9'!DJ6+'CSV9'!EF6+'CSV9'!EJ6+SUM('CSV9'!EM6:EO6)-'CSV9'!EP6+'CSV9'!GA6</f>
        <v>0</v>
      </c>
      <c r="D36" s="55">
        <f>SUM('CSV9'!BA5:BB5)+'CSV9'!BQ5+'CSV9'!BR5+'CSV9'!BS5+'CSV9'!BT5+SUM('CSV9'!BW5:BY5)+SUM('CSV9'!CH5:CI5)+SUM('CSV9'!CK5:CU5)+'CSV9'!DB5+'CSV9'!DD5+'CSV9'!DJ5+'CSV9'!EF5+'CSV9'!EJ5+SUM('CSV9'!EM5:EO5)-'CSV9'!EP5</f>
        <v>0</v>
      </c>
      <c r="E36" s="55">
        <f>SUM('CSV9'!BA4:BB4)+'CSV9'!BQ4+'CSV9'!BR4+'CSV9'!BS4+'CSV9'!BT4+SUM('CSV9'!BW4:BY4)+SUM('CSV9'!CH4:CI4)+SUM('CSV9'!CK4:CU4)+'CSV9'!DB4+'CSV9'!DD4+'CSV9'!DJ4+'CSV9'!EF4+'CSV9'!EJ4+SUM('CSV9'!EM4:EO4)-'CSV9'!EP4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SUM('CSV9'!BZ6:CA6)+SUM('CSV9'!CB6,'CSV9'!CC6,'CSV9'!CE6,'CSV9'!CF6)+SUM('CSV9'!CV6:CZ6)</f>
        <v>0</v>
      </c>
      <c r="D37" s="55">
        <f>SUM('CSV9'!BZ5:CA5)+SUM('CSV9'!CB5,'CSV9'!CC5,'CSV9'!CE5,'CSV9'!CF5)+SUM('CSV9'!CV5:CZ5)</f>
        <v>0</v>
      </c>
      <c r="E37" s="55">
        <f>SUM('CSV9'!BZ4:CA4)+SUM('CSV9'!CB4,'CSV9'!CC4,'CSV9'!CE4,'CSV9'!CF4)+SUM('CSV9'!CV4:CZ4)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'CSV9'!DQ6+'CSV9'!FX6</f>
        <v>0</v>
      </c>
      <c r="D39" s="55">
        <f>'CSV9'!DQ5</f>
        <v>0</v>
      </c>
      <c r="E39" s="55">
        <f>'CSV9'!DQ4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SUM('CSV9'!DE6:DG6)+'CSV9'!DI6</f>
        <v>0</v>
      </c>
      <c r="D40" s="55">
        <f>SUM('CSV9'!DE5:DG5)+'CSV9'!DI5</f>
        <v>0</v>
      </c>
      <c r="E40" s="55">
        <f>SUM('CSV9'!DE4:DG4)+'CSV9'!DI4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'CSV9'!DM6+'CSV9'!DO6</f>
        <v>0</v>
      </c>
      <c r="D44" s="55">
        <f>'CSV9'!DM5+'CSV9'!DO5</f>
        <v>0</v>
      </c>
      <c r="E44" s="55">
        <f>'CSV9'!DM4+'CSV9'!DO4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'CSV9'!DL6+'CSV9'!DN6</f>
        <v>0</v>
      </c>
      <c r="D46" s="55">
        <f>'CSV9'!DL5+'CSV9'!DN5</f>
        <v>0</v>
      </c>
      <c r="E46" s="55">
        <f>'CSV9'!DL4+'CSV9'!DN4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'CSV9'!DC6</f>
        <v>0</v>
      </c>
      <c r="D48" s="55">
        <f>'CSV9'!DC5</f>
        <v>0</v>
      </c>
      <c r="E48" s="55">
        <f>'CSV9'!DC4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SUM('CSV9'!DS6:DT6)</f>
        <v>0</v>
      </c>
      <c r="D50" s="55">
        <f>SUM('CSV9'!DS5:DT5)</f>
        <v>0</v>
      </c>
      <c r="E50" s="55">
        <f>SUM('CSV9'!DS4:DT4)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SUM('CSV9'!DY6:DZ6)</f>
        <v>0</v>
      </c>
      <c r="D52" s="55">
        <f>SUM('CSV9'!DY5:DZ5)</f>
        <v>0</v>
      </c>
      <c r="E52" s="55">
        <f>SUM('CSV9'!DY4:DZ4)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'CSV9'!DX6</f>
        <v>0</v>
      </c>
      <c r="D53" s="55">
        <f>'CSV9'!DX5</f>
        <v>0</v>
      </c>
      <c r="E53" s="55">
        <f>'CSV9'!DX4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6" t="str">
        <f>IF($B$7&lt;&gt;"",CONCATENATE("31/03/",$B$7),"31/03/2020")</f>
        <v>31/03/2020</v>
      </c>
      <c r="D58" s="346" t="str">
        <f>IF($B$7&lt;&gt;"",CONCATENATE("31/03/",$B$7-1),"31/03/2019")</f>
        <v>31/03/2019</v>
      </c>
      <c r="E58" s="347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'CSV9'!I25+'CSV9'!J25+'CSV9'!I31+'CSV9'!J31</f>
        <v>0</v>
      </c>
      <c r="D59" s="55">
        <f>'CSV9'!I24+'CSV9'!J24</f>
        <v>0</v>
      </c>
      <c r="E59" s="55">
        <f>'CSV9'!I23+'CSV9'!J23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'CSV9'!H19+'CSV9'!H13+'CSV9'!H36+SUM('CSV9'!O36:U36)-SUM('CSV9'!H36:M36)</f>
        <v>0</v>
      </c>
      <c r="D60" s="55">
        <f>'CSV9'!H18+'CSV9'!H12+'CSV9'!H35+SUM('CSV9'!O35:U35)-SUM('CSV9'!H35:M35)</f>
        <v>0</v>
      </c>
      <c r="E60" s="55">
        <f>'CSV9'!H17+'CSV9'!H11+'CSV9'!H34+SUM('CSV9'!O34:U34)-SUM('CSV9'!H34:M34)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SUM('CSV9'!I13:L13)-'CSV9'!BQ13+SUM('CSV9'!I19:M19)-'CSV9'!CU19+SUM('CSV9'!L25:S25)+'CSV9'!U25+SUM('CSV9'!W25:X25)+SUM('CSV9'!L31:O31)+'CSV9'!Q31</f>
        <v>0</v>
      </c>
      <c r="D61" s="55">
        <f>SUM('CSV9'!I12:L12)-'CSV9'!BQ12+SUM('CSV9'!I18:M18)-'CSV9'!CU18+SUM('CSV9'!L24:S24)+'CSV9'!U24+SUM('CSV9'!W24:X24)</f>
        <v>0</v>
      </c>
      <c r="E61" s="55">
        <f>SUM('CSV9'!I11:L11)-'CSV9'!BQ11+SUM('CSV9'!I17:M17)-'CSV9'!CU17+SUM('CSV9'!L23:S23)+'CSV9'!U23+SUM('CSV9'!W23:X23)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'CSV9'!CS19+'CSV9'!BO13</f>
        <v>0</v>
      </c>
      <c r="D62" s="55">
        <f>'CSV9'!CS18+'CSV9'!BO12</f>
        <v>0</v>
      </c>
      <c r="E62" s="55">
        <f>'CSV9'!CS17+'CSV9'!BO11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'CSV9'!AK25+'CSV9'!BC25+'CSV9'!AC19+'CSV9'!AC31+'CSV9'!AD31+'CSV9'!AF31+'CSV9'!AG31+'CSV9'!AO31+SUM('CSV9'!AV31:AX31)+'CSV9'!BM31</f>
        <v>0</v>
      </c>
      <c r="D64" s="55">
        <f>'CSV9'!AK24+'CSV9'!BC24+'CSV9'!AC18</f>
        <v>0</v>
      </c>
      <c r="E64" s="55">
        <f>'CSV9'!AK23+'CSV9'!BC23+'CSV9'!AC17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'CSV9'!DB25+'CSV9'!EP25+'CSV9'!DG31</f>
        <v>0</v>
      </c>
      <c r="D65" s="55">
        <f>'CSV9'!DB24+'CSV9'!EP24</f>
        <v>0</v>
      </c>
      <c r="E65" s="55">
        <f>'CSV9'!DB23+'CSV9'!EP23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SUM('CSV9'!Z25:AA25)+SUM('CSV9'!AC25:AE25)+SUM('CSV9'!P19:R19)+SUM('CSV9'!O13:Q13)+'CSV9'!I36+SUM('CSV9'!T31:U31)+SUM('CSV9'!W31:Y31)</f>
        <v>0</v>
      </c>
      <c r="D67" s="55">
        <f>SUM('CSV9'!Z24:AA24)+SUM('CSV9'!AC24:AE24)+SUM('CSV9'!P18:R18)+SUM('CSV9'!O12:Q12)+'CSV9'!I35</f>
        <v>0</v>
      </c>
      <c r="E67" s="55">
        <f>SUM('CSV9'!Z23:AA23)+SUM('CSV9'!AC23:AE23)+SUM('CSV9'!P17:R17)+SUM('CSV9'!O11:Q11)+'CSV9'!I34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'CSV9'!AL25+'CSV9'!BD25+SUM('CSV9'!U19:X19)+SUM('CSV9'!T13:U13)+'CSV9'!J36</f>
        <v>0</v>
      </c>
      <c r="D68" s="55">
        <f>'CSV9'!AL24+'CSV9'!BD24+SUM('CSV9'!U18:X18)+SUM('CSV9'!T12:U12)+'CSV9'!J35</f>
        <v>0</v>
      </c>
      <c r="E68" s="55">
        <f>'CSV9'!AL23+'CSV9'!BD23+SUM('CSV9'!U17:X17)+SUM('CSV9'!T11:U11)+'CSV9'!J34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'CSV9'!CC25+'CSV9'!CG25+'CSV9'!AG19+'CSV9'!Z13+SUM('CSV9'!CK25:CL25)+'CSV9'!AC13+'CSV9'!AJ19+'CSV9'!BV31+'CSV9'!BZ31+'CSV9'!CE31+'CSV9'!CI31+'CSV9'!CM31+'CSV9'!CN31</f>
        <v>0</v>
      </c>
      <c r="D71" s="55">
        <f>'CSV9'!CC24+'CSV9'!CG24+'CSV9'!AG18+'CSV9'!Z12+SUM('CSV9'!CK24:CL24)+'CSV9'!AC12+'CSV9'!AJ18</f>
        <v>0</v>
      </c>
      <c r="E71" s="55">
        <f>'CSV9'!CC23+'CSV9'!CG23+'CSV9'!AG17+'CSV9'!Z11+SUM('CSV9'!CK23:CL23)+'CSV9'!AC11+'CSV9'!AJ17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'CSV9'!CF25+'CSV9'!CJ25+'CSV9'!AI19+'CSV9'!AB13+SUM('CSV9'!CK25:CL25)+'CSV9'!AC13+'CSV9'!AJ19+'CSV9'!O36+'CSV9'!BY31+'CSV9'!BZ31+'CSV9'!CG31+'CSV9'!CL31+'CSV9'!CM31+'CSV9'!CP31</f>
        <v>0</v>
      </c>
      <c r="D72" s="55">
        <f>'CSV9'!CF24+'CSV9'!CJ24+'CSV9'!AI18+'CSV9'!AB12+SUM('CSV9'!CK24:CL24)+'CSV9'!AC12+'CSV9'!AJ18+'CSV9'!O35</f>
        <v>0</v>
      </c>
      <c r="E72" s="55">
        <f>'CSV9'!CF23+'CSV9'!CJ23+'CSV9'!AI17+'CSV9'!AB11+SUM('CSV9'!CK23:CL23)+'CSV9'!AC11+'CSV9'!AJ17+'CSV9'!O34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9'!CN25+'CSV9'!CO25+'CSV9'!CP25+SUM('CSV9'!CR25:CW25)+'CSV9'!DA25+SUM('CSV9'!DP25:DQ25)+SUM('CSV9'!DS25:DX25)+SUM('CSV9'!AL19:AN19)+SUM('CSV9'!AP19:AT19)+SUM('CSV9'!AV19:AW19)+SUM('CSV9'!AY19:BC19)+'CSV9'!BX19+SUM('CSV9'!AE13:AF13)+SUM('CSV9'!AH13:AJ13)+'CSV9'!AY13+SUM('CSV9'!CR31:CS31)+SUM('CSV9'!CU31:CZ31)+'CSV9'!DF31+SUM('CSV9'!EG31:EH31)+SUM('CSV9'!EJ31:EO31)+'CSV9'!CD31</f>
        <v>0</v>
      </c>
      <c r="D73" s="55">
        <f>'CSV9'!CN24+'CSV9'!CO24+'CSV9'!CP24+SUM('CSV9'!CR24:CW24)+'CSV9'!DA24+SUM('CSV9'!DP24:DQ24)+SUM('CSV9'!DS24:DX24)+SUM('CSV9'!AL18:AN18)+SUM('CSV9'!AP18:AT18)+SUM('CSV9'!AV18:AW18)+SUM('CSV9'!AY18:BC18)+'CSV9'!BX18+SUM('CSV9'!AE12:AF12)+SUM('CSV9'!AH12:AJ12)+'CSV9'!AY12</f>
        <v>0</v>
      </c>
      <c r="E73" s="55">
        <f>'CSV9'!CN23+'CSV9'!CO23+'CSV9'!CP23+SUM('CSV9'!CR23:CW23)+'CSV9'!DA23+SUM('CSV9'!DP23:DQ23)+SUM('CSV9'!DS23:DX23)+SUM('CSV9'!AL17:AN17)+SUM('CSV9'!AP17:AT17)+SUM('CSV9'!AV17:AW17)+SUM('CSV9'!AY17:BC17)+'CSV9'!BX17+SUM('CSV9'!AE11:AF11)+SUM('CSV9'!AH11:AJ11)+'CSV9'!AY11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5" t="s">
        <v>904</v>
      </c>
      <c r="B76" s="54"/>
      <c r="C76" s="55">
        <f>'CSV9'!DZ25+'CSV9'!BF19+'CSV9'!AN13+'CSV9'!DX31</f>
        <v>0</v>
      </c>
      <c r="D76" s="55">
        <f>'CSV9'!DZ24+'CSV9'!BF18+'CSV9'!AN12</f>
        <v>0</v>
      </c>
      <c r="E76" s="55">
        <f>'CSV9'!DZ23+'CSV9'!BF17+'CSV9'!AN11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5" t="s">
        <v>905</v>
      </c>
      <c r="B77" s="54"/>
      <c r="C77" s="55">
        <f>SUM('CSV9'!ED25:EE25)+SUM('CSV9'!BJ19:BK19)+'CSV9'!AM13+SUM('CSV9'!EB31:EC31)</f>
        <v>0</v>
      </c>
      <c r="D77" s="55">
        <f>SUM('CSV9'!ED24:EE24)+SUM('CSV9'!BJ18:BK18)+'CSV9'!AM12</f>
        <v>0</v>
      </c>
      <c r="E77" s="55">
        <f>SUM('CSV9'!ED23:EE23)+SUM('CSV9'!BJ17:BK17)+'CSV9'!AM11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5" t="s">
        <v>906</v>
      </c>
      <c r="B78" s="54"/>
      <c r="C78" s="55">
        <f>'CSV9'!EA25+'CSV9'!BG19+'CSV9'!AO13+'CSV9'!DY31</f>
        <v>0</v>
      </c>
      <c r="D78" s="55">
        <f>'CSV9'!EA24+'CSV9'!BG18+'CSV9'!AO12</f>
        <v>0</v>
      </c>
      <c r="E78" s="55">
        <f>'CSV9'!EA23+'CSV9'!BG17+'CSV9'!AO11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5" t="s">
        <v>907</v>
      </c>
      <c r="B79" s="54"/>
      <c r="C79" s="55">
        <f>SUM('CSV9'!EB25:EC25)+'CSV9'!EF25+SUM('CSV9'!BH19:BI19)+'CSV9'!BL19+'CSV9'!AP13+'CSV9'!P36+SUM('CSV9'!DZ31:EA31)+'CSV9'!EE31</f>
        <v>0</v>
      </c>
      <c r="D79" s="55">
        <f>SUM('CSV9'!EB24:EC24)+'CSV9'!EF24+SUM('CSV9'!BH18:BI18)+'CSV9'!BL18+'CSV9'!AP12+'CSV9'!P35</f>
        <v>0</v>
      </c>
      <c r="E79" s="55">
        <f>SUM('CSV9'!EB23:EC23)+'CSV9'!EF23+SUM('CSV9'!BH17:BI17)+'CSV9'!BL17+'CSV9'!AP11+'CSV9'!P34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5" t="s">
        <v>909</v>
      </c>
      <c r="B81" s="54"/>
      <c r="C81" s="55">
        <f>SUM('CSV9'!DH25:DI25)+'CSV9'!EI25+'CSV9'!BO19+'CSV9'!AR13+'CSV9'!Q36+SUM('CSV9'!DB31:DC31)+SUM('CSV9'!DM31:DN31)+SUM('CSV9'!EQ31:ER31)</f>
        <v>0</v>
      </c>
      <c r="D81" s="55">
        <f>SUM('CSV9'!DH24:DI24)+'CSV9'!EI24+'CSV9'!BO18+'CSV9'!AR12+'CSV9'!Q35</f>
        <v>0</v>
      </c>
      <c r="E81" s="55">
        <f>SUM('CSV9'!DH23:DI23)+'CSV9'!EI23+'CSV9'!BO17+'CSV9'!AR11+'CSV9'!Q34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5" t="s">
        <v>910</v>
      </c>
      <c r="B82" s="54"/>
      <c r="C82" s="55">
        <f>'CSV9'!DJ25+'CSV9'!DL25+'CSV9'!EH25+'CSV9'!BN19+'CSV9'!DD31+'CSV9'!ES31</f>
        <v>0</v>
      </c>
      <c r="D82" s="55">
        <f>'CSV9'!DJ24+'CSV9'!DL24+'CSV9'!EH24+'CSV9'!BN18</f>
        <v>0</v>
      </c>
      <c r="E82" s="55">
        <f>'CSV9'!DJ23+'CSV9'!DL23+'CSV9'!EH23+'CSV9'!BN17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'CSV9'!CZ25+'CSV9'!DC25+'CSV9'!EQ25+'CSV9'!EV25+'CSV9'!BU19+'CSV9'!BW19+'CSV9'!AV13+'CSV9'!AX13+'CSV9'!T36+'CSV9'!U36+'CSV9'!DH31+SUM('CSV9'!DQ31:DS31)+SUM('CSV9'!FB31:FD31)+'CSV9'!FI31+SUM('CSV9'!FL31:FM31)+'CSV9'!FK31</f>
        <v>0</v>
      </c>
      <c r="D83" s="55">
        <f>'CSV9'!CZ24+'CSV9'!DC24+'CSV9'!EQ24+'CSV9'!EV24+'CSV9'!BU18+'CSV9'!BW18+'CSV9'!AV12+'CSV9'!AX12+'CSV9'!T35+'CSV9'!U35</f>
        <v>0</v>
      </c>
      <c r="E83" s="55">
        <f>'CSV9'!CZ23+'CSV9'!DC23+'CSV9'!EQ23+'CSV9'!EV23+'CSV9'!BU17+'CSV9'!BW17+'CSV9'!AV11+'CSV9'!AX11+'CSV9'!T34+'CSV9'!U34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SUM('CSV9'!EK25:EN25)+SUM('CSV9'!BQ19:BS19)+SUM('CSV9'!AS13:AT13)+'CSV9'!BW13+'CSV9'!S36+'CSV9'!R36+SUM('CSV9'!EV31:EY31)+'CSV9'!FA31</f>
        <v>0</v>
      </c>
      <c r="D84" s="55">
        <f>SUM('CSV9'!EK24:EN24)+SUM('CSV9'!BQ18:BS18)+SUM('CSV9'!AS12:AT12)+'CSV9'!BW12+'CSV9'!S35+'CSV9'!R35</f>
        <v>0</v>
      </c>
      <c r="E84" s="55">
        <f>SUM('CSV9'!EK23:EN23)+SUM('CSV9'!BQ17:BS17)+SUM('CSV9'!AS11:AT11)+'CSV9'!BW11+'CSV9'!S34+'CSV9'!R34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'CSV9'!BY19+'CSV9'!AZ13</f>
        <v>0</v>
      </c>
      <c r="D85" s="55">
        <f>'CSV9'!BY18+'CSV9'!AZ12</f>
        <v>0</v>
      </c>
      <c r="E85" s="55">
        <f>'CSV9'!BY17+'CSV9'!AZ11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'CSV9'!AP25+SUM('CSV9'!BG25:BH25)+SUM('CSV9'!CD19:CE19)+'CSV9'!BC13+'CSV9'!BU13+'CSV9'!L36+'CSV9'!AI31+'CSV9'!AZ31</f>
        <v>0</v>
      </c>
      <c r="D87" s="55">
        <f>'CSV9'!AP24+SUM('CSV9'!BG24:BH24)+SUM('CSV9'!CD18:CE18)+'CSV9'!BC12+'CSV9'!BU12+'CSV9'!L35</f>
        <v>0</v>
      </c>
      <c r="E87" s="55">
        <f>'CSV9'!AP23+SUM('CSV9'!BG23:BH23)+SUM('CSV9'!CD17:CE17)+'CSV9'!BC11+'CSV9'!BU11+'CSV9'!L34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'CSV9'!AQ25+'CSV9'!BN25+'CSV9'!AD19+'CSV9'!CJ19+'CSV9'!AJ31+'CSV9'!BL31</f>
        <v>0</v>
      </c>
      <c r="D88" s="55">
        <f>'CSV9'!AQ24+'CSV9'!BN24+'CSV9'!AD18+'CSV9'!CJ18</f>
        <v>0</v>
      </c>
      <c r="E88" s="55">
        <f>'CSV9'!AQ23+'CSV9'!BN23+'CSV9'!AD17+'CSV9'!CJ17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SUM('CSV9'!AI25:AJ25)+'CSV9'!AM25+'CSV9'!BB25+'CSV9'!BE25+'CSV9'!BJ25+'CSV9'!BO25+'CSV9'!BP25+'CSV9'!BQ25+'CSV9'!BR25+'CSV9'!BS25+'CSV9'!CG19+'CSV9'!CK19+'CSV9'!BD13+'CSV9'!K36+'CSV9'!M36+'CSV9'!AP31+'CSV9'!BA31+SUM('CSV9'!BE31:BI31)+'CSV9'!BN31+'CSV9'!AE31+'CSV9'!BS31</f>
        <v>0</v>
      </c>
      <c r="D89" s="55">
        <f>SUM('CSV9'!AI24:AJ24)+'CSV9'!AM24+'CSV9'!BB24+'CSV9'!BE24+'CSV9'!BJ24+'CSV9'!BO24+'CSV9'!BP24+'CSV9'!BQ24+'CSV9'!BR24+'CSV9'!BS24+'CSV9'!CG18+'CSV9'!CK18+'CSV9'!BD12+'CSV9'!K35+'CSV9'!M35</f>
        <v>0</v>
      </c>
      <c r="E89" s="55">
        <f>SUM('CSV9'!AI23:AJ23)+'CSV9'!AM23+'CSV9'!BB23+'CSV9'!BE23+'CSV9'!BJ23+'CSV9'!BO23+'CSV9'!BP23+'CSV9'!BQ23+'CSV9'!BR23+'CSV9'!BS23+'CSV9'!CG17+'CSV9'!CK17+'CSV9'!BD11+'CSV9'!K34+'CSV9'!M34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SUM('CSV9'!AS25:AT25)+SUM('CSV9'!BK25:BM25)+SUM('CSV9'!BU25:BY25)+SUM('CSV9'!CH19:CI19)+SUM('CSV9'!CM19:CO19)+SUM('CSV9'!BE13:BF13)+SUM('CSV9'!BH13:BK13)+SUM('CSV9'!AK31:AL31)+SUM('CSV9'!BB31:BC31)+SUM('CSV9'!BP31:BQ31)</f>
        <v>0</v>
      </c>
      <c r="D90" s="55">
        <f>SUM('CSV9'!AS24:AT24)+SUM('CSV9'!BK24:BM24)+SUM('CSV9'!BU24:BY24)+SUM('CSV9'!CH18:CI18)+SUM('CSV9'!CM18:CO18)+SUM('CSV9'!BE12:BF12)+SUM('CSV9'!BH12:BK12)</f>
        <v>0</v>
      </c>
      <c r="E90" s="55">
        <f>SUM('CSV9'!AS23:AT23)+SUM('CSV9'!BK23:BM23)+SUM('CSV9'!BU23:BY23)+SUM('CSV9'!CH17:CI17)+SUM('CSV9'!CM17:CO17)+SUM('CSV9'!BE11:BF11)+SUM('CSV9'!BH11:BK11)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'CSV9'!AW25+'CSV9'!AS31</f>
        <v>0</v>
      </c>
      <c r="D93" s="55">
        <f>'CSV9'!AW24</f>
        <v>0</v>
      </c>
      <c r="E93" s="55">
        <f>'CSV9'!AW23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SUM('CSV9'!AX25:AZ25)+'CSV9'!AT31</f>
        <v>0</v>
      </c>
      <c r="D95" s="55">
        <f>SUM('CSV9'!AX24:AZ24)</f>
        <v>0</v>
      </c>
      <c r="E95" s="55">
        <f>SUM('CSV9'!AX23:AZ23)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-'CSV9'!AH25-'CSV9'!AO25+'CSV9'!CY25-'CSV9'!AB19+'CSV9'!CT19-'CSV9'!X13+'CSV9'!BP13-'CSV9'!AB31-'CSV9'!AN31+'CSV9'!DP31</f>
        <v>0</v>
      </c>
      <c r="D97" s="55">
        <f>-'CSV9'!AH24-'CSV9'!AO24+'CSV9'!CY24-'CSV9'!AB18+'CSV9'!CT18-'CSV9'!X12+'CSV9'!BP12</f>
        <v>0</v>
      </c>
      <c r="E97" s="55">
        <f>-'CSV9'!AH23-'CSV9'!AO23+'CSV9'!CY23-'CSV9'!AB17+'CSV9'!CT17-'CSV9'!X11+'CSV9'!BP11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eRHH4wHy9q3/IhEqDsaHYvYBa4vtZBqBRrpB69Y8Z5v7ek08PEQFp6v6U9GJU34EPLsTrJB6jvbPsXUFDrvz9Q==" saltValue="MiUcs/a+RZ/fNInycNAoZ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4" priority="1" stopIfTrue="1" operator="lessThan">
      <formula>-0.2</formula>
    </cfRule>
    <cfRule type="cellIs" dxfId="13" priority="2" stopIfTrue="1" operator="lessThan">
      <formula>0</formula>
    </cfRule>
    <cfRule type="cellIs" dxfId="12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61"/>
      <c r="C3" s="561"/>
      <c r="D3" s="561"/>
      <c r="E3" s="561"/>
      <c r="F3" s="561"/>
      <c r="G3" s="561"/>
    </row>
    <row r="4" spans="1:10">
      <c r="A4" s="45" t="s">
        <v>597</v>
      </c>
      <c r="B4" s="561"/>
      <c r="C4" s="561"/>
      <c r="D4" s="561"/>
      <c r="E4" s="561"/>
      <c r="F4" s="561"/>
      <c r="G4" s="561"/>
    </row>
    <row r="5" spans="1:10">
      <c r="A5" s="45" t="s">
        <v>599</v>
      </c>
      <c r="B5" s="561"/>
      <c r="C5" s="561"/>
      <c r="D5" s="561"/>
      <c r="E5" s="561"/>
      <c r="F5" s="561"/>
      <c r="G5" s="561"/>
    </row>
    <row r="6" spans="1:10">
      <c r="A6" s="45" t="s">
        <v>601</v>
      </c>
      <c r="B6" s="561"/>
      <c r="C6" s="561"/>
      <c r="D6" s="561"/>
      <c r="E6" s="561"/>
      <c r="F6" s="561"/>
      <c r="G6" s="561"/>
    </row>
    <row r="7" spans="1:10" ht="25.5">
      <c r="A7" s="45" t="s">
        <v>603</v>
      </c>
      <c r="B7" s="563"/>
      <c r="C7" s="563"/>
      <c r="D7" s="563"/>
      <c r="E7" s="563"/>
      <c r="F7" s="563"/>
      <c r="G7" s="563"/>
    </row>
    <row r="8" spans="1:10">
      <c r="A8" s="45" t="s">
        <v>831</v>
      </c>
      <c r="B8" s="561"/>
      <c r="C8" s="561"/>
      <c r="D8" s="561"/>
      <c r="E8" s="561"/>
      <c r="F8" s="561"/>
      <c r="G8" s="561"/>
    </row>
    <row r="9" spans="1:10">
      <c r="A9" s="45" t="s">
        <v>832</v>
      </c>
      <c r="B9" s="564"/>
      <c r="C9" s="564"/>
      <c r="D9" s="564"/>
      <c r="E9" s="564"/>
      <c r="F9" s="564"/>
      <c r="G9" s="564"/>
    </row>
    <row r="10" spans="1:10">
      <c r="A10" s="46" t="s">
        <v>1025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'CSV10'!H6+'CSV10'!O6+'CSV10'!Q6+SUM('CSV10'!EM6:EN6)+SUM('CSV10'!GE6:GG6)</f>
        <v>0</v>
      </c>
      <c r="D15" s="55">
        <f>'CSV10'!H5+'CSV10'!O5+'CSV10'!Q5+SUM('CSV10'!EM5:EN5)+SUM('CSV10'!GE5:GG5)</f>
        <v>0</v>
      </c>
      <c r="E15" s="55">
        <f>'CSV10'!H4+'CSV10'!O4+'CSV10'!Q4+SUM('CSV10'!EM4:EN4)+SUM('CSV10'!GE4:GG4)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'CSV10'!V6</f>
        <v>0</v>
      </c>
      <c r="D17" s="55">
        <f>'CSV10'!V5</f>
        <v>0</v>
      </c>
      <c r="E17" s="55">
        <f>'CSV10'!V4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'CSV10'!U6</f>
        <v>0</v>
      </c>
      <c r="D18" s="55">
        <f>'CSV10'!U5</f>
        <v>0</v>
      </c>
      <c r="E18" s="55">
        <f>'CSV10'!U4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'CSV10'!ED6++'CSV10'!N6+'CSV10'!EH6+'CSV10'!EO6</f>
        <v>0</v>
      </c>
      <c r="D19" s="55">
        <f>'CSV10'!ED5+'CSV10'!N5+'CSV10'!EH5+'CSV10'!EO5</f>
        <v>0</v>
      </c>
      <c r="E19" s="55">
        <f>'CSV10'!ED4+'CSV10'!N4+'CSV10'!EH4+'CSV10'!EO4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'CSV10'!I6+'CSV10'!P6+'CSV10'!R6</f>
        <v>0</v>
      </c>
      <c r="D21" s="55">
        <f>'CSV10'!I5+'CSV10'!P5+'CSV10'!R5</f>
        <v>0</v>
      </c>
      <c r="E21" s="55">
        <f>'CSV10'!I4+'CSV10'!P4+'CSV10'!R4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'CSV10'!GH6</f>
        <v>0</v>
      </c>
      <c r="D22" s="57">
        <f>'CSV10'!GH5</f>
        <v>0</v>
      </c>
      <c r="E22" s="57">
        <f>'CSV10'!GH4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'CSV10'!K6+'CSV10'!L6+'CSV10'!W6+'CSV10'!X6</f>
        <v>0</v>
      </c>
      <c r="D24" s="55">
        <f>'CSV10'!K5+'CSV10'!L5+'CSV10'!W5+'CSV10'!X5</f>
        <v>0</v>
      </c>
      <c r="E24" s="55">
        <f>'CSV10'!K4+'CSV10'!L4+'CSV10'!W4+'CSV10'!X4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'CSV10'!Z6+'CSV10'!AA6+'CSV10'!AB6</f>
        <v>0</v>
      </c>
      <c r="D25" s="55">
        <f>'CSV10'!Z5+'CSV10'!AA5+'CSV10'!AB5</f>
        <v>0</v>
      </c>
      <c r="E25" s="55">
        <f>'CSV10'!Z4+'CSV10'!AA4+'CSV10'!AB4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'CSV10'!J6</f>
        <v>0</v>
      </c>
      <c r="D26" s="55">
        <f>'CSV10'!J5</f>
        <v>0</v>
      </c>
      <c r="E26" s="55">
        <f>'CSV10'!J4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'CSV10'!AK6+'CSV10'!AL6+'CSV10'!AM6</f>
        <v>0</v>
      </c>
      <c r="D29" s="55">
        <f>'CSV10'!AK5+'CSV10'!AL5+'CSV10'!AM5</f>
        <v>0</v>
      </c>
      <c r="E29" s="55">
        <f>'CSV10'!AK4+'CSV10'!AL4+'CSV10'!AM4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'CSV10'!AO6+'CSV10'!AP6+'CSV10'!AQ6+'CSV10'!AR6+'CSV10'!AS6+'CSV10'!AT6+'CSV10'!AU6+'CSV10'!AV6</f>
        <v>0</v>
      </c>
      <c r="D30" s="55">
        <f>'CSV10'!AO5+'CSV10'!AP5+'CSV10'!AQ5+'CSV10'!AR5+'CSV10'!AS5+'CSV10'!AT5+'CSV10'!AU5+'CSV10'!AV5</f>
        <v>0</v>
      </c>
      <c r="E30" s="55">
        <f>'CSV10'!AO4+'CSV10'!AP4+'CSV10'!AQ4+'CSV10'!AR4+'CSV10'!AS4+'CSV10'!AT4+'CSV10'!AU4+'CSV10'!AV4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'CSV10'!AF6+'CSV10'!AG6+'CSV10'!AH6</f>
        <v>0</v>
      </c>
      <c r="D31" s="55">
        <f>'CSV10'!AF5+'CSV10'!AG5+'CSV10'!AH5</f>
        <v>0</v>
      </c>
      <c r="E31" s="55">
        <f>'CSV10'!AF4+'CSV10'!AG4+'CSV10'!AH4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SUM('CSV10'!AX6:AZ6)+'CSV10'!BC6+'CSV10'!ED6-'CSV10'!EE6+'CSV10'!EH6-'CSV10'!EI6+'CSV10'!FN6+'CSV10'!FO6+SUM('CSV10'!FS6:FW6)</f>
        <v>0</v>
      </c>
      <c r="D32" s="55">
        <f>SUM('CSV10'!AX5:AZ5)+'CSV10'!BC5+'CSV10'!ED5-'CSV10'!EE5+'CSV10'!EH5-'CSV10'!EI5</f>
        <v>0</v>
      </c>
      <c r="E32" s="55">
        <f>SUM('CSV10'!AX4:AZ4)+'CSV10'!BC4+'CSV10'!ED4-'CSV10'!EE4+'CSV10'!EH4-'CSV10'!EI4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'CSV10'!Y6+'CSV10'!AC6+'CSV10'!AD6</f>
        <v>0</v>
      </c>
      <c r="D34" s="55">
        <f>'CSV10'!Y5+'CSV10'!AC5+'CSV10'!AD5</f>
        <v>0</v>
      </c>
      <c r="E34" s="55">
        <f>'CSV10'!Y4+'CSV10'!AC4+'CSV10'!AD4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SUM('CSV10'!BD6:BM6)+'CSV10'!BV6</f>
        <v>0</v>
      </c>
      <c r="D35" s="55">
        <f>SUM('CSV10'!BD5:BM5)+'CSV10'!BV5</f>
        <v>0</v>
      </c>
      <c r="E35" s="55">
        <f>SUM('CSV10'!BD4:BM4)+'CSV10'!BV4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SUM('CSV10'!BA6:BB6)+'CSV10'!BQ6+'CSV10'!BR6+'CSV10'!BS6+'CSV10'!BT6+SUM('CSV10'!BW6:BY6)+SUM('CSV10'!CH6:CI6)+SUM('CSV10'!CK6:CU6)+'CSV10'!DB6+'CSV10'!DD6+'CSV10'!DJ6+'CSV10'!EF6+'CSV10'!EJ6+SUM('CSV10'!EM6:EO6)-'CSV10'!EP6+'CSV10'!GA6</f>
        <v>0</v>
      </c>
      <c r="D36" s="55">
        <f>SUM('CSV10'!BA5:BB5)+'CSV10'!BQ5+'CSV10'!BR5+'CSV10'!BS5+'CSV10'!BT5+SUM('CSV10'!BW5:BY5)+SUM('CSV10'!CH5:CI5)+SUM('CSV10'!CK5:CU5)+'CSV10'!DB5+'CSV10'!DD5+'CSV10'!DJ5+'CSV10'!EF5+'CSV10'!EJ5+SUM('CSV10'!EM5:EO5)-'CSV10'!EP5</f>
        <v>0</v>
      </c>
      <c r="E36" s="55">
        <f>SUM('CSV10'!BA4:BB4)+'CSV10'!BQ4+'CSV10'!BR4+'CSV10'!BS4+'CSV10'!BT4+SUM('CSV10'!BW4:BY4)+SUM('CSV10'!CH4:CI4)+SUM('CSV10'!CK4:CU4)+'CSV10'!DB4+'CSV10'!DD4+'CSV10'!DJ4+'CSV10'!EF4+'CSV10'!EJ4+SUM('CSV10'!EM4:EO4)-'CSV10'!EP4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SUM('CSV10'!BZ6:CA6)+SUM('CSV10'!CB6,'CSV10'!CC6,'CSV10'!CE6,'CSV10'!CF6)+SUM('CSV10'!CV6:CZ6)</f>
        <v>0</v>
      </c>
      <c r="D37" s="55">
        <f>SUM('CSV10'!BZ5:CA5)+SUM('CSV10'!CB5,'CSV10'!CC5,'CSV10'!CE5,'CSV10'!CF5)+SUM('CSV10'!CV5:CZ5)</f>
        <v>0</v>
      </c>
      <c r="E37" s="55">
        <f>SUM('CSV10'!BZ4:CA4)+SUM('CSV10'!CB4,'CSV10'!CC4,'CSV10'!CE4,'CSV10'!CF4)+SUM('CSV10'!CV4:CZ4)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'CSV10'!DQ6+'CSV10'!FX6</f>
        <v>0</v>
      </c>
      <c r="D39" s="55">
        <f>'CSV10'!DQ5</f>
        <v>0</v>
      </c>
      <c r="E39" s="55">
        <f>'CSV10'!DQ4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SUM('CSV10'!DE6:DG6)+'CSV10'!DI6</f>
        <v>0</v>
      </c>
      <c r="D40" s="55">
        <f>SUM('CSV10'!DE5:DG5)+'CSV10'!DI5</f>
        <v>0</v>
      </c>
      <c r="E40" s="55">
        <f>SUM('CSV10'!DE4:DG4)+'CSV10'!DI4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'CSV10'!DM6+'CSV10'!DO6</f>
        <v>0</v>
      </c>
      <c r="D44" s="55">
        <f>'CSV10'!DM5+'CSV10'!DO5</f>
        <v>0</v>
      </c>
      <c r="E44" s="55">
        <f>'CSV10'!DM4+'CSV10'!DO4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'CSV10'!DL6+'CSV10'!DN6</f>
        <v>0</v>
      </c>
      <c r="D46" s="55">
        <f>'CSV10'!DL5+'CSV10'!DN5</f>
        <v>0</v>
      </c>
      <c r="E46" s="55">
        <f>'CSV10'!DL4+'CSV10'!DN4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'CSV10'!DC6</f>
        <v>0</v>
      </c>
      <c r="D48" s="55">
        <f>'CSV10'!DC5</f>
        <v>0</v>
      </c>
      <c r="E48" s="55">
        <f>'CSV10'!DC4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SUM('CSV10'!DS6:DT6)</f>
        <v>0</v>
      </c>
      <c r="D50" s="55">
        <f>SUM('CSV10'!DS5:DT5)</f>
        <v>0</v>
      </c>
      <c r="E50" s="55">
        <f>SUM('CSV10'!DS4:DT4)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SUM('CSV10'!DY6:DZ6)</f>
        <v>0</v>
      </c>
      <c r="D52" s="55">
        <f>SUM('CSV10'!DY5:DZ5)</f>
        <v>0</v>
      </c>
      <c r="E52" s="55">
        <f>SUM('CSV10'!DY4:DZ4)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'CSV10'!DX6</f>
        <v>0</v>
      </c>
      <c r="D53" s="55">
        <f>'CSV10'!DX5</f>
        <v>0</v>
      </c>
      <c r="E53" s="55">
        <f>'CSV10'!DX4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6" t="str">
        <f>IF($B$7&lt;&gt;"",CONCATENATE("31/03/",$B$7),"31/03/2020")</f>
        <v>31/03/2020</v>
      </c>
      <c r="D58" s="346" t="str">
        <f>IF($B$7&lt;&gt;"",CONCATENATE("31/03/",$B$7-1),"31/03/2019")</f>
        <v>31/03/2019</v>
      </c>
      <c r="E58" s="347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'CSV10'!I25+'CSV10'!J25+'CSV10'!I31+'CSV10'!J31</f>
        <v>0</v>
      </c>
      <c r="D59" s="55">
        <f>'CSV10'!I24+'CSV10'!J24</f>
        <v>0</v>
      </c>
      <c r="E59" s="55">
        <f>'CSV10'!I23+'CSV10'!J23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'CSV10'!H19+'CSV10'!H13+'CSV10'!H36+SUM('CSV10'!O36:U36)-SUM('CSV10'!H36:M36)</f>
        <v>0</v>
      </c>
      <c r="D60" s="55">
        <f>'CSV10'!H18+'CSV10'!H12+'CSV10'!H35+SUM('CSV10'!O35:U35)-SUM('CSV10'!H35:M35)</f>
        <v>0</v>
      </c>
      <c r="E60" s="55">
        <f>'CSV10'!H17+'CSV10'!H11+'CSV10'!H34+SUM('CSV10'!O34:U34)-SUM('CSV10'!H34:M34)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SUM('CSV10'!I13:L13)-'CSV10'!BQ13+SUM('CSV10'!I19:M19)-'CSV10'!CU19+SUM('CSV10'!L25:S25)+'CSV10'!U25+SUM('CSV10'!W25:X25)+SUM('CSV10'!L31:O31)+'CSV10'!Q31</f>
        <v>0</v>
      </c>
      <c r="D61" s="55">
        <f>SUM('CSV10'!I12:L12)-'CSV10'!BQ12+SUM('CSV10'!I18:M18)-'CSV10'!CU18+SUM('CSV10'!L24:S24)+'CSV10'!U24+SUM('CSV10'!W24:X24)</f>
        <v>0</v>
      </c>
      <c r="E61" s="55">
        <f>SUM('CSV10'!I11:L11)-'CSV10'!BQ11+SUM('CSV10'!I17:M17)-'CSV10'!CU17+SUM('CSV10'!L23:S23)+'CSV10'!U23+SUM('CSV10'!W23:X23)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'CSV10'!CS19+'CSV10'!BO13</f>
        <v>0</v>
      </c>
      <c r="D62" s="55">
        <f>'CSV10'!CS18+'CSV10'!BO12</f>
        <v>0</v>
      </c>
      <c r="E62" s="55">
        <f>'CSV10'!CS17+'CSV10'!BO11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'CSV10'!AK25+'CSV10'!BC25+'CSV10'!AC19+'CSV10'!AC31+'CSV10'!AD31+'CSV10'!AF31+'CSV10'!AG31+'CSV10'!AO31+SUM('CSV10'!AV31:AX31)+'CSV10'!BM31</f>
        <v>0</v>
      </c>
      <c r="D64" s="55">
        <f>'CSV10'!AK24+'CSV10'!BC24+'CSV10'!AC18</f>
        <v>0</v>
      </c>
      <c r="E64" s="55">
        <f>'CSV10'!AK23+'CSV10'!BC23+'CSV10'!AC17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'CSV10'!DB25+'CSV10'!EP25+'CSV10'!DG31</f>
        <v>0</v>
      </c>
      <c r="D65" s="55">
        <f>'CSV10'!DB24+'CSV10'!EP24</f>
        <v>0</v>
      </c>
      <c r="E65" s="55">
        <f>'CSV10'!DB23+'CSV10'!EP23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SUM('CSV10'!Z25:AA25)+SUM('CSV10'!AC25:AE25)+SUM('CSV10'!P19:R19)+SUM('CSV10'!O13:Q13)+'CSV10'!I36+SUM('CSV10'!T31:U31)+SUM('CSV10'!W31:Y31)</f>
        <v>0</v>
      </c>
      <c r="D67" s="55">
        <f>SUM('CSV10'!Z24:AA24)+SUM('CSV10'!AC24:AE24)+SUM('CSV10'!P18:R18)+SUM('CSV10'!O12:Q12)+'CSV10'!I35</f>
        <v>0</v>
      </c>
      <c r="E67" s="55">
        <f>SUM('CSV10'!Z23:AA23)+SUM('CSV10'!AC23:AE23)+SUM('CSV10'!P17:R17)+SUM('CSV10'!O11:Q11)+'CSV10'!I34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'CSV10'!AL25+'CSV10'!BD25+SUM('CSV10'!U19:X19)+SUM('CSV10'!T13:U13)+'CSV10'!J36</f>
        <v>0</v>
      </c>
      <c r="D68" s="55">
        <f>'CSV10'!AL24+'CSV10'!BD24+SUM('CSV10'!U18:X18)+SUM('CSV10'!T12:U12)+'CSV10'!J35</f>
        <v>0</v>
      </c>
      <c r="E68" s="55">
        <f>'CSV10'!AL23+'CSV10'!BD23+SUM('CSV10'!U17:X17)+SUM('CSV10'!T11:U11)+'CSV10'!J34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'CSV10'!CC25+'CSV10'!CG25+'CSV10'!AG19+'CSV10'!Z13+SUM('CSV10'!CK25:CL25)+'CSV10'!AC13+'CSV10'!AJ19+'CSV10'!BV31+'CSV10'!BZ31+'CSV10'!CE31+'CSV10'!CI31+'CSV10'!CM31+'CSV10'!CN31</f>
        <v>0</v>
      </c>
      <c r="D71" s="55">
        <f>'CSV10'!CC24+'CSV10'!CG24+'CSV10'!AG18+'CSV10'!Z12+SUM('CSV10'!CK24:CL24)+'CSV10'!AC12+'CSV10'!AJ18</f>
        <v>0</v>
      </c>
      <c r="E71" s="55">
        <f>'CSV10'!CC23+'CSV10'!CG23+'CSV10'!AG17+'CSV10'!Z11+SUM('CSV10'!CK23:CL23)+'CSV10'!AC11+'CSV10'!AJ17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'CSV10'!CF25+'CSV10'!CJ25+'CSV10'!AI19+'CSV10'!AB13+SUM('CSV10'!CK25:CL25)+'CSV10'!AC13+'CSV10'!AJ19+'CSV10'!O36+'CSV10'!BY31+'CSV10'!BZ31+'CSV10'!CG31+'CSV10'!CL31+'CSV10'!CM31+'CSV10'!CP31</f>
        <v>0</v>
      </c>
      <c r="D72" s="55">
        <f>'CSV10'!CF24+'CSV10'!CJ24+'CSV10'!AI18+'CSV10'!AB12+SUM('CSV10'!CK24:CL24)+'CSV10'!AC12+'CSV10'!AJ18+'CSV10'!O35</f>
        <v>0</v>
      </c>
      <c r="E72" s="55">
        <f>'CSV10'!CF23+'CSV10'!CJ23+'CSV10'!AI17+'CSV10'!AB11+SUM('CSV10'!CK23:CL23)+'CSV10'!AC11+'CSV10'!AJ17+'CSV10'!O34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10'!CN25+'CSV10'!CO25+'CSV10'!CP25+SUM('CSV10'!CR25:CW25)+'CSV10'!DA25+SUM('CSV10'!DP25:DQ25)+SUM('CSV10'!DS25:DX25)+SUM('CSV10'!AL19:AN19)+SUM('CSV10'!AP19:AT19)+SUM('CSV10'!AV19:AW19)+SUM('CSV10'!AY19:BC19)+'CSV10'!BX19+SUM('CSV10'!AE13:AF13)+SUM('CSV10'!AH13:AJ13)+'CSV10'!AY13+SUM('CSV10'!CR31:CS31)+SUM('CSV10'!CU31:CZ31)+'CSV10'!DF31+SUM('CSV10'!EG31:EH31)+SUM('CSV10'!EJ31:EO31)+'CSV10'!CD31</f>
        <v>0</v>
      </c>
      <c r="D73" s="55">
        <f>'CSV10'!CN24+'CSV10'!CO24+'CSV10'!CP24+SUM('CSV10'!CR24:CW24)+'CSV10'!DA24+SUM('CSV10'!DP24:DQ24)+SUM('CSV10'!DS24:DX24)+SUM('CSV10'!AL18:AN18)+SUM('CSV10'!AP18:AT18)+SUM('CSV10'!AV18:AW18)+SUM('CSV10'!AY18:BC18)+'CSV10'!BX18+SUM('CSV10'!AE12:AF12)+SUM('CSV10'!AH12:AJ12)+'CSV10'!AY12</f>
        <v>0</v>
      </c>
      <c r="E73" s="55">
        <f>'CSV10'!CN23+'CSV10'!CO23+'CSV10'!CP23+SUM('CSV10'!CR23:CW23)+'CSV10'!DA23+SUM('CSV10'!DP23:DQ23)+SUM('CSV10'!DS23:DX23)+SUM('CSV10'!AL17:AN17)+SUM('CSV10'!AP17:AT17)+SUM('CSV10'!AV17:AW17)+SUM('CSV10'!AY17:BC17)+'CSV10'!BX17+SUM('CSV10'!AE11:AF11)+SUM('CSV10'!AH11:AJ11)+'CSV10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5" t="s">
        <v>904</v>
      </c>
      <c r="B76" s="54"/>
      <c r="C76" s="55">
        <f>'CSV10'!DZ25+'CSV10'!BF19+'CSV10'!AN13+'CSV10'!DX31</f>
        <v>0</v>
      </c>
      <c r="D76" s="55">
        <f>'CSV10'!DZ24+'CSV10'!BF18+'CSV10'!AN12</f>
        <v>0</v>
      </c>
      <c r="E76" s="55">
        <f>'CSV10'!DZ23+'CSV10'!BF17+'CSV10'!AN11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5" t="s">
        <v>905</v>
      </c>
      <c r="B77" s="54"/>
      <c r="C77" s="55">
        <f>SUM('CSV10'!ED25:EE25)+SUM('CSV10'!BJ19:BK19)+'CSV10'!AM13+SUM('CSV10'!EB31:EC31)</f>
        <v>0</v>
      </c>
      <c r="D77" s="55">
        <f>SUM('CSV10'!ED24:EE24)+SUM('CSV10'!BJ18:BK18)+'CSV10'!AM12</f>
        <v>0</v>
      </c>
      <c r="E77" s="55">
        <f>SUM('CSV10'!ED23:EE23)+SUM('CSV10'!BJ17:BK17)+'CSV10'!AM11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5" t="s">
        <v>906</v>
      </c>
      <c r="B78" s="54"/>
      <c r="C78" s="55">
        <f>'CSV10'!EA25+'CSV10'!BG19+'CSV10'!AO13+'CSV10'!DY31</f>
        <v>0</v>
      </c>
      <c r="D78" s="55">
        <f>'CSV10'!EA24+'CSV10'!BG18+'CSV10'!AO12</f>
        <v>0</v>
      </c>
      <c r="E78" s="55">
        <f>'CSV10'!EA23+'CSV10'!BG17+'CSV10'!AO11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5" t="s">
        <v>907</v>
      </c>
      <c r="B79" s="54"/>
      <c r="C79" s="55">
        <f>SUM('CSV10'!EB25:EC25)+'CSV10'!EF25+SUM('CSV10'!BH19:BI19)+'CSV10'!BL19+'CSV10'!AP13+'CSV10'!P36+SUM('CSV10'!DZ31:EA31)+'CSV10'!EE31</f>
        <v>0</v>
      </c>
      <c r="D79" s="55">
        <f>SUM('CSV10'!EB24:EC24)+'CSV10'!EF24+SUM('CSV10'!BH18:BI18)+'CSV10'!BL18+'CSV10'!AP12+'CSV10'!P35</f>
        <v>0</v>
      </c>
      <c r="E79" s="55">
        <f>SUM('CSV10'!EB23:EC23)+'CSV10'!EF23+SUM('CSV10'!BH17:BI17)+'CSV10'!BL17+'CSV10'!AP11+'CSV10'!P34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5" t="s">
        <v>909</v>
      </c>
      <c r="B81" s="54"/>
      <c r="C81" s="55">
        <f>SUM('CSV10'!DH25:DI25)+'CSV10'!EI25+'CSV10'!BO19+'CSV10'!AR13+'CSV10'!Q36+SUM('CSV10'!DB31:DC31)+SUM('CSV10'!DM31:DN31)+SUM('CSV10'!EQ31:ER31)</f>
        <v>0</v>
      </c>
      <c r="D81" s="55">
        <f>SUM('CSV10'!DH24:DI24)+'CSV10'!EI24+'CSV10'!BO18+'CSV10'!AR12+'CSV10'!Q35</f>
        <v>0</v>
      </c>
      <c r="E81" s="55">
        <f>SUM('CSV10'!DH23:DI23)+'CSV10'!EI23+'CSV10'!BO17+'CSV10'!AR11+'CSV10'!Q34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5" t="s">
        <v>910</v>
      </c>
      <c r="B82" s="54"/>
      <c r="C82" s="55">
        <f>'CSV10'!DJ25+'CSV10'!DL25+'CSV10'!EH25+'CSV10'!BN19+'CSV10'!DD31+'CSV10'!ES31</f>
        <v>0</v>
      </c>
      <c r="D82" s="55">
        <f>'CSV10'!DJ24+'CSV10'!DL24+'CSV10'!EH24+'CSV10'!BN18</f>
        <v>0</v>
      </c>
      <c r="E82" s="55">
        <f>'CSV10'!DJ23+'CSV10'!DL23+'CSV10'!EH23+'CSV10'!BN17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'CSV10'!CZ25+'CSV10'!DC25+'CSV10'!EQ25+'CSV10'!EV25+'CSV10'!BU19+'CSV10'!BW19+'CSV10'!AV13+'CSV10'!AX13+'CSV10'!T36+'CSV10'!U36+'CSV10'!DH31+SUM('CSV10'!DQ31:DS31)+SUM('CSV10'!FB31:FD31)+'CSV10'!FI31+SUM('CSV10'!FL31:FM31)+'CSV10'!FK31</f>
        <v>0</v>
      </c>
      <c r="D83" s="55">
        <f>'CSV10'!CZ24+'CSV10'!DC24+'CSV10'!EQ24+'CSV10'!EV24+'CSV10'!BU18+'CSV10'!BW18+'CSV10'!AV12+'CSV10'!AX12+'CSV10'!T35+'CSV10'!U35</f>
        <v>0</v>
      </c>
      <c r="E83" s="55">
        <f>'CSV10'!CZ23+'CSV10'!DC23+'CSV10'!EQ23+'CSV10'!EV23+'CSV10'!BU17+'CSV10'!BW17+'CSV10'!AV11+'CSV10'!AX11+'CSV10'!T34+'CSV10'!U34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SUM('CSV10'!EK25:EN25)+SUM('CSV10'!BQ19:BS19)+SUM('CSV10'!AS13:AT13)+'CSV10'!BW13+'CSV10'!S36+'CSV10'!R36+SUM('CSV10'!EV31:EY31)+'CSV10'!FA31</f>
        <v>0</v>
      </c>
      <c r="D84" s="55">
        <f>SUM('CSV10'!EK24:EN24)+SUM('CSV10'!BQ18:BS18)+SUM('CSV10'!AS12:AT12)+'CSV10'!BW12+'CSV10'!S35+'CSV10'!R35</f>
        <v>0</v>
      </c>
      <c r="E84" s="55">
        <f>SUM('CSV10'!EK23:EN23)+SUM('CSV10'!BQ17:BS17)+SUM('CSV10'!AS11:AT11)+'CSV10'!BW11+'CSV10'!S34+'CSV10'!R34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'CSV10'!BY19+'CSV10'!AZ13</f>
        <v>0</v>
      </c>
      <c r="D85" s="55">
        <f>'CSV10'!BY18+'CSV10'!AZ12</f>
        <v>0</v>
      </c>
      <c r="E85" s="55">
        <f>'CSV10'!BY17+'CSV10'!AZ11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'CSV10'!AP25+SUM('CSV10'!BG25:BH25)+SUM('CSV10'!CD19:CE19)+'CSV10'!BC13+'CSV10'!BU13+'CSV10'!L36+'CSV10'!AI31+'CSV10'!AZ31</f>
        <v>0</v>
      </c>
      <c r="D87" s="55">
        <f>'CSV10'!AP24+SUM('CSV10'!BG24:BH24)+SUM('CSV10'!CD18:CE18)+'CSV10'!BC12+'CSV10'!BU12+'CSV10'!L35</f>
        <v>0</v>
      </c>
      <c r="E87" s="55">
        <f>'CSV10'!AP23+SUM('CSV10'!BG23:BH23)+SUM('CSV10'!CD17:CE17)+'CSV10'!BC11+'CSV10'!BU11+'CSV10'!L34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'CSV10'!AQ25+'CSV10'!BN25+'CSV10'!AD19+'CSV10'!CJ19+'CSV10'!AJ31+'CSV10'!BL31</f>
        <v>0</v>
      </c>
      <c r="D88" s="55">
        <f>'CSV10'!AQ24+'CSV10'!BN24+'CSV10'!AD18+'CSV10'!CJ18</f>
        <v>0</v>
      </c>
      <c r="E88" s="55">
        <f>'CSV10'!AQ23+'CSV10'!BN23+'CSV10'!AD17+'CSV10'!CJ17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10'!AI25:AJ25)+'CSV10'!AM25+'CSV10'!BB25+'CSV10'!BE25+'CSV10'!BJ25+'CSV10'!BO25+'CSV10'!BP25+'CSV10'!BQ25+'CSV10'!BR25+'CSV10'!BS25+'CSV10'!CG19+'CSV10'!CK19+'CSV10'!BD13+'CSV10'!K36+'CSV10'!M36+'CSV10'!AP31+'CSV10'!BA31+SUM('CSV10'!BE31:BI31)+'CSV10'!BN31+'CSV10'!AE31+'CSV10'!BS31</f>
        <v>0</v>
      </c>
      <c r="D89" s="55">
        <f>SUM('CSV10'!AI24:AJ24)+'CSV10'!AM24+'CSV10'!BB24+'CSV10'!BE24+'CSV10'!BJ24+'CSV10'!BO24+'CSV10'!BP24+'CSV10'!BQ24+'CSV10'!BR24+'CSV10'!BS24+'CSV10'!CG18+'CSV10'!CK18+'CSV10'!BD12+'CSV10'!K35+'CSV10'!M35</f>
        <v>0</v>
      </c>
      <c r="E89" s="55">
        <f>SUM('CSV10'!AI23:AJ23)+'CSV10'!AM23+'CSV10'!BB23+'CSV10'!BE23+'CSV10'!BJ23+'CSV10'!BO23+'CSV10'!BP23+'CSV10'!BQ23+'CSV10'!BR23+'CSV10'!BS23+'CSV10'!CG17+'CSV10'!CK17+'CSV10'!BD11+'CSV10'!K34+'CSV10'!M34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SUM('CSV10'!AS25:AT25)+SUM('CSV10'!BK25:BM25)+SUM('CSV10'!BU25:BY25)+SUM('CSV10'!CH19:CI19)+SUM('CSV10'!CM19:CO19)+SUM('CSV10'!BE13:BF13)+SUM('CSV10'!BH13:BK13)+SUM('CSV10'!AK31:AL31)+SUM('CSV10'!BB31:BC31)+SUM('CSV10'!BP31:BQ31)</f>
        <v>0</v>
      </c>
      <c r="D90" s="55">
        <f>SUM('CSV10'!AS24:AT24)+SUM('CSV10'!BK24:BM24)+SUM('CSV10'!BU24:BY24)+SUM('CSV10'!CH18:CI18)+SUM('CSV10'!CM18:CO18)+SUM('CSV10'!BE12:BF12)+SUM('CSV10'!BH12:BK12)</f>
        <v>0</v>
      </c>
      <c r="E90" s="55">
        <f>SUM('CSV10'!AS23:AT23)+SUM('CSV10'!BK23:BM23)+SUM('CSV10'!BU23:BY23)+SUM('CSV10'!CH17:CI17)+SUM('CSV10'!CM17:CO17)+SUM('CSV10'!BE11:BF11)+SUM('CSV10'!BH11:BK11)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'CSV10'!AW25+'CSV10'!AS31</f>
        <v>0</v>
      </c>
      <c r="D93" s="55">
        <f>'CSV10'!AW24</f>
        <v>0</v>
      </c>
      <c r="E93" s="55">
        <f>'CSV10'!AW23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SUM('CSV10'!AX25:AZ25)+'CSV10'!AT31</f>
        <v>0</v>
      </c>
      <c r="D95" s="55">
        <f>SUM('CSV10'!AX24:AZ24)</f>
        <v>0</v>
      </c>
      <c r="E95" s="55">
        <f>SUM('CSV10'!AX23:AZ23)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-'CSV10'!AH25-'CSV10'!AO25+'CSV10'!CY25-'CSV10'!AB19+'CSV10'!CT19-'CSV10'!X13+'CSV10'!BP13-'CSV10'!AB31-'CSV10'!AN31+'CSV10'!DP31</f>
        <v>0</v>
      </c>
      <c r="D97" s="55">
        <f>-'CSV10'!AH24-'CSV10'!AO24+'CSV10'!CY24-'CSV10'!AB18+'CSV10'!CT18-'CSV10'!X12+'CSV10'!BP12</f>
        <v>0</v>
      </c>
      <c r="E97" s="55">
        <f>-'CSV10'!AH23-'CSV10'!AO23+'CSV10'!CY23-'CSV10'!AB17+'CSV10'!CT17-'CSV10'!X11+'CSV10'!BP11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8rUnDZaK8GbZILUOlyd2hFpEa8peZMnL9KDA64jLfUwvywOA6MxEUYN0fLYYwQxiB7bLwXp1Hjec3hsR2ZIIZw==" saltValue="EtBA4n3ZUcRqzxeQpihJ6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1" priority="1" stopIfTrue="1" operator="lessThan">
      <formula>-0.2</formula>
    </cfRule>
    <cfRule type="cellIs" dxfId="10" priority="2" stopIfTrue="1" operator="lessThan">
      <formula>0</formula>
    </cfRule>
    <cfRule type="cellIs" dxfId="9" priority="3" stopIfTrue="1" operator="greaterThan">
      <formula>0.4</formula>
    </cfRule>
  </conditionalFormatting>
  <dataValidations count="4">
    <dataValidation type="list" allowBlank="1" showInputMessage="1" showErrorMessage="1" sqref="B6">
      <formula1>INDIRECT(B5,1)</formula1>
    </dataValidation>
    <dataValidation type="whole" allowBlank="1" showInputMessage="1" showErrorMessage="1" sqref="B7">
      <formula1>YEAR(TODAY())-3</formula1>
      <formula2>YEAR(TODAY())</formula2>
    </dataValidation>
    <dataValidation type="list" allowBlank="1" showInputMessage="1" showErrorMessage="1" sqref="B8">
      <formula1>"Y,N"</formula1>
    </dataValidation>
    <dataValidation type="decimal" allowBlank="1" showInputMessage="1" showErrorMessage="1" sqref="B9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Validation!$A$7:$A$16</xm:f>
          </x14:formula1>
          <xm:sqref>B3</xm:sqref>
        </x14:dataValidation>
        <x14:dataValidation type="list" allowBlank="1" showInputMessage="1" showErrorMessage="1">
          <x14:formula1>
            <xm:f>Validation!$A$2:$A$4</xm:f>
          </x14:formula1>
          <xm:sqref>B5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GH100"/>
  <sheetViews>
    <sheetView topLeftCell="F1"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pageSetup orientation="portrait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Q50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7" width="8.7109375" style="1" customWidth="1"/>
    <col min="8" max="9" width="13.28515625" style="1" customWidth="1"/>
    <col min="10" max="10" width="13.42578125" style="1" customWidth="1"/>
    <col min="11" max="11" width="45.7109375" style="1" customWidth="1"/>
    <col min="12" max="12" width="11.140625" style="1" customWidth="1"/>
    <col min="13" max="13" width="9.140625" style="1" customWidth="1"/>
    <col min="14" max="14" width="11.42578125" style="1" customWidth="1"/>
    <col min="15" max="15" width="9.140625" style="1" customWidth="1"/>
    <col min="16" max="16" width="13.7109375" style="1" customWidth="1"/>
    <col min="17" max="17" width="9.140625" style="1" customWidth="1"/>
    <col min="18" max="16384" width="9.140625" style="1" hidden="1"/>
  </cols>
  <sheetData>
    <row r="1" spans="1:11" ht="15" customHeight="1">
      <c r="A1" s="520" t="s">
        <v>1741</v>
      </c>
      <c r="B1" s="520"/>
      <c r="C1" s="520"/>
      <c r="D1" s="520"/>
      <c r="E1" s="520"/>
      <c r="F1" s="520"/>
      <c r="G1" s="520"/>
      <c r="H1" s="520"/>
      <c r="I1" s="520"/>
      <c r="J1" s="520"/>
      <c r="K1" s="14" t="str">
        <f>CONCATENATE(Validation!$A$42,"_",BasicInput!$H$28,"_",BasicInput!$F$40)</f>
        <v>Gross Turnover_HL_</v>
      </c>
    </row>
    <row r="2" spans="1:11">
      <c r="K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K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1" ht="25.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1742</v>
      </c>
      <c r="F3" s="10" t="s">
        <v>687</v>
      </c>
      <c r="G3" s="10" t="s">
        <v>1743</v>
      </c>
      <c r="H3" s="10" t="str">
        <f>CONCATENATE("Turnover for ",Prime1!$C$14," (Rs.)")</f>
        <v>Turnover for FY 2023-24 (Rs.)</v>
      </c>
      <c r="I3" s="10" t="str">
        <f>CONCATENATE("Turnover for ",Prime1!$D$14," (Rs.)")</f>
        <v>Turnover for FY 2022-23 (Rs.)</v>
      </c>
      <c r="J3" s="10" t="s">
        <v>1744</v>
      </c>
    </row>
    <row r="4" spans="1:11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1">
        <f>IF(Prime1!$B$10="","",Prime1!$B$10/100)</f>
        <v>6.5000000000000002E-2</v>
      </c>
      <c r="H4" s="12">
        <f>Prime1!$C$27-SUM(Prime1!$C$24:$C$26)-Prime1!$C$18</f>
        <v>0</v>
      </c>
      <c r="I4" s="12">
        <f>Prime1!$D$27-SUM(Prime1!$D$24:$D$26)-Prime1!$D$18</f>
        <v>0</v>
      </c>
      <c r="J4" s="12">
        <f>IFERROR(IF((H4/I4)&lt;=120%,H4,IF((H4/I4)&lt;=150%,MAX(AVERAGE(H4,I4),I4*120%),AVERAGE(H4,I4))),0)*IF(E4="Y",F4*G4,0)</f>
        <v>0</v>
      </c>
    </row>
    <row r="5" spans="1:11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1">
        <f>IF(Prime2!$B$10="","",Prime2!$B$10/100)</f>
        <v>6.5000000000000002E-2</v>
      </c>
      <c r="H5" s="12">
        <f>Prime2!$C$27-SUM(Prime2!$C$24:$C$26)-Prime2!$C$18</f>
        <v>0</v>
      </c>
      <c r="I5" s="12">
        <f>Prime2!$D$27-SUM(Prime2!$D$24:$D$26)-Prime2!$D$18</f>
        <v>0</v>
      </c>
      <c r="J5" s="12">
        <f t="shared" ref="J5:J13" si="0">IFERROR(IF((H5/I5)&lt;=120%,H5,IF((H5/I5)&lt;=150%,MAX(AVERAGE(H5,I5),I5*120%),AVERAGE(H5,I5))),0)*IF(E5="Y",F5*G5,0)</f>
        <v>0</v>
      </c>
    </row>
    <row r="6" spans="1:11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1">
        <f>IF(Prime3!$B$10="","",Prime3!$B$10/100)</f>
        <v>6.5000000000000002E-2</v>
      </c>
      <c r="H6" s="12">
        <f>Prime3!$C$27-SUM(Prime3!$C$24:$C$26)-Prime3!$C$18</f>
        <v>0</v>
      </c>
      <c r="I6" s="12">
        <f>Prime3!$D$27-SUM(Prime3!$D$24:$D$26)-Prime3!$D$18</f>
        <v>0</v>
      </c>
      <c r="J6" s="12">
        <f t="shared" si="0"/>
        <v>0</v>
      </c>
    </row>
    <row r="7" spans="1:11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1">
        <f>IF(Prime4!$B$10="","",Prime4!$B$10/100)</f>
        <v>6.5000000000000002E-2</v>
      </c>
      <c r="H7" s="12">
        <f>Prime4!$C$27-SUM(Prime4!$C$24:$C$26)-Prime4!$C$18</f>
        <v>0</v>
      </c>
      <c r="I7" s="12">
        <f>Prime4!$D$27-SUM(Prime4!$D$24:$D$26)-Prime4!$D$18</f>
        <v>0</v>
      </c>
      <c r="J7" s="12">
        <f t="shared" si="0"/>
        <v>0</v>
      </c>
    </row>
    <row r="8" spans="1:11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1" t="str">
        <f>IF(Prime5!$B$10="","",Prime5!$B$10/100)</f>
        <v/>
      </c>
      <c r="H8" s="12">
        <f>Prime5!$C$27-SUM(Prime5!$C$24:$C$26)-Prime5!$C$18</f>
        <v>0</v>
      </c>
      <c r="I8" s="12">
        <f>Prime5!$D$27-SUM(Prime5!$D$24:$D$26)-Prime5!$D$18</f>
        <v>0</v>
      </c>
      <c r="J8" s="12">
        <f t="shared" si="0"/>
        <v>0</v>
      </c>
    </row>
    <row r="9" spans="1:11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1" t="str">
        <f>IF(Prime6!$B$10="","",Prime6!$B$10/100)</f>
        <v/>
      </c>
      <c r="H9" s="12">
        <f>Prime6!$C$27-SUM(Prime6!$C$24:$C$26)-Prime6!$C$18</f>
        <v>0</v>
      </c>
      <c r="I9" s="12">
        <f>Prime6!$D$27-SUM(Prime6!$D$24:$D$26)-Prime6!$D$18</f>
        <v>0</v>
      </c>
      <c r="J9" s="12">
        <f t="shared" si="0"/>
        <v>0</v>
      </c>
    </row>
    <row r="10" spans="1:11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1" t="str">
        <f>IF(Prime7!$B$10="","",Prime7!$B$10/100)</f>
        <v/>
      </c>
      <c r="H10" s="12">
        <f>Prime7!$C$27-SUM(Prime7!$C$24:$C$26)-Prime7!$C$18</f>
        <v>0</v>
      </c>
      <c r="I10" s="12">
        <f>Prime7!$D$27-SUM(Prime7!$D$24:$D$26)-Prime7!$D$18</f>
        <v>0</v>
      </c>
      <c r="J10" s="12">
        <f t="shared" ref="J10" si="1">IFERROR(IF((H10/I10)&lt;=120%,H10,IF((H10/I10)&lt;=150%,MAX(AVERAGE(H10,I10),I10*120%),AVERAGE(H10,I10))),0)*IF(E10="Y",F10*G10,0)</f>
        <v>0</v>
      </c>
    </row>
    <row r="11" spans="1:11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1" t="str">
        <f>IF(Prime8!$B$10="","",Prime8!$B$10/100)</f>
        <v/>
      </c>
      <c r="H11" s="12">
        <f>Prime8!$C$27-SUM(Prime8!$C$24:$C$26)-Prime8!$C$18</f>
        <v>0</v>
      </c>
      <c r="I11" s="12">
        <f>Prime8!$D$27-SUM(Prime8!$D$24:$D$26)-Prime8!$D$18</f>
        <v>0</v>
      </c>
      <c r="J11" s="12">
        <f t="shared" si="0"/>
        <v>0</v>
      </c>
    </row>
    <row r="12" spans="1:11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1" t="str">
        <f>IF(Prime9!$B$10="","",Prime9!$B$10/100)</f>
        <v/>
      </c>
      <c r="H12" s="12">
        <f>Prime9!$C$27-SUM(Prime9!$C$24:$C$26)-Prime9!$C$18</f>
        <v>0</v>
      </c>
      <c r="I12" s="12">
        <f>Prime9!$D$27-SUM(Prime9!$D$24:$D$26)-Prime9!$D$18</f>
        <v>0</v>
      </c>
      <c r="J12" s="12">
        <f t="shared" si="0"/>
        <v>0</v>
      </c>
    </row>
    <row r="13" spans="1:11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1" t="str">
        <f>IF(Prime10!$B$10="","",Prime10!$B$10/100)</f>
        <v/>
      </c>
      <c r="H13" s="12">
        <f>Prime10!$C$27-SUM(Prime10!$C$24:$C$26)-Prime10!$C$18</f>
        <v>0</v>
      </c>
      <c r="I13" s="12">
        <f>Prime10!$D$27-SUM(Prime10!$D$24:$D$26)-Prime10!$D$18</f>
        <v>0</v>
      </c>
      <c r="J13" s="12">
        <f t="shared" si="0"/>
        <v>0</v>
      </c>
      <c r="K13" s="15" t="str">
        <f>IF(COUNTIF($E$4:$E$13,"Y")&gt;2,"Deviation for clubbing Income of more than 2 Entities","")</f>
        <v/>
      </c>
    </row>
    <row r="14" spans="1:11">
      <c r="A14" s="524" t="s">
        <v>39</v>
      </c>
      <c r="B14" s="530"/>
      <c r="C14" s="530"/>
      <c r="D14" s="530"/>
      <c r="E14" s="530"/>
      <c r="F14" s="530"/>
      <c r="G14" s="530"/>
      <c r="H14" s="530"/>
      <c r="I14" s="525"/>
      <c r="J14" s="13">
        <f>SUM(J4:J13)</f>
        <v>0</v>
      </c>
      <c r="K14" s="15"/>
    </row>
    <row r="15" spans="1:11">
      <c r="A15" s="406" t="s">
        <v>1745</v>
      </c>
      <c r="B15" s="407"/>
      <c r="C15" s="407"/>
      <c r="D15" s="407"/>
      <c r="E15" s="407"/>
      <c r="F15" s="407"/>
      <c r="G15" s="407"/>
      <c r="H15" s="407"/>
      <c r="I15" s="408"/>
      <c r="J15" s="21"/>
      <c r="K15" s="15"/>
    </row>
    <row r="16" spans="1:11">
      <c r="A16" s="524" t="s">
        <v>1746</v>
      </c>
      <c r="B16" s="530"/>
      <c r="C16" s="530"/>
      <c r="D16" s="530"/>
      <c r="E16" s="530"/>
      <c r="F16" s="530"/>
      <c r="G16" s="530"/>
      <c r="H16" s="530"/>
      <c r="I16" s="525"/>
      <c r="J16" s="13">
        <f>IF(J15="&gt;4",J14,IF(J15=4,MIN(J14,4*PrimeCashProfitMethod!$B$10),MIN(J14,3*PrimeCashProfitMethod!$B$10)))</f>
        <v>0</v>
      </c>
      <c r="K16" s="15" t="str">
        <f>IF(J16&gt;(4*PrimeCashProfitMethod!B10),"Deviation for Eligible Income &gt;4 times of EBITDA",IF(J16&gt;(3*PrimeCashProfitMethod!B10),"Deviation for Eligible Income &gt;3 times of EBITDA",""))</f>
        <v/>
      </c>
    </row>
    <row r="17" spans="1:11" ht="27" customHeight="1">
      <c r="A17" s="366" t="s">
        <v>62</v>
      </c>
      <c r="B17" s="366"/>
      <c r="C17" s="366"/>
      <c r="D17" s="366"/>
      <c r="E17" s="366"/>
      <c r="F17" s="366"/>
      <c r="G17" s="366"/>
      <c r="H17" s="366"/>
      <c r="I17" s="366"/>
      <c r="J17" s="12">
        <f>BasicInput!$D$49</f>
        <v>0</v>
      </c>
    </row>
    <row r="18" spans="1:11">
      <c r="A18" s="366" t="s">
        <v>63</v>
      </c>
      <c r="B18" s="366"/>
      <c r="C18" s="366"/>
      <c r="D18" s="366"/>
      <c r="E18" s="366"/>
      <c r="F18" s="366"/>
      <c r="G18" s="366"/>
      <c r="H18" s="366"/>
      <c r="I18" s="366"/>
      <c r="J18" s="12">
        <f>BasicInput!$D$50</f>
        <v>0</v>
      </c>
    </row>
    <row r="19" spans="1:11">
      <c r="A19" s="366" t="s">
        <v>64</v>
      </c>
      <c r="B19" s="366"/>
      <c r="C19" s="366"/>
      <c r="D19" s="366"/>
      <c r="E19" s="366"/>
      <c r="F19" s="366"/>
      <c r="G19" s="366"/>
      <c r="H19" s="366"/>
      <c r="I19" s="366"/>
      <c r="J19" s="12">
        <f>BasicInput!$D$51</f>
        <v>0</v>
      </c>
    </row>
    <row r="20" spans="1:11">
      <c r="A20" s="366" t="s">
        <v>844</v>
      </c>
      <c r="B20" s="366"/>
      <c r="C20" s="366"/>
      <c r="D20" s="366"/>
      <c r="E20" s="366"/>
      <c r="F20" s="366"/>
      <c r="G20" s="366"/>
      <c r="H20" s="366"/>
      <c r="I20" s="366"/>
      <c r="J20" s="12">
        <f>BasicInput!$D$52</f>
        <v>0</v>
      </c>
    </row>
    <row r="21" spans="1:11">
      <c r="A21" s="524" t="s">
        <v>107</v>
      </c>
      <c r="B21" s="530"/>
      <c r="C21" s="530"/>
      <c r="D21" s="530"/>
      <c r="E21" s="530"/>
      <c r="F21" s="530"/>
      <c r="G21" s="530"/>
      <c r="H21" s="530"/>
      <c r="I21" s="525"/>
      <c r="J21" s="13">
        <f>MIN((J17+(J18*50%)+J19+J20),J16)</f>
        <v>0</v>
      </c>
      <c r="K21" s="1" t="str">
        <f>IF(J16&lt;(J17+(J18*50%)+J19+J20),"Other Income capped at 100% of Basic Income","")</f>
        <v/>
      </c>
    </row>
    <row r="22" spans="1:11" ht="40.5" customHeight="1">
      <c r="A22" s="366" t="s">
        <v>66</v>
      </c>
      <c r="B22" s="366"/>
      <c r="C22" s="366"/>
      <c r="D22" s="366"/>
      <c r="E22" s="366"/>
      <c r="F22" s="366"/>
      <c r="G22" s="366"/>
      <c r="H22" s="366"/>
      <c r="I22" s="366"/>
      <c r="J22" s="12">
        <f>BasicInput!$D$53</f>
        <v>0</v>
      </c>
    </row>
    <row r="23" spans="1:11">
      <c r="A23" s="524" t="s">
        <v>691</v>
      </c>
      <c r="B23" s="530"/>
      <c r="C23" s="530"/>
      <c r="D23" s="530"/>
      <c r="E23" s="530"/>
      <c r="F23" s="530"/>
      <c r="G23" s="530"/>
      <c r="H23" s="530"/>
      <c r="I23" s="525"/>
      <c r="J23" s="13">
        <f>J16+J21+J22</f>
        <v>0</v>
      </c>
    </row>
    <row r="24" spans="1:11">
      <c r="A24" s="524" t="s">
        <v>119</v>
      </c>
      <c r="B24" s="530"/>
      <c r="C24" s="530"/>
      <c r="D24" s="530"/>
      <c r="E24" s="530"/>
      <c r="F24" s="530"/>
      <c r="G24" s="530"/>
      <c r="H24" s="530"/>
      <c r="I24" s="525"/>
      <c r="J24" s="13">
        <f>J23/12</f>
        <v>0</v>
      </c>
    </row>
    <row r="25" spans="1:11">
      <c r="A25" s="524" t="s">
        <v>692</v>
      </c>
      <c r="B25" s="530"/>
      <c r="C25" s="530"/>
      <c r="D25" s="530"/>
      <c r="E25" s="530"/>
      <c r="F25" s="530"/>
      <c r="G25" s="530"/>
      <c r="H25" s="530"/>
      <c r="I25" s="525"/>
      <c r="J25" s="13">
        <f>BasicInput!$D$27</f>
        <v>3000000</v>
      </c>
      <c r="K25" s="15" t="str">
        <f>IF(OR(BasicInput!$D$27="",BasicInput!$D$27=0),"",IFERROR(IF(OR(J25&lt;VLOOKUP($K$1,Validation!$O$2:$Q$541,2,0),J25&gt;VLOOKUP($K$1,Validation!$O$2:$Q$541,3,0)),"NCC Level Deviation for Lower / Upper Cap Breach of Loan Amount",""),""))</f>
        <v/>
      </c>
    </row>
    <row r="26" spans="1:11">
      <c r="A26" s="366" t="s">
        <v>693</v>
      </c>
      <c r="B26" s="366"/>
      <c r="C26" s="366"/>
      <c r="D26" s="366"/>
      <c r="E26" s="366"/>
      <c r="F26" s="366"/>
      <c r="G26" s="366"/>
      <c r="H26" s="366"/>
      <c r="I26" s="366"/>
      <c r="J26" s="12">
        <f>'ExistingLoans&amp;Facilities&amp;RTR'!$N$103</f>
        <v>0</v>
      </c>
    </row>
    <row r="27" spans="1:11">
      <c r="A27" s="366" t="s">
        <v>694</v>
      </c>
      <c r="B27" s="366"/>
      <c r="C27" s="366"/>
      <c r="D27" s="366"/>
      <c r="E27" s="366"/>
      <c r="F27" s="366"/>
      <c r="G27" s="366"/>
      <c r="H27" s="366"/>
      <c r="I27" s="366"/>
      <c r="J27" s="12">
        <f>BasicInput!$G$28</f>
        <v>33033</v>
      </c>
    </row>
    <row r="28" spans="1:11">
      <c r="A28" s="366" t="s">
        <v>845</v>
      </c>
      <c r="B28" s="366"/>
      <c r="C28" s="366"/>
      <c r="D28" s="366"/>
      <c r="E28" s="366"/>
      <c r="F28" s="366"/>
      <c r="G28" s="366"/>
      <c r="H28" s="366"/>
      <c r="I28" s="366"/>
      <c r="J28" s="12">
        <f>SUMIF(BasicInput!$B$22:$B$26,Validation!$A$37,BasicInput!$G$22:$G$26)</f>
        <v>0</v>
      </c>
    </row>
    <row r="29" spans="1:11">
      <c r="A29" s="366" t="s">
        <v>695</v>
      </c>
      <c r="B29" s="366"/>
      <c r="C29" s="366"/>
      <c r="D29" s="366"/>
      <c r="E29" s="366"/>
      <c r="F29" s="366"/>
      <c r="G29" s="366"/>
      <c r="H29" s="366"/>
      <c r="I29" s="366"/>
      <c r="J29" s="12">
        <f>SUMIF(BasicInput!$B$22:$B$26,Validation!$A$38,BasicInput!$G$22:$G$26)</f>
        <v>0</v>
      </c>
    </row>
    <row r="30" spans="1:11">
      <c r="A30" s="524" t="s">
        <v>696</v>
      </c>
      <c r="B30" s="530"/>
      <c r="C30" s="530"/>
      <c r="D30" s="530"/>
      <c r="E30" s="530"/>
      <c r="F30" s="530"/>
      <c r="G30" s="530"/>
      <c r="H30" s="530"/>
      <c r="I30" s="525"/>
      <c r="J30" s="16">
        <f>IF(SUM(J26:J27)=0,0,IFERROR(SUM(J26:J27)/J24,100000%))</f>
        <v>1000</v>
      </c>
      <c r="K30" s="15" t="str">
        <f>IFERROR(IF(J30&lt;=VLOOKUP($K$1,Validation!$O$2:$W$541,6,0),"",IF(J30&lt;=VLOOKUP($K$1,Validation!$O$2:$W$541,7,0),"FOIR Deviation Approval required",IF(J30&lt;=VLOOKUP($K$1,Validation!$O$2:$W$541,8,0),"FOIR Deviation Approval required",IF(J30&lt;=VLOOKUP($K$1,Validation!$O$2:$W$541,9,0),"FOIR Deviation Approval required","FOIR Deviation Approval required")))),"")</f>
        <v/>
      </c>
    </row>
    <row r="31" spans="1:11">
      <c r="A31" s="524" t="s">
        <v>697</v>
      </c>
      <c r="B31" s="530"/>
      <c r="C31" s="530"/>
      <c r="D31" s="530"/>
      <c r="E31" s="530"/>
      <c r="F31" s="530"/>
      <c r="G31" s="530"/>
      <c r="H31" s="530"/>
      <c r="I31" s="525"/>
      <c r="J31" s="16">
        <f>IF(SUM(J26:J29)=0,0,IFERROR(SUM(J26:J29)/J24,100000%))</f>
        <v>1000</v>
      </c>
      <c r="K31" s="15" t="str">
        <f>IFERROR(IF(J31&lt;=(VLOOKUP($K$1,Validation!$O$2:$W$541,6,0)+IF(AND(BasicInput!$H$28&lt;&gt;"Ins",COUNTIF(BasicInput!$B$22:$B$26,Validation!$A$38)&gt;=1),MIN(SUMIF(BasicInput!$B$22:$B$26,Validation!$A$38,BasicInput!$G$22:$G$26)/J24,5%),0%)),"",IF(J31&lt;=(VLOOKUP($K$1,Validation!$O$2:$W$541,7,0)+IF(AND(BasicInput!$H$28&lt;&gt;"Ins",COUNTIF(BasicInput!$B$22:$B$26,Validation!$A$38)&gt;=1),MIN(SUMIF(BasicInput!$B$22:$B$26,Validation!$A$38,BasicInput!$G$22:$G$26)/J24,5%),0%)),"FOIR Deviation Approval required",IF(J31&lt;=(VLOOKUP($K$1,Validation!$O$2:$W$541,8,0)+IF(AND(BasicInput!$H$28&lt;&gt;"Ins",COUNTIF(BasicInput!$B$22:$B$26,Validation!$A$38)&gt;=1),MIN(SUMIF(BasicInput!$B$22:$B$26,Validation!$A$38,BasicInput!$G$22:$G$26)/J24,5%),0%)),"FOIR Deviation Approval required",IF(J31&lt;=(VLOOKUP($K$1,Validation!$O$2:$W$541,9,0)+IF(AND(BasicInput!$H$28&lt;&gt;"Ins",COUNTIF(BasicInput!$B$22:$B$26,Validation!$A$38)&gt;=1),MIN(SUMIF(BasicInput!$B$22:$B$26,Validation!$A$38,BasicInput!$G$22:$G$26)/J24,5%),0%)),"FOIR Deviation Approval required","FOIR Deviation Approval required")))),"")</f>
        <v/>
      </c>
    </row>
    <row r="32" spans="1:11">
      <c r="A32" s="524" t="s">
        <v>698</v>
      </c>
      <c r="B32" s="530"/>
      <c r="C32" s="530"/>
      <c r="D32" s="530"/>
      <c r="E32" s="530"/>
      <c r="F32" s="530"/>
      <c r="G32" s="530"/>
      <c r="H32" s="530"/>
      <c r="I32" s="525"/>
      <c r="J32" s="16">
        <f>IFERROR(SUMIF(BasicInput!$B$22:$B$26,Validation!$A$38,BasicInput!$G$22:$G$26)/J24,0)</f>
        <v>0</v>
      </c>
      <c r="K32" s="17" t="str">
        <f>IF(J32&lt;=5%,"","NCC Level FOIR Deviation for Insurance")</f>
        <v/>
      </c>
    </row>
    <row r="33" spans="1:17">
      <c r="A33" s="524" t="s">
        <v>699</v>
      </c>
      <c r="B33" s="530"/>
      <c r="C33" s="530"/>
      <c r="D33" s="530"/>
      <c r="E33" s="530"/>
      <c r="F33" s="530"/>
      <c r="G33" s="530"/>
      <c r="H33" s="530"/>
      <c r="I33" s="525"/>
      <c r="J33" s="13">
        <f>MAX(IFERROR(((VLOOKUP($K$1,Validation!$O$2:$W$541,6,0)+IF(AND(BasicInput!$H$28&lt;&gt;"Ins",COUNTIF(BasicInput!$B$22:$B$26,Validation!$A$38)&gt;=1),MIN(SUMIF(BasicInput!$B$22:$B$26,Validation!$A$38,BasicInput!$G$22:$G$26)/J24,5%),0%))*J24-J26)/BasicInput!$F$28,0),0)</f>
        <v>0</v>
      </c>
      <c r="K33" s="15"/>
    </row>
    <row r="34" spans="1:17">
      <c r="A34" s="524" t="s">
        <v>700</v>
      </c>
      <c r="B34" s="530"/>
      <c r="C34" s="530"/>
      <c r="D34" s="530"/>
      <c r="E34" s="530"/>
      <c r="F34" s="530"/>
      <c r="G34" s="530"/>
      <c r="H34" s="530"/>
      <c r="I34" s="525"/>
      <c r="J34" s="16">
        <f>IFERROR((BasicInput!$D$28+$H$47)/$N$47,0)</f>
        <v>0</v>
      </c>
      <c r="K34" s="15" t="str">
        <f>IF(J34&lt;=$K$2,"",IF(AND($K$2=0%,J34&gt;$K$2),"LTV Deviation Approval required",IF(OR(BasicInput!$H$28="HL",BasicInput!$H$28="HLIns",BasicInput!$H$28="HLGPL",BasicInput!$H$28="HLGPLIns"),"No LTV Deviation allowed",IF(J34&lt;=(VLOOKUP($K$1,Validation!$O$2:$AA$541,11,0)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$541,12,0)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$541,13,0)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5" spans="1:17">
      <c r="A35" s="524" t="s">
        <v>701</v>
      </c>
      <c r="B35" s="530"/>
      <c r="C35" s="530"/>
      <c r="D35" s="530"/>
      <c r="E35" s="530"/>
      <c r="F35" s="530"/>
      <c r="G35" s="530"/>
      <c r="H35" s="530"/>
      <c r="I35" s="525"/>
      <c r="J35" s="16">
        <f>IFERROR((BasicInput!$D$27+$H$47)/$N$47,0)</f>
        <v>0</v>
      </c>
      <c r="K35" s="15" t="str">
        <f>IF(J35&lt;=$K$2,"",IF(AND($K$2=0%,J35&gt;$K$2),"LTV Deviation Approval required",IF(OR(BasicInput!$H$28="HL",BasicInput!$H$28="HLIns",BasicInput!$H$28="HLGPL",BasicInput!$H$28="HLGPLIns"),"No LTV Deviation allowed",IF(J35&lt;=(VLOOKUP($K$1,Validation!$O$2:$AA$541,11,0)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$541,12,0)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$541,13,0)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6" spans="1:17">
      <c r="A36" s="524" t="s">
        <v>702</v>
      </c>
      <c r="B36" s="530"/>
      <c r="C36" s="530"/>
      <c r="D36" s="530"/>
      <c r="E36" s="530"/>
      <c r="F36" s="530"/>
      <c r="G36" s="530"/>
      <c r="H36" s="530"/>
      <c r="I36" s="525"/>
      <c r="J36" s="16">
        <f>IFERROR(SUMIF(BasicInput!$B$22:$B$26,Validation!$A$38,BasicInput!$D$22:$D$26)/$N$47,0)</f>
        <v>0</v>
      </c>
      <c r="K36" s="17" t="str">
        <f>IF(J36&lt;=5%,"","NCC Level FOIR Deviation for Insurance")</f>
        <v/>
      </c>
    </row>
    <row r="37" spans="1:17">
      <c r="A37" s="524" t="s">
        <v>703</v>
      </c>
      <c r="B37" s="530"/>
      <c r="C37" s="530"/>
      <c r="D37" s="530"/>
      <c r="E37" s="530"/>
      <c r="F37" s="530"/>
      <c r="G37" s="530"/>
      <c r="H37" s="530"/>
      <c r="I37" s="525"/>
      <c r="J37" s="13">
        <f>MAX($P$47,0)</f>
        <v>0</v>
      </c>
      <c r="K37" s="15"/>
    </row>
    <row r="38" spans="1:17">
      <c r="A38" s="528" t="s">
        <v>704</v>
      </c>
      <c r="B38" s="565"/>
      <c r="C38" s="565"/>
      <c r="D38" s="565"/>
      <c r="E38" s="565"/>
      <c r="F38" s="565"/>
      <c r="G38" s="565"/>
      <c r="H38" s="565"/>
      <c r="I38" s="529"/>
      <c r="J38" s="18">
        <f>MIN(J25,J33,J37)</f>
        <v>0</v>
      </c>
      <c r="K38" s="15" t="str">
        <f>IF(J38=0,"",IFERROR(IF(OR(J38&lt;VLOOKUP($K$1,Validation!$O$2:$Q$541,2,0),J38&gt;VLOOKUP($K$1,Validation!$O$2:$Q$541,3,0)),"NCC Level Deviation for Lower / Upper Cap Breach of Loan Amount",""),""))</f>
        <v/>
      </c>
    </row>
    <row r="39" spans="1:17" ht="38.25">
      <c r="J39" s="1" t="str">
        <f>IF((J31+J35-K39)&gt;15%,"NCC Approval for LTV+FOIR Deviation",IF((J31+J35-K39)&gt;5%,"ZCC Approval for LTV+FOIR Deviation",IF((J31+J35-K39)&gt;2.5%,"RCC Approval for LTV+FOIR Deviation",IF((J31+J35-K39)&gt;0%,"ACC Approval for LTV+FOIR Deviation",""))))</f>
        <v>NCC Approval for LTV+FOIR Deviation</v>
      </c>
      <c r="K39" s="19">
        <f>MAX(IFERROR(((VLOOKUP($K$1,Validation!$O$2:$W$541,6,0)+IF(AND(BasicInput!$H$28&lt;&gt;"Ins",COUNTIF(BasicInput!$B$22:$B$26,Validation!$A$38)&gt;=1),MIN(SUMIF(BasicInput!$B$22:$B$26,Validation!$A$38,BasicInput!$G$22:$G$26)/J24,5%),0%))),0),0)+IFERROR(P47/N47,0)</f>
        <v>0</v>
      </c>
    </row>
    <row r="40" spans="1:17"/>
    <row r="41" spans="1:17" ht="51">
      <c r="B41" s="10" t="s">
        <v>42</v>
      </c>
      <c r="C41" s="10" t="s">
        <v>43</v>
      </c>
      <c r="D41" s="10" t="s">
        <v>44</v>
      </c>
      <c r="E41" s="10" t="s">
        <v>45</v>
      </c>
      <c r="F41" s="10" t="s">
        <v>46</v>
      </c>
      <c r="G41" s="10" t="s">
        <v>47</v>
      </c>
      <c r="H41" s="10" t="s">
        <v>48</v>
      </c>
      <c r="I41" s="10" t="s">
        <v>49</v>
      </c>
      <c r="J41" s="10" t="s">
        <v>50</v>
      </c>
      <c r="K41" s="10" t="s">
        <v>51</v>
      </c>
      <c r="L41" s="10" t="s">
        <v>52</v>
      </c>
      <c r="M41" s="10" t="s">
        <v>53</v>
      </c>
      <c r="N41" s="10" t="s">
        <v>54</v>
      </c>
      <c r="O41" s="10" t="s">
        <v>705</v>
      </c>
      <c r="P41" s="10" t="s">
        <v>706</v>
      </c>
    </row>
    <row r="42" spans="1:17" ht="63.75">
      <c r="B42" s="3" t="str">
        <f>IF(BasicInput!$B$34="","",BasicInput!$B$34)</f>
        <v/>
      </c>
      <c r="C42" s="3" t="str">
        <f>IF(BasicInput!$C$34="","",BasicInput!$C$34)</f>
        <v/>
      </c>
      <c r="D42" s="3" t="str">
        <f>IF(BasicInput!$D$34="","",BasicInput!$D$34)</f>
        <v/>
      </c>
      <c r="E42" s="3" t="str">
        <f>IF(BasicInput!$E$34="","",BasicInput!$E$34)</f>
        <v/>
      </c>
      <c r="F42" s="3" t="str">
        <f>IF(BasicInput!$F$34="","",BasicInput!$F$34)</f>
        <v/>
      </c>
      <c r="G42" s="7" t="str">
        <f>IF(BasicInput!$G$34="","",BasicInput!$G$34)</f>
        <v/>
      </c>
      <c r="H42" s="12">
        <f>IF(BasicInput!$H$34="",0,BasicInput!$H$34)</f>
        <v>0</v>
      </c>
      <c r="I42" s="12">
        <f>IF(BasicInput!$I$34="",0,BasicInput!$I$34)</f>
        <v>0</v>
      </c>
      <c r="J42" s="12">
        <f>IF(BasicInput!$J$34="",0,BasicInput!$J$34)</f>
        <v>0</v>
      </c>
      <c r="K42" s="12">
        <f>IF(BasicInput!$K$34="",0,BasicInput!$K$34)</f>
        <v>0</v>
      </c>
      <c r="L42" s="11" t="str">
        <f>IF(BasicInput!$L$34="","",BasicInput!$L$34)</f>
        <v/>
      </c>
      <c r="M42" s="11" t="str">
        <f>IF(BasicInput!$M$34="","",BasicInput!$M$34)</f>
        <v/>
      </c>
      <c r="N42" s="12" t="str">
        <f>IF(BasicInput!$N$34="",0,BasicInput!$N$34)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+BasicInput!$H$39)&gt;3000000,5%,10%)),0),90%)-IF(F42=Validation!$A$83,5%,0%),VLOOKUP($K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K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IF(BasicInput!$B$35="","",BasicInput!$B$35)</f>
        <v/>
      </c>
      <c r="C43" s="3" t="str">
        <f>IF(BasicInput!$C$35="","",BasicInput!$C$35)</f>
        <v/>
      </c>
      <c r="D43" s="3" t="str">
        <f>IF(BasicInput!$D$35="","",BasicInput!$D$35)</f>
        <v/>
      </c>
      <c r="E43" s="3" t="str">
        <f>IF(BasicInput!$E$35="","",BasicInput!$E$35)</f>
        <v/>
      </c>
      <c r="F43" s="3" t="str">
        <f>IF(BasicInput!$F$35="","",BasicInput!$F$35)</f>
        <v/>
      </c>
      <c r="G43" s="7" t="str">
        <f>IF(BasicInput!$G$35="","",BasicInput!$G$35)</f>
        <v/>
      </c>
      <c r="H43" s="12">
        <f>IF(BasicInput!$H$35="",0,BasicInput!$H$35)</f>
        <v>0</v>
      </c>
      <c r="I43" s="12">
        <f>IF(BasicInput!$I$35="",0,BasicInput!$I$35)</f>
        <v>0</v>
      </c>
      <c r="J43" s="12">
        <f>IF(BasicInput!$J$35="",0,BasicInput!$J$35)</f>
        <v>0</v>
      </c>
      <c r="K43" s="12">
        <f>IF(BasicInput!$K$35="",0,BasicInput!$K$35)</f>
        <v>0</v>
      </c>
      <c r="L43" s="11" t="str">
        <f>IF(BasicInput!$L$35="","",BasicInput!$L$35)</f>
        <v/>
      </c>
      <c r="M43" s="11" t="str">
        <f>IF(BasicInput!$M$35="","",BasicInput!$M$35)</f>
        <v/>
      </c>
      <c r="N43" s="12" t="str">
        <f>IF(BasicInput!$N$35="",0,BasicInput!$N$35)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+BasicInput!$H$39)&gt;3000000,5%,10%)),0),90%)-IF(F43=Validation!$A$83,5%,0%),VLOOKUP($K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K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IF(BasicInput!$B$36="","",BasicInput!$B$36)</f>
        <v/>
      </c>
      <c r="C44" s="3" t="str">
        <f>IF(BasicInput!$C$36="","",BasicInput!$C$36)</f>
        <v/>
      </c>
      <c r="D44" s="3" t="str">
        <f>IF(BasicInput!$D$36="","",BasicInput!$D$36)</f>
        <v/>
      </c>
      <c r="E44" s="3" t="str">
        <f>IF(BasicInput!$E$36="","",BasicInput!$E$36)</f>
        <v/>
      </c>
      <c r="F44" s="3" t="str">
        <f>IF(BasicInput!$F$36="","",BasicInput!$F$36)</f>
        <v/>
      </c>
      <c r="G44" s="7" t="str">
        <f>IF(BasicInput!$G$36="","",BasicInput!$G$36)</f>
        <v/>
      </c>
      <c r="H44" s="12">
        <f>IF(BasicInput!$H$36="",0,BasicInput!$H$36)</f>
        <v>0</v>
      </c>
      <c r="I44" s="12">
        <f>IF(BasicInput!$I$36="",0,BasicInput!$I$36)</f>
        <v>0</v>
      </c>
      <c r="J44" s="12">
        <f>IF(BasicInput!$J$36="",0,BasicInput!$J$36)</f>
        <v>0</v>
      </c>
      <c r="K44" s="12">
        <f>IF(BasicInput!$K$36="",0,BasicInput!$K$36)</f>
        <v>0</v>
      </c>
      <c r="L44" s="11" t="str">
        <f>IF(BasicInput!$L$36="","",BasicInput!$L$36)</f>
        <v/>
      </c>
      <c r="M44" s="11" t="str">
        <f>IF(BasicInput!$M$36="","",BasicInput!$M$36)</f>
        <v/>
      </c>
      <c r="N44" s="12" t="str">
        <f>IF(BasicInput!$N$36="",0,BasicInput!$N$36)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+BasicInput!$H$39)&gt;3000000,5%,10%)),0),90%)-IF(F44=Validation!$A$83,5%,0%),VLOOKUP($K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K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63.75">
      <c r="B45" s="3" t="str">
        <f>IF(BasicInput!$B$37="","",BasicInput!$B$37)</f>
        <v/>
      </c>
      <c r="C45" s="3" t="str">
        <f>IF(BasicInput!$C$37="","",BasicInput!$C$37)</f>
        <v/>
      </c>
      <c r="D45" s="3" t="str">
        <f>IF(BasicInput!$D$37="","",BasicInput!$D$37)</f>
        <v/>
      </c>
      <c r="E45" s="3" t="str">
        <f>IF(BasicInput!$E$37="","",BasicInput!$E$37)</f>
        <v/>
      </c>
      <c r="F45" s="3" t="str">
        <f>IF(BasicInput!$F$37="","",BasicInput!$F$37)</f>
        <v/>
      </c>
      <c r="G45" s="7" t="str">
        <f>IF(BasicInput!$G$37="","",BasicInput!$G$37)</f>
        <v/>
      </c>
      <c r="H45" s="12">
        <f>IF(BasicInput!$H$37="",0,BasicInput!$H$37)</f>
        <v>0</v>
      </c>
      <c r="I45" s="12">
        <f>IF(BasicInput!$I$37="",0,BasicInput!$I$37)</f>
        <v>0</v>
      </c>
      <c r="J45" s="12">
        <f>IF(BasicInput!$J$37="",0,BasicInput!$J$37)</f>
        <v>0</v>
      </c>
      <c r="K45" s="12">
        <f>IF(BasicInput!$K$37="",0,BasicInput!$K$37)</f>
        <v>0</v>
      </c>
      <c r="L45" s="11" t="str">
        <f>IF(BasicInput!$L$37="","",BasicInput!$L$37)</f>
        <v/>
      </c>
      <c r="M45" s="11" t="str">
        <f>IF(BasicInput!$M$37="","",BasicInput!$M$37)</f>
        <v/>
      </c>
      <c r="N45" s="12" t="str">
        <f>IF(BasicInput!$N$37="",0,BasicInput!$N$37)</f>
        <v>Agreement Value / Property Cost required</v>
      </c>
      <c r="O45" s="11">
        <f>IFERROR(IF(AND(OR(BasicInput!$H$28="HL",BasicInput!$H$28="HLIns",BasicInput!$H$28="HLGPL",BasicInput!$H$28="HLGPLIns"),BasicInput!$B$28&gt;=1),MIN(Q45+IF(COUNTIF(BasicInput!$B$22:$B$26,Validation!$A$37)&gt;=1,MIN(SUMIF(BasicInput!$B$22:$B$26,Validation!$A$37,BasicInput!$D$22:$D$26)/BasicInput!$J$40,IF((BasicInput!$D$28++BasicInput!$H$39)&gt;3000000,5%,10%)),0),90%)-IF(F45=Validation!$A$83,5%,0%),VLOOKUP($K$1,Validation!$O$2:$X$541,10,0))+IF(AND(BasicInput!$H$28&lt;&gt;"Ins",COUNTIF(BasicInput!$B$22:$B$26,Validation!$A$38)&gt;=1),MIN(SUMIF(BasicInput!$B$22:$B$26,Validation!$A$38,BasicInput!$D$22:$D$26)/BasicInput!$J$40,5%),0%)-IF(C45=Validation!$A$76,10%,0%)-IF(AND(BasicInput!$H$28&lt;&gt;"HL",BasicInput!$H$28&lt;&gt;"HLIns",BasicInput!$H$28&lt;&gt;"HLGPL",BasicInput!$H$28&lt;&gt;"HLGPLIns",COUNTIF(BasicInput!$B$22:$B$26,Validation!$A$30)&gt;=1,C45=Validation!$A$75),70%,0%),0)+IF(AND($K$2&lt;&gt;0,C45=Validation!$A$76,L45=100%,COUNTIF(BasicInput!$B$22:$B$26,Validation!$A$33)&gt;=1),5%,0)</f>
        <v>0</v>
      </c>
      <c r="P45" s="20">
        <f>IFERROR(IF(AND(OR(BasicInput!$H$28="HL",BasicInput!$H$28="HLIns",BasicInput!$H$28="HLGPL",BasicInput!$H$28="HLGPLIns"),COUNTIF(BasicInput!$B$22:$B$26,Validation!$A$23)&gt;=1,C45=Validation!$A$75),MIN(N45*O45,K45*(80%+IF(COUNTIF(BasicInput!$B$22:$B$26,Validation!$A$37)&gt;=1,MIN(SUMIF(BasicInput!$B$22:$B$26,Validation!$A$37,BasicInput!$D$22:$D$26)/BasicInput!$J$40,IF((BasicInput!$D$28+BasicInput!$H$39)&gt;3000000,5%,10%)),0)-IF(F45=Validation!$A$83,5%,0%)+IF(AND(BasicInput!$H$28&lt;&gt;"Ins",COUNTIF(BasicInput!$B$22:$B$26,Validation!$A$38)&gt;=1),MIN(SUMIF(BasicInput!$B$22:$B$26,Validation!$A$38,BasicInput!$D$22:$D$26)/BasicInput!$J$40,5%),0%))),N45*O45)-H45,0)</f>
        <v>0</v>
      </c>
      <c r="Q45" s="19" t="b">
        <f>IF(AND(OR(BasicInput!$H$28="HL",BasicInput!$H$28="HLIns",BasicInput!$H$28="HLGPL",BasicInput!$H$28="HLGPLIns"),COUNTIF(BasicInput!$B$22:$B$26,Validation!$A$23)&gt;=1,C45=Validation!$A$75),75%,IF(AND(OR(BasicInput!$H$28="HL",BasicInput!$H$28="HLIns",BasicInput!$H$28="HLGPL",BasicInput!$H$28="HLGPLIns"),BasicInput!$B$28&gt;=1,OR(C45=Validation!$A$73,C45=Validation!$A$74)),IF((BasicInput!$D$28+BasicInput!$H$39)&gt;7500000,75%,IF((BasicInput!$D$28+BasicInput!$H$39)&gt;3000000,80%,90%))))</f>
        <v>0</v>
      </c>
    </row>
    <row r="46" spans="1:17" ht="63.75">
      <c r="B46" s="3" t="str">
        <f>IF(BasicInput!$B$38="","",BasicInput!$B$38)</f>
        <v/>
      </c>
      <c r="C46" s="3" t="str">
        <f>IF(BasicInput!$C$38="","",BasicInput!$C$38)</f>
        <v/>
      </c>
      <c r="D46" s="3" t="str">
        <f>IF(BasicInput!$D$38="","",BasicInput!$D$38)</f>
        <v/>
      </c>
      <c r="E46" s="3" t="str">
        <f>IF(BasicInput!$E$38="","",BasicInput!$E$38)</f>
        <v/>
      </c>
      <c r="F46" s="3" t="str">
        <f>IF(BasicInput!$F$38="","",BasicInput!$F$38)</f>
        <v/>
      </c>
      <c r="G46" s="7" t="str">
        <f>IF(BasicInput!$G$38="","",BasicInput!$G$38)</f>
        <v/>
      </c>
      <c r="H46" s="12">
        <f>IF(BasicInput!$H$38="",0,BasicInput!$H$38)</f>
        <v>0</v>
      </c>
      <c r="I46" s="12">
        <f>IF(BasicInput!$I$38="",0,BasicInput!$I$38)</f>
        <v>0</v>
      </c>
      <c r="J46" s="12">
        <f>IF(BasicInput!$J$38="",0,BasicInput!$J$38)</f>
        <v>0</v>
      </c>
      <c r="K46" s="12">
        <f>IF(BasicInput!$K$38="",0,BasicInput!$K$38)</f>
        <v>0</v>
      </c>
      <c r="L46" s="11" t="str">
        <f>IF(BasicInput!$L$38="","",BasicInput!$L$38)</f>
        <v/>
      </c>
      <c r="M46" s="11" t="str">
        <f>IF(BasicInput!$M$38="","",BasicInput!$M$38)</f>
        <v/>
      </c>
      <c r="N46" s="12" t="str">
        <f>IF(BasicInput!$N$38="",0,BasicInput!$N$38)</f>
        <v>Agreement Value / Property Cost required</v>
      </c>
      <c r="O46" s="11">
        <f>IFERROR(IF(AND(OR(BasicInput!$H$28="HL",BasicInput!$H$28="HLIns",BasicInput!$H$28="HLGPL",BasicInput!$H$28="HLGPLIns"),BasicInput!$B$28&gt;=1),MIN(Q46+IF(COUNTIF(BasicInput!$B$22:$B$26,Validation!$A$37)&gt;=1,MIN(SUMIF(BasicInput!$B$22:$B$26,Validation!$A$37,BasicInput!$D$22:$D$26)/BasicInput!$J$40,IF((BasicInput!$D$28++BasicInput!$H$39)&gt;3000000,5%,10%)),0),90%)-IF(F46=Validation!$A$83,5%,0%),VLOOKUP($K$1,Validation!$O$2:$X$541,10,0))+IF(AND(BasicInput!$H$28&lt;&gt;"Ins",COUNTIF(BasicInput!$B$22:$B$26,Validation!$A$38)&gt;=1),MIN(SUMIF(BasicInput!$B$22:$B$26,Validation!$A$38,BasicInput!$D$22:$D$26)/BasicInput!$J$40,5%),0%)-IF(C46=Validation!$A$76,10%,0%)-IF(AND(BasicInput!$H$28&lt;&gt;"HL",BasicInput!$H$28&lt;&gt;"HLIns",BasicInput!$H$28&lt;&gt;"HLGPL",BasicInput!$H$28&lt;&gt;"HLGPLIns",COUNTIF(BasicInput!$B$22:$B$26,Validation!$A$30)&gt;=1,C46=Validation!$A$75),70%,0%),0)+IF(AND($K$2&lt;&gt;0,C46=Validation!$A$76,L46=100%,COUNTIF(BasicInput!$B$22:$B$26,Validation!$A$33)&gt;=1),5%,0)</f>
        <v>0</v>
      </c>
      <c r="P46" s="20">
        <f>IFERROR(IF(AND(OR(BasicInput!$H$28="HL",BasicInput!$H$28="HLIns",BasicInput!$H$28="HLGPL",BasicInput!$H$28="HLGPLIns"),COUNTIF(BasicInput!$B$22:$B$26,Validation!$A$23)&gt;=1,C46=Validation!$A$75),MIN(N46*O46,K46*(80%+IF(COUNTIF(BasicInput!$B$22:$B$26,Validation!$A$37)&gt;=1,MIN(SUMIF(BasicInput!$B$22:$B$26,Validation!$A$37,BasicInput!$D$22:$D$26)/BasicInput!$J$40,IF((BasicInput!$D$28+BasicInput!$H$39)&gt;3000000,5%,10%)),0)-IF(F46=Validation!$A$83,5%,0%)+IF(AND(BasicInput!$H$28&lt;&gt;"Ins",COUNTIF(BasicInput!$B$22:$B$26,Validation!$A$38)&gt;=1),MIN(SUMIF(BasicInput!$B$22:$B$26,Validation!$A$38,BasicInput!$D$22:$D$26)/BasicInput!$J$40,5%),0%))),N46*O46)-H46,0)</f>
        <v>0</v>
      </c>
      <c r="Q46" s="19" t="b">
        <f>IF(AND(OR(BasicInput!$H$28="HL",BasicInput!$H$28="HLIns",BasicInput!$H$28="HLGPL",BasicInput!$H$28="HLGPLIns"),COUNTIF(BasicInput!$B$22:$B$26,Validation!$A$23)&gt;=1,C46=Validation!$A$75),75%,IF(AND(OR(BasicInput!$H$28="HL",BasicInput!$H$28="HLIns",BasicInput!$H$28="HLGPL",BasicInput!$H$28="HLGPLIns"),BasicInput!$B$28&gt;=1,OR(C46=Validation!$A$73,C46=Validation!$A$74)),IF((BasicInput!$D$28+BasicInput!$H$39)&gt;7500000,75%,IF((BasicInput!$D$28+BasicInput!$H$39)&gt;3000000,80%,90%))))</f>
        <v>0</v>
      </c>
    </row>
    <row r="47" spans="1:17">
      <c r="B47" s="524" t="s">
        <v>39</v>
      </c>
      <c r="C47" s="530"/>
      <c r="D47" s="530"/>
      <c r="E47" s="530"/>
      <c r="F47" s="530"/>
      <c r="G47" s="530"/>
      <c r="H47" s="13">
        <f>SUM(H42:H46)</f>
        <v>0</v>
      </c>
      <c r="I47" s="524"/>
      <c r="J47" s="530"/>
      <c r="K47" s="530"/>
      <c r="L47" s="530"/>
      <c r="M47" s="525"/>
      <c r="N47" s="13">
        <f>SUM(N42:N46)</f>
        <v>0</v>
      </c>
      <c r="O47" s="16"/>
      <c r="P47" s="13">
        <f>SUM(P42:P46)</f>
        <v>0</v>
      </c>
    </row>
    <row r="48" spans="1:17"/>
    <row r="49"/>
    <row r="50"/>
  </sheetData>
  <sheetProtection algorithmName="SHA-512" hashValue="ZxE9NFyNeKn67m2nkjKCzd03wkh9Y106mjCC0FZdJC88GZlD/JOyXKof38cCHZ85wuIDl9ZvOanDULh+rEh9qA==" saltValue="3j75iFYAVoYU3ehqL119rQ==" spinCount="100000" sheet="1" formatCells="0" formatColumns="0" formatRows="0" insertColumns="0" insertRows="0" autoFilter="0"/>
  <mergeCells count="28">
    <mergeCell ref="A38:I38"/>
    <mergeCell ref="B47:G47"/>
    <mergeCell ref="I47:M47"/>
    <mergeCell ref="A33:I33"/>
    <mergeCell ref="A34:I34"/>
    <mergeCell ref="A35:I35"/>
    <mergeCell ref="A36:I36"/>
    <mergeCell ref="A37:I37"/>
    <mergeCell ref="A28:I28"/>
    <mergeCell ref="A29:I29"/>
    <mergeCell ref="A30:I30"/>
    <mergeCell ref="A31:I31"/>
    <mergeCell ref="A32:I32"/>
    <mergeCell ref="A23:I23"/>
    <mergeCell ref="A24:I24"/>
    <mergeCell ref="A25:I25"/>
    <mergeCell ref="A26:I26"/>
    <mergeCell ref="A27:I27"/>
    <mergeCell ref="A18:I18"/>
    <mergeCell ref="A19:I19"/>
    <mergeCell ref="A20:I20"/>
    <mergeCell ref="A21:I21"/>
    <mergeCell ref="A22:I22"/>
    <mergeCell ref="A1:J1"/>
    <mergeCell ref="A14:I14"/>
    <mergeCell ref="A15:I15"/>
    <mergeCell ref="A16:I16"/>
    <mergeCell ref="A17:I17"/>
  </mergeCells>
  <conditionalFormatting sqref="K21">
    <cfRule type="cellIs" dxfId="8" priority="5" operator="equal">
      <formula>"Other Income capped at 100% of Basic Income"</formula>
    </cfRule>
  </conditionalFormatting>
  <conditionalFormatting sqref="J39">
    <cfRule type="cellIs" dxfId="7" priority="1" operator="notEqual">
      <formula>""""""</formula>
    </cfRule>
  </conditionalFormatting>
  <conditionalFormatting sqref="K3:K38">
    <cfRule type="cellIs" dxfId="6" priority="2" operator="notEqual">
      <formula>""""""</formula>
    </cfRule>
  </conditionalFormatting>
  <dataValidations count="1">
    <dataValidation type="list" allowBlank="1" showInputMessage="1" showErrorMessage="1" sqref="J15">
      <formula1>"4,&gt;4"</formula1>
    </dataValidation>
  </dataValidation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28515625" style="1" customWidth="1"/>
    <col min="9" max="9" width="13.42578125" style="1" customWidth="1"/>
    <col min="10" max="10" width="45.7109375" style="1" customWidth="1"/>
    <col min="11" max="11" width="16.5703125" style="1" customWidth="1"/>
    <col min="12" max="12" width="11" style="1" customWidth="1"/>
    <col min="13" max="13" width="9.140625" style="1" customWidth="1"/>
    <col min="14" max="14" width="11.140625" style="1" customWidth="1"/>
    <col min="15" max="17" width="9.140625" style="1" customWidth="1"/>
    <col min="18" max="16384" width="9.140625" style="1" hidden="1"/>
  </cols>
  <sheetData>
    <row r="1" spans="1:10" ht="15" customHeight="1">
      <c r="A1" s="520" t="s">
        <v>1747</v>
      </c>
      <c r="B1" s="520"/>
      <c r="C1" s="520"/>
      <c r="D1" s="520"/>
      <c r="E1" s="520"/>
      <c r="F1" s="520"/>
      <c r="G1" s="520"/>
      <c r="H1" s="520"/>
      <c r="I1" s="520"/>
      <c r="J1" s="14" t="str">
        <f>CONCATENATE(Validation!$A$43,"_",BasicInput!$H$28,"_",BasicInput!$F$40)</f>
        <v>Gross Receipts_HL_</v>
      </c>
    </row>
    <row r="2" spans="1:10">
      <c r="J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J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0" ht="25.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1742</v>
      </c>
      <c r="F3" s="10" t="s">
        <v>687</v>
      </c>
      <c r="G3" s="10" t="str">
        <f>CONCATENATE("Receipts for ",Prime1!C14," (Rs.)")</f>
        <v>Receipts for FY 2023-24 (Rs.)</v>
      </c>
      <c r="H3" s="10" t="str">
        <f>CONCATENATE("Receipts for ",Prime1!D14," (Rs.)")</f>
        <v>Receipts for FY 2022-23 (Rs.)</v>
      </c>
      <c r="I3" s="10" t="s">
        <v>1744</v>
      </c>
    </row>
    <row r="4" spans="1:10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Prime1!$C$21</f>
        <v>0</v>
      </c>
      <c r="H4" s="12">
        <f>Prime1!$D$21</f>
        <v>0</v>
      </c>
      <c r="I4" s="12">
        <f>IFERROR(G4*IF(E4="Y",F4,0),0)*IF(BasicInput!$D$54="Doctor",3,IF(OR(BasicInput!$D$54="Chartered Accountant",BasicInput!$D$54="Architect"),2,0))*(1-20%)</f>
        <v>0</v>
      </c>
    </row>
    <row r="5" spans="1:10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Prime2!$C$21</f>
        <v>0</v>
      </c>
      <c r="H5" s="12">
        <f>Prime2!$D$21</f>
        <v>0</v>
      </c>
      <c r="I5" s="12">
        <f>IFERROR(G5*IF(E5="Y",F5,0),0)*IF(BasicInput!$D$54="Doctor",3,IF(OR(BasicInput!$D$54="Chartered Accountant",BasicInput!$D$54="Architect"),2,0))*(1-20%)</f>
        <v>0</v>
      </c>
    </row>
    <row r="6" spans="1:10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Prime3!$C$21</f>
        <v>0</v>
      </c>
      <c r="H6" s="12">
        <f>Prime3!$D$21</f>
        <v>0</v>
      </c>
      <c r="I6" s="12">
        <f>IFERROR(G6*IF(E6="Y",F6,0),0)*IF(BasicInput!$D$54="Doctor",3,IF(OR(BasicInput!$D$54="Chartered Accountant",BasicInput!$D$54="Architect"),2,0))*(1-20%)</f>
        <v>0</v>
      </c>
    </row>
    <row r="7" spans="1:10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Prime4!$C$21</f>
        <v>0</v>
      </c>
      <c r="H7" s="12">
        <f>Prime4!$D$21</f>
        <v>0</v>
      </c>
      <c r="I7" s="12">
        <f>IFERROR(G7*IF(E7="Y",F7,0),0)*IF(BasicInput!$D$54="Doctor",3,IF(OR(BasicInput!$D$54="Chartered Accountant",BasicInput!$D$54="Architect"),2,0))*(1-20%)</f>
        <v>0</v>
      </c>
    </row>
    <row r="8" spans="1:10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Prime5!$C$21</f>
        <v>0</v>
      </c>
      <c r="H8" s="12">
        <f>Prime5!$D$21</f>
        <v>0</v>
      </c>
      <c r="I8" s="12">
        <f>IFERROR(G8*IF(E8="Y",F8,0),0)*IF(BasicInput!$D$54="Doctor",3,IF(OR(BasicInput!$D$54="Chartered Accountant",BasicInput!$D$54="Architect"),2,0))*(1-20%)</f>
        <v>0</v>
      </c>
    </row>
    <row r="9" spans="1:10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Prime6!$C$21</f>
        <v>0</v>
      </c>
      <c r="H9" s="12">
        <f>Prime6!$D$21</f>
        <v>0</v>
      </c>
      <c r="I9" s="12">
        <f>IFERROR(G9*IF(E9="Y",F9,0),0)*IF(BasicInput!$D$54="Doctor",3,IF(OR(BasicInput!$D$54="Chartered Accountant",BasicInput!$D$54="Architect"),2,0))*(1-20%)</f>
        <v>0</v>
      </c>
    </row>
    <row r="10" spans="1:10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Prime7!$C$21</f>
        <v>0</v>
      </c>
      <c r="H10" s="12">
        <f>Prime7!$D$21</f>
        <v>0</v>
      </c>
      <c r="I10" s="12">
        <f>IFERROR(G10*IF(E10="Y",F10,0),0)*IF(BasicInput!$D$54="Doctor",3,IF(OR(BasicInput!$D$54="Chartered Accountant",BasicInput!$D$54="Architect"),2,0))*(1-20%)</f>
        <v>0</v>
      </c>
    </row>
    <row r="11" spans="1:10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Prime8!$C$21</f>
        <v>0</v>
      </c>
      <c r="H11" s="12">
        <f>Prime8!$D$21</f>
        <v>0</v>
      </c>
      <c r="I11" s="12">
        <f>IFERROR(G11*IF(E11="Y",F11,0),0)*IF(BasicInput!$D$54="Doctor",3,IF(OR(BasicInput!$D$54="Chartered Accountant",BasicInput!$D$54="Architect"),2,0))*(1-20%)</f>
        <v>0</v>
      </c>
    </row>
    <row r="12" spans="1:10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Prime9!$C$21</f>
        <v>0</v>
      </c>
      <c r="H12" s="12">
        <f>Prime9!$D$21</f>
        <v>0</v>
      </c>
      <c r="I12" s="12">
        <f>IFERROR(G12*IF(E12="Y",F12,0),0)*IF(BasicInput!$D$54="Doctor",3,IF(OR(BasicInput!$D$54="Chartered Accountant",BasicInput!$D$54="Architect"),2,0))*(1-20%)</f>
        <v>0</v>
      </c>
    </row>
    <row r="13" spans="1:10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Prime10!$C$21</f>
        <v>0</v>
      </c>
      <c r="H13" s="12">
        <f>Prime10!$D$21</f>
        <v>0</v>
      </c>
      <c r="I13" s="12">
        <f>IFERROR(G13*IF(E13="Y",F13,0),0)*IF(BasicInput!$D$54="Doctor",3,IF(OR(BasicInput!$D$54="Chartered Accountant",BasicInput!$D$54="Architect"),2,0))*(1-20%)</f>
        <v>0</v>
      </c>
      <c r="J13" s="15" t="str">
        <f>IF(COUNTIF($E$4:$E$13,"Y")&gt;2,"NCC Level Deviation for clubbing Income of more than 2 Entities",IF(COUNTIF($E$4:$E$13,"Y")&gt;1,"ACC Level Deviation for clubbing Income of 2 Entities",""))</f>
        <v/>
      </c>
    </row>
    <row r="14" spans="1:10">
      <c r="A14" s="524" t="s">
        <v>1748</v>
      </c>
      <c r="B14" s="530"/>
      <c r="C14" s="530"/>
      <c r="D14" s="530"/>
      <c r="E14" s="530"/>
      <c r="F14" s="530"/>
      <c r="G14" s="530"/>
      <c r="H14" s="525"/>
      <c r="I14" s="13">
        <f>SUM(I4:I13)</f>
        <v>0</v>
      </c>
      <c r="J14" s="15"/>
    </row>
    <row r="15" spans="1:10" ht="27" customHeight="1">
      <c r="A15" s="366" t="s">
        <v>62</v>
      </c>
      <c r="B15" s="366"/>
      <c r="C15" s="366"/>
      <c r="D15" s="366"/>
      <c r="E15" s="366"/>
      <c r="F15" s="366"/>
      <c r="G15" s="366"/>
      <c r="H15" s="366"/>
      <c r="I15" s="12">
        <f>BasicInput!$D$49</f>
        <v>0</v>
      </c>
    </row>
    <row r="16" spans="1:10">
      <c r="A16" s="366" t="s">
        <v>63</v>
      </c>
      <c r="B16" s="366"/>
      <c r="C16" s="366"/>
      <c r="D16" s="366"/>
      <c r="E16" s="366"/>
      <c r="F16" s="366"/>
      <c r="G16" s="366"/>
      <c r="H16" s="366"/>
      <c r="I16" s="12">
        <f>BasicInput!$D$50</f>
        <v>0</v>
      </c>
    </row>
    <row r="17" spans="1:10">
      <c r="A17" s="366" t="s">
        <v>64</v>
      </c>
      <c r="B17" s="366"/>
      <c r="C17" s="366"/>
      <c r="D17" s="366"/>
      <c r="E17" s="366"/>
      <c r="F17" s="366"/>
      <c r="G17" s="366"/>
      <c r="H17" s="366"/>
      <c r="I17" s="12">
        <f>BasicInput!$D$51</f>
        <v>0</v>
      </c>
    </row>
    <row r="18" spans="1:10">
      <c r="A18" s="366" t="s">
        <v>844</v>
      </c>
      <c r="B18" s="366"/>
      <c r="C18" s="366"/>
      <c r="D18" s="366"/>
      <c r="E18" s="366"/>
      <c r="F18" s="366"/>
      <c r="G18" s="366"/>
      <c r="H18" s="366"/>
      <c r="I18" s="12">
        <f>BasicInput!$D$52</f>
        <v>0</v>
      </c>
    </row>
    <row r="19" spans="1:10">
      <c r="A19" s="524" t="s">
        <v>107</v>
      </c>
      <c r="B19" s="530"/>
      <c r="C19" s="530"/>
      <c r="D19" s="530"/>
      <c r="E19" s="530"/>
      <c r="F19" s="530"/>
      <c r="G19" s="530"/>
      <c r="H19" s="525"/>
      <c r="I19" s="13">
        <f>MIN((I15+(I16*50%)+I17+I18),I14)</f>
        <v>0</v>
      </c>
      <c r="J19" s="1" t="str">
        <f>IF(I14&lt;(I15+(I16*50%)+I17+I18),"Other Income capped at 100% of Basic Income","")</f>
        <v/>
      </c>
    </row>
    <row r="20" spans="1:10" ht="40.5" customHeight="1">
      <c r="A20" s="366" t="s">
        <v>66</v>
      </c>
      <c r="B20" s="366"/>
      <c r="C20" s="366"/>
      <c r="D20" s="366"/>
      <c r="E20" s="366"/>
      <c r="F20" s="366"/>
      <c r="G20" s="366"/>
      <c r="H20" s="366"/>
      <c r="I20" s="12">
        <f>BasicInput!$D$53</f>
        <v>0</v>
      </c>
    </row>
    <row r="21" spans="1:10">
      <c r="A21" s="524" t="s">
        <v>691</v>
      </c>
      <c r="B21" s="530"/>
      <c r="C21" s="530"/>
      <c r="D21" s="530"/>
      <c r="E21" s="530"/>
      <c r="F21" s="530"/>
      <c r="G21" s="530"/>
      <c r="H21" s="525"/>
      <c r="I21" s="13">
        <f>I14+I19+I20</f>
        <v>0</v>
      </c>
    </row>
    <row r="22" spans="1:10">
      <c r="A22" s="524" t="s">
        <v>119</v>
      </c>
      <c r="B22" s="530"/>
      <c r="C22" s="530"/>
      <c r="D22" s="530"/>
      <c r="E22" s="530"/>
      <c r="F22" s="530"/>
      <c r="G22" s="530"/>
      <c r="H22" s="525"/>
      <c r="I22" s="13">
        <f>I21/12</f>
        <v>0</v>
      </c>
    </row>
    <row r="23" spans="1:10">
      <c r="A23" s="524" t="s">
        <v>692</v>
      </c>
      <c r="B23" s="530"/>
      <c r="C23" s="530"/>
      <c r="D23" s="530"/>
      <c r="E23" s="530"/>
      <c r="F23" s="530"/>
      <c r="G23" s="530"/>
      <c r="H23" s="525"/>
      <c r="I23" s="13">
        <f>BasicInput!$D$27</f>
        <v>3000000</v>
      </c>
      <c r="J23" s="15" t="str">
        <f>IF(OR(BasicInput!$D$27="",BasicInput!$D$27=0),"",IFERROR(IF(OR(I23&lt;VLOOKUP($J$1,Validation!$O$2:$Q$541,2,0),I23&gt;VLOOKUP($J$1,Validation!$O$2:$Q$541,3,0)),"NCC Level Deviation for Lower / Upper Cap Breach of Loan Amount",""),""))</f>
        <v/>
      </c>
    </row>
    <row r="24" spans="1:10">
      <c r="A24" s="366" t="s">
        <v>693</v>
      </c>
      <c r="B24" s="366"/>
      <c r="C24" s="366"/>
      <c r="D24" s="366"/>
      <c r="E24" s="366"/>
      <c r="F24" s="366"/>
      <c r="G24" s="366"/>
      <c r="H24" s="366"/>
      <c r="I24" s="12">
        <f>'ExistingLoans&amp;Facilities&amp;RTR'!$N$103</f>
        <v>0</v>
      </c>
    </row>
    <row r="25" spans="1:10">
      <c r="A25" s="366" t="s">
        <v>694</v>
      </c>
      <c r="B25" s="366"/>
      <c r="C25" s="366"/>
      <c r="D25" s="366"/>
      <c r="E25" s="366"/>
      <c r="F25" s="366"/>
      <c r="G25" s="366"/>
      <c r="H25" s="366"/>
      <c r="I25" s="12">
        <f>BasicInput!$G$28</f>
        <v>33033</v>
      </c>
    </row>
    <row r="26" spans="1:10">
      <c r="A26" s="366" t="s">
        <v>845</v>
      </c>
      <c r="B26" s="366"/>
      <c r="C26" s="366"/>
      <c r="D26" s="366"/>
      <c r="E26" s="366"/>
      <c r="F26" s="366"/>
      <c r="G26" s="366"/>
      <c r="H26" s="366"/>
      <c r="I26" s="12">
        <f>SUMIF(BasicInput!$B$22:$B$26,Validation!$A$37,BasicInput!$G$22:$G$26)</f>
        <v>0</v>
      </c>
    </row>
    <row r="27" spans="1:10">
      <c r="A27" s="366" t="s">
        <v>695</v>
      </c>
      <c r="B27" s="366"/>
      <c r="C27" s="366"/>
      <c r="D27" s="366"/>
      <c r="E27" s="366"/>
      <c r="F27" s="366"/>
      <c r="G27" s="366"/>
      <c r="H27" s="366"/>
      <c r="I27" s="12">
        <f>SUMIF(BasicInput!$B$22:$B$26,Validation!$A$38,BasicInput!$G$22:$G$26)</f>
        <v>0</v>
      </c>
    </row>
    <row r="28" spans="1:10">
      <c r="A28" s="524" t="s">
        <v>696</v>
      </c>
      <c r="B28" s="530"/>
      <c r="C28" s="530"/>
      <c r="D28" s="530"/>
      <c r="E28" s="530"/>
      <c r="F28" s="530"/>
      <c r="G28" s="530"/>
      <c r="H28" s="525"/>
      <c r="I28" s="16">
        <f>IF(SUM(I24:I25)=0,0,IFERROR(SUM(I24:I25)/I22,100000%))</f>
        <v>1000</v>
      </c>
      <c r="J28" s="15" t="str">
        <f>IFERROR(IF(I28&lt;=VLOOKUP($J$1,Validation!$O$2:$W$541,6,0),"",IF(I28&lt;=VLOOKUP($J$1,Validation!$O$2:$W$541,7,0),"FOIR Deviation Approval required",IF(I28&lt;=VLOOKUP($J$1,Validation!$O$2:$W$541,8,0),"FOIR Deviation Approval required",IF(I28&lt;=VLOOKUP($J$1,Validation!$O$2:$W$541,9,0),"FOIR Deviation Approval required","FOIR Deviation Approval required")))),"")</f>
        <v/>
      </c>
    </row>
    <row r="29" spans="1:10">
      <c r="A29" s="524" t="s">
        <v>697</v>
      </c>
      <c r="B29" s="530"/>
      <c r="C29" s="530"/>
      <c r="D29" s="530"/>
      <c r="E29" s="530"/>
      <c r="F29" s="530"/>
      <c r="G29" s="530"/>
      <c r="H29" s="525"/>
      <c r="I29" s="16">
        <f>IF(SUM(I24:I27)=0,0,IFERROR(SUM(I24:I27)/I22,100000%))</f>
        <v>1000</v>
      </c>
      <c r="J29" s="15" t="str">
        <f>IFERROR(IF(I29&lt;=(VLOOKUP($J$1,Validation!$O$2:$W$541,6,0)+IF(AND(BasicInput!$H$28&lt;&gt;"Ins",COUNTIF(BasicInput!$B$22:$B$26,Validation!$A$38)&gt;=1),MIN(SUMIF(BasicInput!$B$22:$B$26,Validation!$A$38,BasicInput!$G$22:$G$26)/I22,5%),0%)),"",IF(I29&lt;=(VLOOKUP($J$1,Validation!$O$2:$W$541,7,0)+IF(AND(BasicInput!$H$28&lt;&gt;"Ins",COUNTIF(BasicInput!$B$22:$B$26,Validation!$A$38)&gt;=1),MIN(SUMIF(BasicInput!$B$22:$B$26,Validation!$A$38,BasicInput!$G$22:$G$26)/I22,5%),0%)),"FOIR Deviation Approval required",IF(I29&lt;=(VLOOKUP($J$1,Validation!$O$2:$W$541,8,0)+IF(AND(BasicInput!$H$28&lt;&gt;"Ins",COUNTIF(BasicInput!$B$22:$B$26,Validation!$A$38)&gt;=1),MIN(SUMIF(BasicInput!$B$22:$B$26,Validation!$A$38,BasicInput!$G$22:$G$26)/I22,5%),0%)),"FOIR Deviation Approval required",IF(I29&lt;=(VLOOKUP($J$1,Validation!$O$2:$W$541,9,0)+IF(AND(BasicInput!$H$28&lt;&gt;"Ins",COUNTIF(BasicInput!$B$22:$B$26,Validation!$A$38)&gt;=1),MIN(SUMIF(BasicInput!$B$22:$B$26,Validation!$A$38,BasicInput!$G$22:$G$26)/I22,5%),0%)),"FOIR Deviation Approval required","FOIR Deviation Approval required")))),"")</f>
        <v/>
      </c>
    </row>
    <row r="30" spans="1:10">
      <c r="A30" s="524" t="s">
        <v>698</v>
      </c>
      <c r="B30" s="530"/>
      <c r="C30" s="530"/>
      <c r="D30" s="530"/>
      <c r="E30" s="530"/>
      <c r="F30" s="530"/>
      <c r="G30" s="530"/>
      <c r="H30" s="525"/>
      <c r="I30" s="16">
        <f>IFERROR(SUMIF(BasicInput!$B$22:$B$26,Validation!$A$38,BasicInput!$G$22:$G$26)/I22,0)</f>
        <v>0</v>
      </c>
      <c r="J30" s="17" t="str">
        <f>IF(I30&lt;=5%,"","NCC Level FOIR Deviation for Insurance")</f>
        <v/>
      </c>
    </row>
    <row r="31" spans="1:10">
      <c r="A31" s="524" t="s">
        <v>699</v>
      </c>
      <c r="B31" s="530"/>
      <c r="C31" s="530"/>
      <c r="D31" s="530"/>
      <c r="E31" s="530"/>
      <c r="F31" s="530"/>
      <c r="G31" s="530"/>
      <c r="H31" s="525"/>
      <c r="I31" s="13">
        <f>MAX(IFERROR(((VLOOKUP($J$1,Validation!$O$2:$W$541,6,0)+IF(AND(BasicInput!$H$28&lt;&gt;"Ins",COUNTIF(BasicInput!$B$22:$B$26,Validation!$A$38)&gt;=1),MIN(SUMIF(BasicInput!$B$22:$B$26,Validation!$A$38,BasicInput!$G$22:$G$26)/I22,5%),0%))*I22-I24)/BasicInput!$F$28,0),0)</f>
        <v>0</v>
      </c>
      <c r="J31" s="15"/>
    </row>
    <row r="32" spans="1:10">
      <c r="A32" s="524" t="s">
        <v>700</v>
      </c>
      <c r="B32" s="530"/>
      <c r="C32" s="530"/>
      <c r="D32" s="530"/>
      <c r="E32" s="530"/>
      <c r="F32" s="530"/>
      <c r="G32" s="530"/>
      <c r="H32" s="525"/>
      <c r="I32" s="16">
        <f>IFERROR((BasicInput!$D$28+$H$45)/$N$45,0)</f>
        <v>0</v>
      </c>
      <c r="J32" s="15" t="str">
        <f>IF(I32&lt;=$J$2,"",IF(AND($J$2=0%,I32&gt;$J$2),"LTV Deviation Approval required",IF(OR(BasicInput!$H$28="HL",BasicInput!$H$28="HLIns",BasicInput!$H$28="HLGPL",BasicInput!$H$28="HLGPLIns"),"No LTV Deviation allowed",IF(I32&lt;=(VLOOKUP($J$1,Validation!$O$2:$AA$541,11,0)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$541,12,0)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$541,13,0)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4" t="s">
        <v>701</v>
      </c>
      <c r="B33" s="530"/>
      <c r="C33" s="530"/>
      <c r="D33" s="530"/>
      <c r="E33" s="530"/>
      <c r="F33" s="530"/>
      <c r="G33" s="530"/>
      <c r="H33" s="525"/>
      <c r="I33" s="16">
        <f>IFERROR((BasicInput!$D$27+$H$45)/$N$45,0)</f>
        <v>0</v>
      </c>
      <c r="J33" s="15" t="str">
        <f>IF(I33&lt;=$J$2,"",IF(AND($J$2=0%,I33&gt;$J$2),"LTV Deviation Approval required",IF(OR(BasicInput!$H$28="HL",BasicInput!$H$28="HLIns",BasicInput!$H$28="HLGPL",BasicInput!$H$28="HLGPLIns"),"No LTV Deviation allowed",IF(I33&lt;=(VLOOKUP($J$1,Validation!$O$2:$AA$541,11,0)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$541,12,0)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$541,13,0)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4" t="s">
        <v>702</v>
      </c>
      <c r="B34" s="530"/>
      <c r="C34" s="530"/>
      <c r="D34" s="530"/>
      <c r="E34" s="530"/>
      <c r="F34" s="530"/>
      <c r="G34" s="530"/>
      <c r="H34" s="525"/>
      <c r="I34" s="16">
        <f>IFERROR(SUMIF(BasicInput!$B$22:$B$26,Validation!$A$38,BasicInput!$D$22:$D$26)/$N$45,0)</f>
        <v>0</v>
      </c>
      <c r="J34" s="17" t="str">
        <f>IF(I34&lt;=5%,"","NCC Level FOIR Deviation for Insurance")</f>
        <v/>
      </c>
    </row>
    <row r="35" spans="1:17">
      <c r="A35" s="524" t="s">
        <v>703</v>
      </c>
      <c r="B35" s="530"/>
      <c r="C35" s="530"/>
      <c r="D35" s="530"/>
      <c r="E35" s="530"/>
      <c r="F35" s="530"/>
      <c r="G35" s="530"/>
      <c r="H35" s="525"/>
      <c r="I35" s="13">
        <f>MAX($P$45,0)</f>
        <v>0</v>
      </c>
      <c r="J35" s="15"/>
    </row>
    <row r="36" spans="1:17">
      <c r="A36" s="528" t="s">
        <v>704</v>
      </c>
      <c r="B36" s="565"/>
      <c r="C36" s="565"/>
      <c r="D36" s="565"/>
      <c r="E36" s="565"/>
      <c r="F36" s="565"/>
      <c r="G36" s="565"/>
      <c r="H36" s="529"/>
      <c r="I36" s="18">
        <f>MIN(I23,I31,I35)</f>
        <v>0</v>
      </c>
      <c r="J36" s="15" t="str">
        <f>IF(I36=0,"",IFERROR(IF(OR(I36&lt;VLOOKUP($J$1,Validation!$O$2:$Q$541,2,0),I36&gt;VLOOKUP($J$1,Validation!$O$2:$Q$541,3,0)),"NCC Level Deviation for Lower / Upper Cap Breach of Loan Amount",""),""))</f>
        <v/>
      </c>
    </row>
    <row r="37" spans="1:17" ht="38.25">
      <c r="I37" s="1" t="str">
        <f>IF((I29+I33-J37)&gt;15%,"NCC Approval for LTV+FOIR Deviation",IF((I29+I33-J37)&gt;5%,"ZCC Approval for LTV+FOIR Deviation",IF((I29+I33-J37)&gt;2.5%,"RCC Approval for LTV+FOIR Deviation",IF((I29+I33-J37)&gt;0%,"ACC Approval for LTV+FOIR Deviation",""))))</f>
        <v>NCC Approval for LTV+FOIR Deviation</v>
      </c>
      <c r="J37" s="19">
        <f>MAX(IFERROR(((VLOOKUP($J$1,Validation!$O$2:$W$541,6,0)+IF(AND(BasicInput!$H$28&lt;&gt;"Ins",COUNTIF(BasicInput!$B$22:$B$26,Validation!$A$38)&gt;=1),MIN(SUMIF(BasicInput!$B$22:$B$26,Validation!$A$38,BasicInput!$G$22:$G$26)/I22,5%),0%))),0),0)+IFERROR(P45/N45,0)</f>
        <v>0</v>
      </c>
    </row>
    <row r="38" spans="1:17"/>
    <row r="39" spans="1:17" ht="51">
      <c r="B39" s="10" t="s">
        <v>42</v>
      </c>
      <c r="C39" s="10" t="s">
        <v>43</v>
      </c>
      <c r="D39" s="10" t="s">
        <v>44</v>
      </c>
      <c r="E39" s="10" t="s">
        <v>45</v>
      </c>
      <c r="F39" s="10" t="s">
        <v>46</v>
      </c>
      <c r="G39" s="10" t="s">
        <v>47</v>
      </c>
      <c r="H39" s="10" t="s">
        <v>48</v>
      </c>
      <c r="I39" s="10" t="s">
        <v>49</v>
      </c>
      <c r="J39" s="10" t="s">
        <v>50</v>
      </c>
      <c r="K39" s="10" t="s">
        <v>51</v>
      </c>
      <c r="L39" s="10" t="s">
        <v>52</v>
      </c>
      <c r="M39" s="10" t="s">
        <v>53</v>
      </c>
      <c r="N39" s="10" t="s">
        <v>54</v>
      </c>
      <c r="O39" s="10" t="s">
        <v>705</v>
      </c>
      <c r="P39" s="10" t="s">
        <v>706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J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J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J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J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J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J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J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J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J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J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4" t="s">
        <v>39</v>
      </c>
      <c r="C45" s="530"/>
      <c r="D45" s="530"/>
      <c r="E45" s="530"/>
      <c r="F45" s="530"/>
      <c r="G45" s="530"/>
      <c r="H45" s="13">
        <f>SUM(H40:H44)</f>
        <v>0</v>
      </c>
      <c r="I45" s="524"/>
      <c r="J45" s="530"/>
      <c r="K45" s="530"/>
      <c r="L45" s="530"/>
      <c r="M45" s="525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r3ULLLCOSetpSjRVcA4/j+PSZv4HYIhT0Ldo7DQDjdNUY4gqeA1TTIeMT0hDWf8DGIb5c6QmYThPuJvDj2aEKg==" saltValue="OLisE2m1sy/m2oIqedYUwQ==" spinCount="100000" sheet="1" formatCells="0" formatColumns="0" formatRows="0" insertColumns="0" insertRows="0" autoFilter="0"/>
  <mergeCells count="26">
    <mergeCell ref="I45:M45"/>
    <mergeCell ref="A33:H33"/>
    <mergeCell ref="A34:H34"/>
    <mergeCell ref="A35:H35"/>
    <mergeCell ref="A36:H36"/>
    <mergeCell ref="B45:G45"/>
    <mergeCell ref="A28:H28"/>
    <mergeCell ref="A29:H29"/>
    <mergeCell ref="A30:H30"/>
    <mergeCell ref="A31:H31"/>
    <mergeCell ref="A32:H32"/>
    <mergeCell ref="A23:H23"/>
    <mergeCell ref="A24:H24"/>
    <mergeCell ref="A25:H25"/>
    <mergeCell ref="A26:H26"/>
    <mergeCell ref="A27:H27"/>
    <mergeCell ref="A18:H18"/>
    <mergeCell ref="A19:H19"/>
    <mergeCell ref="A20:H20"/>
    <mergeCell ref="A21:H21"/>
    <mergeCell ref="A22:H22"/>
    <mergeCell ref="A1:I1"/>
    <mergeCell ref="A14:H14"/>
    <mergeCell ref="A15:H15"/>
    <mergeCell ref="A16:H16"/>
    <mergeCell ref="A17:H17"/>
  </mergeCells>
  <conditionalFormatting sqref="J19">
    <cfRule type="cellIs" dxfId="5" priority="5" operator="equal">
      <formula>"Other Income capped at 100% of Basic Income"</formula>
    </cfRule>
  </conditionalFormatting>
  <conditionalFormatting sqref="I37">
    <cfRule type="cellIs" dxfId="4" priority="1" operator="notEqual">
      <formula>""""""</formula>
    </cfRule>
  </conditionalFormatting>
  <conditionalFormatting sqref="J3:J36">
    <cfRule type="cellIs" dxfId="3" priority="2" operator="notEqual">
      <formula>""""""</formula>
    </cfRule>
  </conditionalFormatting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7109375" style="1" customWidth="1"/>
    <col min="9" max="9" width="14.140625" style="1" customWidth="1"/>
    <col min="10" max="11" width="13.28515625" style="1" customWidth="1"/>
    <col min="12" max="12" width="13.42578125" style="1" customWidth="1"/>
    <col min="13" max="13" width="45.7109375" style="1" customWidth="1"/>
    <col min="14" max="14" width="11" style="1" customWidth="1"/>
    <col min="15" max="17" width="9.140625" style="1" customWidth="1"/>
    <col min="18" max="16384" width="9.140625" style="1" hidden="1"/>
  </cols>
  <sheetData>
    <row r="1" spans="1:13" ht="15" customHeight="1">
      <c r="A1" s="520" t="s">
        <v>1749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14" t="str">
        <f>CONCATENATE(Validation!$A$44,"_",BasicInput!$H$28,"_",BasicInput!$F$40)</f>
        <v>Gross Profit_HL_</v>
      </c>
    </row>
    <row r="2" spans="1:13">
      <c r="M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M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3" ht="25.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1742</v>
      </c>
      <c r="F3" s="10" t="s">
        <v>687</v>
      </c>
      <c r="G3" s="10" t="str">
        <f>CONCATENATE("Gross Profit for ",Prime1!$C$14," (Rs.)")</f>
        <v>Gross Profit for FY 2023-24 (Rs.)</v>
      </c>
      <c r="H3" s="10" t="str">
        <f>CONCATENATE("Gross Profit for ",Prime1!$D$14," (Rs.)")</f>
        <v>Gross Profit for FY 2022-23 (Rs.)</v>
      </c>
      <c r="I3" s="10" t="str">
        <f>CONCATENATE("Int on OD/CC for ",Prime1!$C$14," (Rs.)")</f>
        <v>Int on OD/CC for FY 2023-24 (Rs.)</v>
      </c>
      <c r="J3" s="10" t="str">
        <f>CONCATENATE("Turnover for ",Prime1!$C$14," (Rs.)")</f>
        <v>Turnover for FY 2023-24 (Rs.)</v>
      </c>
      <c r="K3" s="10" t="str">
        <f>CONCATENATE("Turnover for ",Prime1!$D$14," (Rs.)")</f>
        <v>Turnover for FY 2022-23 (Rs.)</v>
      </c>
      <c r="L3" s="10" t="s">
        <v>1744</v>
      </c>
    </row>
    <row r="4" spans="1:13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Prime1!$C$33-SUM(Prime1!$C$24:$C$25)-Prime1!$C$18</f>
        <v>0</v>
      </c>
      <c r="H4" s="12">
        <f>Prime1!$D$33-SUM(Prime1!$D$24:$D$25)-Prime1!$D$18</f>
        <v>0</v>
      </c>
      <c r="I4" s="12">
        <f>Prime1!$C$44</f>
        <v>0</v>
      </c>
      <c r="J4" s="12">
        <f>Prime1!$C$27-SUM(Prime1!$C$24:$C$26)-Prime1!$C$18</f>
        <v>0</v>
      </c>
      <c r="K4" s="12">
        <f>Prime1!$D$27-SUM(Prime1!$D$24:$D$26)-Prime1!$D$18</f>
        <v>0</v>
      </c>
      <c r="L4" s="12">
        <f>IF(OR(C4=Validation!$A$2,C4=Validation!$A$3),MIN(AVERAGE(G4,H4),H4*150%)-I4,0)*IF(E4="Y",F4,0)</f>
        <v>0</v>
      </c>
    </row>
    <row r="5" spans="1:13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Prime2!$C$33-SUM(Prime2!$C$24:$C$25)-Prime2!$C$18</f>
        <v>0</v>
      </c>
      <c r="H5" s="12">
        <f>Prime2!$D$33-SUM(Prime2!$D$24:$D$25)-Prime2!$D$18</f>
        <v>0</v>
      </c>
      <c r="I5" s="12">
        <f>Prime2!$C$44</f>
        <v>0</v>
      </c>
      <c r="J5" s="12">
        <f>Prime2!$C$27-SUM(Prime2!$C$24:$C$26)-Prime2!$C$18</f>
        <v>0</v>
      </c>
      <c r="K5" s="12">
        <f>Prime2!$D$27-SUM(Prime2!$D$24:$D$26)-Prime2!$D$18</f>
        <v>0</v>
      </c>
      <c r="L5" s="12">
        <f>IF(OR(C5=Validation!$A$2,C5=Validation!$A$3),MIN(AVERAGE(G5,H5),H5*150%)-I5,0)*IF(E5="Y",F5,0)</f>
        <v>0</v>
      </c>
    </row>
    <row r="6" spans="1:13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Prime3!$C$33-SUM(Prime3!$C$24:$C$25)-Prime3!$C$18</f>
        <v>0</v>
      </c>
      <c r="H6" s="12">
        <f>Prime3!$D$33-SUM(Prime3!$D$24:$D$25)-Prime3!$D$18</f>
        <v>0</v>
      </c>
      <c r="I6" s="12">
        <f>Prime3!$C$44</f>
        <v>0</v>
      </c>
      <c r="J6" s="12">
        <f>Prime3!$C$27-SUM(Prime3!$C$24:$C$26)-Prime3!$C$18</f>
        <v>0</v>
      </c>
      <c r="K6" s="12">
        <f>Prime3!$D$27-SUM(Prime3!$D$24:$D$26)-Prime3!$D$18</f>
        <v>0</v>
      </c>
      <c r="L6" s="12">
        <f>IF(OR(C6=Validation!$A$2,C6=Validation!$A$3),MIN(AVERAGE(G6,H6),H6*150%)-I6,0)*IF(E6="Y",F6,0)</f>
        <v>0</v>
      </c>
    </row>
    <row r="7" spans="1:13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Prime4!$C$33-SUM(Prime4!$C$24:$C$25)-Prime4!$C$18</f>
        <v>0</v>
      </c>
      <c r="H7" s="12">
        <f>Prime4!$D$33-SUM(Prime4!$D$24:$D$25)-Prime4!$D$18</f>
        <v>0</v>
      </c>
      <c r="I7" s="12">
        <f>Prime4!$C$44</f>
        <v>0</v>
      </c>
      <c r="J7" s="12">
        <f>Prime4!$C$27-SUM(Prime4!$C$24:$C$26)-Prime4!$C$18</f>
        <v>0</v>
      </c>
      <c r="K7" s="12">
        <f>Prime4!$D$27-SUM(Prime4!$D$24:$D$26)-Prime4!$D$18</f>
        <v>0</v>
      </c>
      <c r="L7" s="12">
        <f>IF(OR(C7=Validation!$A$2,C7=Validation!$A$3),MIN(AVERAGE(G7,H7),H7*150%)-I7,0)*IF(E7="Y",F7,0)</f>
        <v>0</v>
      </c>
    </row>
    <row r="8" spans="1:13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Prime5!$C$33-SUM(Prime5!$C$24:$C$25)-Prime5!$C$18</f>
        <v>0</v>
      </c>
      <c r="H8" s="12">
        <f>Prime5!$D$33-SUM(Prime5!$D$24:$D$25)-Prime5!$D$18</f>
        <v>0</v>
      </c>
      <c r="I8" s="12">
        <f>Prime5!$C$44</f>
        <v>0</v>
      </c>
      <c r="J8" s="12">
        <f>Prime5!$C$27-SUM(Prime5!$C$24:$C$26)-Prime5!$C$18</f>
        <v>0</v>
      </c>
      <c r="K8" s="12">
        <f>Prime5!$D$27-SUM(Prime5!$D$24:$D$26)-Prime5!$D$18</f>
        <v>0</v>
      </c>
      <c r="L8" s="12">
        <f>IF(OR(C8=Validation!$A$2,C8=Validation!$A$3),MIN(AVERAGE(G8,H8),H8*150%)-I8,0)*IF(E8="Y",F8,0)</f>
        <v>0</v>
      </c>
    </row>
    <row r="9" spans="1:13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Prime6!$C$33-SUM(Prime6!$C$24:$C$25)-Prime6!$C$18</f>
        <v>0</v>
      </c>
      <c r="H9" s="12">
        <f>Prime6!$D$33-SUM(Prime6!$D$24:$D$25)-Prime6!$D$18</f>
        <v>0</v>
      </c>
      <c r="I9" s="12">
        <f>Prime6!$C$44</f>
        <v>0</v>
      </c>
      <c r="J9" s="12">
        <f>Prime6!$C$27-SUM(Prime6!$C$24:$C$26)-Prime6!$C$18</f>
        <v>0</v>
      </c>
      <c r="K9" s="12">
        <f>Prime6!$D$27-SUM(Prime6!$D$24:$D$26)-Prime6!$D$18</f>
        <v>0</v>
      </c>
      <c r="L9" s="12">
        <f>IF(OR(C9=Validation!$A$2,C9=Validation!$A$3),MIN(AVERAGE(G9,H9),H9*150%)-I9,0)*IF(E9="Y",F9,0)</f>
        <v>0</v>
      </c>
    </row>
    <row r="10" spans="1:13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Prime7!$C$33-SUM(Prime7!$C$24:$C$25)-Prime7!$C$18</f>
        <v>0</v>
      </c>
      <c r="H10" s="12">
        <f>Prime7!$D$33-SUM(Prime7!$D$24:$D$25)-Prime7!$D$18</f>
        <v>0</v>
      </c>
      <c r="I10" s="12">
        <f>Prime7!$C$44</f>
        <v>0</v>
      </c>
      <c r="J10" s="12">
        <f>Prime7!$C$27-SUM(Prime7!$C$24:$C$26)-Prime7!$C$18</f>
        <v>0</v>
      </c>
      <c r="K10" s="12">
        <f>Prime7!$D$27-SUM(Prime7!$D$24:$D$26)-Prime7!$D$18</f>
        <v>0</v>
      </c>
      <c r="L10" s="12">
        <f>IF(OR(C10=Validation!$A$2,C10=Validation!$A$3),MIN(AVERAGE(G10,H10),H10*150%)-I10,0)*IF(E10="Y",F10,0)</f>
        <v>0</v>
      </c>
    </row>
    <row r="11" spans="1:13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Prime8!$C$33-SUM(Prime8!$C$24:$C$25)-Prime8!$C$18</f>
        <v>0</v>
      </c>
      <c r="H11" s="12">
        <f>Prime8!$D$33-SUM(Prime8!$D$24:$D$25)-Prime8!$D$18</f>
        <v>0</v>
      </c>
      <c r="I11" s="12">
        <f>Prime8!$C$44</f>
        <v>0</v>
      </c>
      <c r="J11" s="12">
        <f>Prime8!$C$27-SUM(Prime8!$C$24:$C$26)-Prime8!$C$18</f>
        <v>0</v>
      </c>
      <c r="K11" s="12">
        <f>Prime8!$D$27-SUM(Prime8!$D$24:$D$26)-Prime8!$D$18</f>
        <v>0</v>
      </c>
      <c r="L11" s="12">
        <f>IF(OR(C11=Validation!$A$2,C11=Validation!$A$3),MIN(AVERAGE(G11,H11),H11*150%)-I11,0)*IF(E11="Y",F11,0)</f>
        <v>0</v>
      </c>
    </row>
    <row r="12" spans="1:13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Prime9!$C$33-SUM(Prime9!$C$24:$C$25)-Prime9!$C$18</f>
        <v>0</v>
      </c>
      <c r="H12" s="12">
        <f>Prime9!$D$33-SUM(Prime9!$D$24:$D$25)-Prime9!$D$18</f>
        <v>0</v>
      </c>
      <c r="I12" s="12">
        <f>Prime9!$C$44</f>
        <v>0</v>
      </c>
      <c r="J12" s="12">
        <f>Prime9!$C$27-SUM(Prime9!$C$24:$C$26)-Prime9!$C$18</f>
        <v>0</v>
      </c>
      <c r="K12" s="12">
        <f>Prime9!$D$27-SUM(Prime9!$D$24:$D$26)-Prime9!$D$18</f>
        <v>0</v>
      </c>
      <c r="L12" s="12">
        <f>IF(OR(C12=Validation!$A$2,C12=Validation!$A$3),MIN(AVERAGE(G12,H12),H12*150%)-I12,0)*IF(E12="Y",F12,0)</f>
        <v>0</v>
      </c>
    </row>
    <row r="13" spans="1:13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Prime10!$C$33-SUM(Prime10!$C$24:$C$25)-Prime10!$C$18</f>
        <v>0</v>
      </c>
      <c r="H13" s="12">
        <f>Prime10!$D$33-SUM(Prime10!$D$24:$D$25)-Prime10!$D$18</f>
        <v>0</v>
      </c>
      <c r="I13" s="12">
        <f>Prime10!$C$44</f>
        <v>0</v>
      </c>
      <c r="J13" s="12">
        <f>Prime10!$C$27-SUM(Prime10!$C$24:$C$26)-Prime10!$C$18</f>
        <v>0</v>
      </c>
      <c r="K13" s="12">
        <f>Prime10!$D$27-SUM(Prime10!$D$24:$D$26)-Prime10!$D$18</f>
        <v>0</v>
      </c>
      <c r="L13" s="12">
        <f>IF(OR(C13=Validation!$A$2,C13=Validation!$A$3),MIN(AVERAGE(G13,H13),H13*150%)-I13,0)*IF(E13="Y",F13,0)</f>
        <v>0</v>
      </c>
      <c r="M13" s="15" t="str">
        <f>IFERROR(IF(AND(SUM(G4:G13)/SUM(H4:H13)&lt;80%,SUM(J4:J13)/SUM(K4:K13)&lt;80%),"Deviation for Turnover as well as Gross Profit decline by over 20%",IF(SUM(G4:G13)/SUM(H4:H13)&lt;80%,"Deviation for Gross Profit decline by over 20%",IF(SUM(J4:J13)/SUM(K4:K13)&lt;80%,"Deviation for Turnover decline by over 20%",""))),"")</f>
        <v/>
      </c>
    </row>
    <row r="14" spans="1:13">
      <c r="A14" s="524" t="s">
        <v>1748</v>
      </c>
      <c r="B14" s="530"/>
      <c r="C14" s="530"/>
      <c r="D14" s="530"/>
      <c r="E14" s="530"/>
      <c r="F14" s="530"/>
      <c r="G14" s="530"/>
      <c r="H14" s="530"/>
      <c r="I14" s="530"/>
      <c r="J14" s="530"/>
      <c r="K14" s="525"/>
      <c r="L14" s="13">
        <f>SUM(L4:L13)</f>
        <v>0</v>
      </c>
      <c r="M14" s="15" t="str">
        <f>IF(AND(L14&gt;0,PrimeCashProfitMethod!$B$10&lt;400000),"Deviation for Cash Profit below Rs.4 Lacs","")</f>
        <v/>
      </c>
    </row>
    <row r="15" spans="1:13" ht="27" customHeight="1">
      <c r="A15" s="366" t="s">
        <v>62</v>
      </c>
      <c r="B15" s="366"/>
      <c r="C15" s="366"/>
      <c r="D15" s="366"/>
      <c r="E15" s="366"/>
      <c r="F15" s="366"/>
      <c r="G15" s="366"/>
      <c r="H15" s="366"/>
      <c r="I15" s="366"/>
      <c r="J15" s="366"/>
      <c r="K15" s="366"/>
      <c r="L15" s="12">
        <f>BasicInput!$D$49</f>
        <v>0</v>
      </c>
    </row>
    <row r="16" spans="1:13">
      <c r="A16" s="366" t="s">
        <v>63</v>
      </c>
      <c r="B16" s="366"/>
      <c r="C16" s="366"/>
      <c r="D16" s="366"/>
      <c r="E16" s="366"/>
      <c r="F16" s="366"/>
      <c r="G16" s="366"/>
      <c r="H16" s="366"/>
      <c r="I16" s="366"/>
      <c r="J16" s="366"/>
      <c r="K16" s="366"/>
      <c r="L16" s="12">
        <f>BasicInput!$D$50</f>
        <v>0</v>
      </c>
    </row>
    <row r="17" spans="1:13">
      <c r="A17" s="366" t="s">
        <v>64</v>
      </c>
      <c r="B17" s="366"/>
      <c r="C17" s="366"/>
      <c r="D17" s="366"/>
      <c r="E17" s="366"/>
      <c r="F17" s="366"/>
      <c r="G17" s="366"/>
      <c r="H17" s="366"/>
      <c r="I17" s="366"/>
      <c r="J17" s="366"/>
      <c r="K17" s="366"/>
      <c r="L17" s="12">
        <f>BasicInput!$D$51</f>
        <v>0</v>
      </c>
    </row>
    <row r="18" spans="1:13">
      <c r="A18" s="366" t="s">
        <v>844</v>
      </c>
      <c r="B18" s="366"/>
      <c r="C18" s="366"/>
      <c r="D18" s="366"/>
      <c r="E18" s="366"/>
      <c r="F18" s="366"/>
      <c r="G18" s="366"/>
      <c r="H18" s="366"/>
      <c r="I18" s="366"/>
      <c r="J18" s="366"/>
      <c r="K18" s="366"/>
      <c r="L18" s="12">
        <f>BasicInput!$D$52</f>
        <v>0</v>
      </c>
    </row>
    <row r="19" spans="1:13">
      <c r="A19" s="524" t="s">
        <v>107</v>
      </c>
      <c r="B19" s="530"/>
      <c r="C19" s="530"/>
      <c r="D19" s="530"/>
      <c r="E19" s="530"/>
      <c r="F19" s="530"/>
      <c r="G19" s="530"/>
      <c r="H19" s="530"/>
      <c r="I19" s="530"/>
      <c r="J19" s="530"/>
      <c r="K19" s="525"/>
      <c r="L19" s="13">
        <f>MIN((L15+(L16*50%)+L17+L18),L14)</f>
        <v>0</v>
      </c>
      <c r="M19" s="1" t="str">
        <f>IF(L14&lt;(L15+(L16*50%)+L17+L18),"Other Income capped at 100% of Basic Income","")</f>
        <v/>
      </c>
    </row>
    <row r="20" spans="1:13" ht="25.5" customHeight="1">
      <c r="A20" s="366" t="s">
        <v>66</v>
      </c>
      <c r="B20" s="366"/>
      <c r="C20" s="366"/>
      <c r="D20" s="366"/>
      <c r="E20" s="366"/>
      <c r="F20" s="366"/>
      <c r="G20" s="366"/>
      <c r="H20" s="366"/>
      <c r="I20" s="366"/>
      <c r="J20" s="366"/>
      <c r="K20" s="366"/>
      <c r="L20" s="12">
        <f>BasicInput!$D$53</f>
        <v>0</v>
      </c>
    </row>
    <row r="21" spans="1:13">
      <c r="A21" s="524" t="s">
        <v>691</v>
      </c>
      <c r="B21" s="530"/>
      <c r="C21" s="530"/>
      <c r="D21" s="530"/>
      <c r="E21" s="530"/>
      <c r="F21" s="530"/>
      <c r="G21" s="530"/>
      <c r="H21" s="530"/>
      <c r="I21" s="530"/>
      <c r="J21" s="530"/>
      <c r="K21" s="525"/>
      <c r="L21" s="13">
        <f>L14+L19+L20</f>
        <v>0</v>
      </c>
    </row>
    <row r="22" spans="1:13">
      <c r="A22" s="524" t="s">
        <v>119</v>
      </c>
      <c r="B22" s="530"/>
      <c r="C22" s="530"/>
      <c r="D22" s="530"/>
      <c r="E22" s="530"/>
      <c r="F22" s="530"/>
      <c r="G22" s="530"/>
      <c r="H22" s="530"/>
      <c r="I22" s="530"/>
      <c r="J22" s="530"/>
      <c r="K22" s="525"/>
      <c r="L22" s="13">
        <f>L21/12</f>
        <v>0</v>
      </c>
    </row>
    <row r="23" spans="1:13">
      <c r="A23" s="524" t="s">
        <v>692</v>
      </c>
      <c r="B23" s="530"/>
      <c r="C23" s="530"/>
      <c r="D23" s="530"/>
      <c r="E23" s="530"/>
      <c r="F23" s="530"/>
      <c r="G23" s="530"/>
      <c r="H23" s="530"/>
      <c r="I23" s="530"/>
      <c r="J23" s="530"/>
      <c r="K23" s="525"/>
      <c r="L23" s="13">
        <f>BasicInput!$D$27</f>
        <v>3000000</v>
      </c>
      <c r="M23" s="15" t="str">
        <f>IF(OR(BasicInput!$D$27="",BasicInput!$D$27=0),"",IFERROR(IF(OR(L23&lt;VLOOKUP($M$1,Validation!$O$2:$Q$541,2,0),L23&gt;VLOOKUP($M$1,Validation!$O$2:$Q$541,3,0)),"NCC Level Deviation for Lower / Upper Cap Breach of Loan Amount",""),""))</f>
        <v/>
      </c>
    </row>
    <row r="24" spans="1:13">
      <c r="A24" s="366" t="s">
        <v>693</v>
      </c>
      <c r="B24" s="366"/>
      <c r="C24" s="366"/>
      <c r="D24" s="366"/>
      <c r="E24" s="366"/>
      <c r="F24" s="366"/>
      <c r="G24" s="366"/>
      <c r="H24" s="366"/>
      <c r="I24" s="366"/>
      <c r="J24" s="366"/>
      <c r="K24" s="366"/>
      <c r="L24" s="12">
        <f>'ExistingLoans&amp;Facilities&amp;RTR'!$N$103</f>
        <v>0</v>
      </c>
    </row>
    <row r="25" spans="1:13">
      <c r="A25" s="366" t="s">
        <v>694</v>
      </c>
      <c r="B25" s="366"/>
      <c r="C25" s="366"/>
      <c r="D25" s="366"/>
      <c r="E25" s="366"/>
      <c r="F25" s="366"/>
      <c r="G25" s="366"/>
      <c r="H25" s="366"/>
      <c r="I25" s="366"/>
      <c r="J25" s="366"/>
      <c r="K25" s="366"/>
      <c r="L25" s="12">
        <f>BasicInput!$G$28</f>
        <v>33033</v>
      </c>
    </row>
    <row r="26" spans="1:13">
      <c r="A26" s="366" t="s">
        <v>845</v>
      </c>
      <c r="B26" s="366"/>
      <c r="C26" s="366"/>
      <c r="D26" s="366"/>
      <c r="E26" s="366"/>
      <c r="F26" s="366"/>
      <c r="G26" s="366"/>
      <c r="H26" s="366"/>
      <c r="I26" s="366"/>
      <c r="J26" s="366"/>
      <c r="K26" s="366"/>
      <c r="L26" s="12">
        <f>SUMIF(BasicInput!$B$22:$B$26,Validation!$A$37,BasicInput!$G$22:$G$26)</f>
        <v>0</v>
      </c>
    </row>
    <row r="27" spans="1:13">
      <c r="A27" s="366" t="s">
        <v>695</v>
      </c>
      <c r="B27" s="366"/>
      <c r="C27" s="366"/>
      <c r="D27" s="366"/>
      <c r="E27" s="366"/>
      <c r="F27" s="366"/>
      <c r="G27" s="366"/>
      <c r="H27" s="366"/>
      <c r="I27" s="366"/>
      <c r="J27" s="366"/>
      <c r="K27" s="366"/>
      <c r="L27" s="12">
        <f>SUMIF(BasicInput!$B$22:$B$26,Validation!$A$38,BasicInput!$G$22:$G$26)</f>
        <v>0</v>
      </c>
    </row>
    <row r="28" spans="1:13">
      <c r="A28" s="524" t="s">
        <v>696</v>
      </c>
      <c r="B28" s="530"/>
      <c r="C28" s="530"/>
      <c r="D28" s="530"/>
      <c r="E28" s="530"/>
      <c r="F28" s="530"/>
      <c r="G28" s="530"/>
      <c r="H28" s="530"/>
      <c r="I28" s="530"/>
      <c r="J28" s="530"/>
      <c r="K28" s="525"/>
      <c r="L28" s="16">
        <f>IF(SUM(L24:L25)=0,0,IFERROR(SUM(L24:L25)/L22,100000%))</f>
        <v>1000</v>
      </c>
      <c r="M28" s="15" t="str">
        <f>IFERROR(IF(L28&lt;=VLOOKUP($M$1,Validation!$O$2:$W$541,6,0),"",IF(L28&lt;=VLOOKUP($M$1,Validation!$O$2:$W$541,7,0),"FOIR Deviation Approval required",IF(L28&lt;=VLOOKUP($M$1,Validation!$O$2:$W$541,8,0),"FOIR Deviation Approval required",IF(L28&lt;=VLOOKUP($M$1,Validation!$O$2:$W$541,9,0),"FOIR Deviation Approval required","FOIR Deviation Approval required")))),"")</f>
        <v/>
      </c>
    </row>
    <row r="29" spans="1:13">
      <c r="A29" s="524" t="s">
        <v>697</v>
      </c>
      <c r="B29" s="530"/>
      <c r="C29" s="530"/>
      <c r="D29" s="530"/>
      <c r="E29" s="530"/>
      <c r="F29" s="530"/>
      <c r="G29" s="530"/>
      <c r="H29" s="530"/>
      <c r="I29" s="530"/>
      <c r="J29" s="530"/>
      <c r="K29" s="525"/>
      <c r="L29" s="16">
        <f>IF(SUM(L24:L27)=0,0,IFERROR(SUM(L24:L27)/L22,100000%))</f>
        <v>1000</v>
      </c>
      <c r="M29" s="15" t="str">
        <f>IFERROR(IF(L29&lt;=(VLOOKUP($M$1,Validation!$O$2:$W$541,6,0)+IF(AND(BasicInput!$H$28&lt;&gt;"Ins",COUNTIF(BasicInput!$B$22:$B$26,Validation!$A$38)&gt;=1),MIN(SUMIF(BasicInput!$B$22:$B$26,Validation!$A$38,BasicInput!$G$22:$G$26)/L22,5%),0%)),"",IF(L29&lt;=(VLOOKUP($M$1,Validation!$O$2:$W$541,7,0)+IF(AND(BasicInput!$H$28&lt;&gt;"Ins",COUNTIF(BasicInput!$B$22:$B$26,Validation!$A$38)&gt;=1),MIN(SUMIF(BasicInput!$B$22:$B$26,Validation!$A$38,BasicInput!$G$22:$G$26)/L22,5%),0%)),"FOIR Deviation Approval required",IF(L29&lt;=(VLOOKUP($M$1,Validation!$O$2:$W$541,8,0)+IF(AND(BasicInput!$H$28&lt;&gt;"Ins",COUNTIF(BasicInput!$B$22:$B$26,Validation!$A$38)&gt;=1),MIN(SUMIF(BasicInput!$B$22:$B$26,Validation!$A$38,BasicInput!$G$22:$G$26)/L22,5%),0%)),"FOIR Deviation Approval required",IF(L29&lt;=(VLOOKUP($M$1,Validation!$O$2:$W$541,9,0)+IF(AND(BasicInput!$H$28&lt;&gt;"Ins",COUNTIF(BasicInput!$B$22:$B$26,Validation!$A$38)&gt;=1),MIN(SUMIF(BasicInput!$B$22:$B$26,Validation!$A$38,BasicInput!$G$22:$G$26)/L22,5%),0%)),"FOIR Deviation Approval required","FOIR Deviation Approval required")))),"")</f>
        <v/>
      </c>
    </row>
    <row r="30" spans="1:13">
      <c r="A30" s="524" t="s">
        <v>698</v>
      </c>
      <c r="B30" s="530"/>
      <c r="C30" s="530"/>
      <c r="D30" s="530"/>
      <c r="E30" s="530"/>
      <c r="F30" s="530"/>
      <c r="G30" s="530"/>
      <c r="H30" s="530"/>
      <c r="I30" s="530"/>
      <c r="J30" s="530"/>
      <c r="K30" s="525"/>
      <c r="L30" s="16">
        <f>IFERROR(SUMIF(BasicInput!$B$22:$B$26,Validation!$A$38,BasicInput!$G$22:$G$26)/L22,0)</f>
        <v>0</v>
      </c>
      <c r="M30" s="17" t="str">
        <f>IF(L30&lt;=5%,"","NCC Level FOIR Deviation for Insurance")</f>
        <v/>
      </c>
    </row>
    <row r="31" spans="1:13">
      <c r="A31" s="524" t="s">
        <v>699</v>
      </c>
      <c r="B31" s="530"/>
      <c r="C31" s="530"/>
      <c r="D31" s="530"/>
      <c r="E31" s="530"/>
      <c r="F31" s="530"/>
      <c r="G31" s="530"/>
      <c r="H31" s="530"/>
      <c r="I31" s="530"/>
      <c r="J31" s="530"/>
      <c r="K31" s="525"/>
      <c r="L31" s="13">
        <f>MAX(IFERROR(((VLOOKUP($M$1,Validation!$O$2:$W$541,6,0)+IF(AND(BasicInput!$H$28&lt;&gt;"Ins",COUNTIF(BasicInput!$B$22:$B$26,Validation!$A$38)&gt;=1),MIN(SUMIF(BasicInput!$B$22:$B$26,Validation!$A$38,BasicInput!$G$22:$G$26)/L22,5%),0%))*L22-L24)/BasicInput!$F$28,0),0)</f>
        <v>0</v>
      </c>
      <c r="M31" s="15"/>
    </row>
    <row r="32" spans="1:13">
      <c r="A32" s="524" t="s">
        <v>700</v>
      </c>
      <c r="B32" s="530"/>
      <c r="C32" s="530"/>
      <c r="D32" s="530"/>
      <c r="E32" s="530"/>
      <c r="F32" s="530"/>
      <c r="G32" s="530"/>
      <c r="H32" s="530"/>
      <c r="I32" s="530"/>
      <c r="J32" s="530"/>
      <c r="K32" s="525"/>
      <c r="L32" s="16">
        <f>IFERROR((BasicInput!$D$28+$H$45)/$N$45,0)</f>
        <v>0</v>
      </c>
      <c r="M32" s="15" t="str">
        <f>IF(L32&lt;=$M$2,"",IF(AND($M$2=0%,L32&gt;$M$2),"LTV Deviation Approval required",IF(OR(BasicInput!$H$28="HL",BasicInput!$H$28="HLIns",BasicInput!$H$28="HLGPL",BasicInput!$H$28="HLGPLIns"),"No LTV Deviation allowed",IF(L32&lt;=(VLOOKUP($M$1,Validation!$O$2:$AA$541,11,0)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$541,12,0)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$541,13,0)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4" t="s">
        <v>701</v>
      </c>
      <c r="B33" s="530"/>
      <c r="C33" s="530"/>
      <c r="D33" s="530"/>
      <c r="E33" s="530"/>
      <c r="F33" s="530"/>
      <c r="G33" s="530"/>
      <c r="H33" s="530"/>
      <c r="I33" s="530"/>
      <c r="J33" s="530"/>
      <c r="K33" s="525"/>
      <c r="L33" s="16">
        <f>IFERROR((BasicInput!$D$27+$H$45)/$N$45,0)</f>
        <v>0</v>
      </c>
      <c r="M33" s="15" t="str">
        <f>IF(L33&lt;=$M$2,"",IF(AND($M$2=0%,L33&gt;$M$2),"LTV Deviation Approval required",IF(OR(BasicInput!$H$28="HL",BasicInput!$H$28="HLIns",BasicInput!$H$28="HLGPL",BasicInput!$H$28="HLGPLIns"),"No LTV Deviation allowed",IF(L33&lt;=(VLOOKUP($M$1,Validation!$O$2:$AA$541,11,0)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$541,12,0)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$541,13,0)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4" t="s">
        <v>702</v>
      </c>
      <c r="B34" s="530"/>
      <c r="C34" s="530"/>
      <c r="D34" s="530"/>
      <c r="E34" s="530"/>
      <c r="F34" s="530"/>
      <c r="G34" s="530"/>
      <c r="H34" s="530"/>
      <c r="I34" s="530"/>
      <c r="J34" s="530"/>
      <c r="K34" s="525"/>
      <c r="L34" s="16">
        <f>IFERROR(SUMIF(BasicInput!$B$22:$B$26,Validation!$A$38,BasicInput!$D$22:$D$26)/$N$45,0)</f>
        <v>0</v>
      </c>
      <c r="M34" s="17" t="str">
        <f>IF(L34&lt;=5%,"","NCC Level FOIR Deviation for Insurance")</f>
        <v/>
      </c>
    </row>
    <row r="35" spans="1:17">
      <c r="A35" s="524" t="s">
        <v>703</v>
      </c>
      <c r="B35" s="530"/>
      <c r="C35" s="530"/>
      <c r="D35" s="530"/>
      <c r="E35" s="530"/>
      <c r="F35" s="530"/>
      <c r="G35" s="530"/>
      <c r="H35" s="530"/>
      <c r="I35" s="530"/>
      <c r="J35" s="530"/>
      <c r="K35" s="525"/>
      <c r="L35" s="13">
        <f>MAX($P$45,0)</f>
        <v>0</v>
      </c>
      <c r="M35" s="15"/>
    </row>
    <row r="36" spans="1:17">
      <c r="A36" s="528" t="s">
        <v>704</v>
      </c>
      <c r="B36" s="565"/>
      <c r="C36" s="565"/>
      <c r="D36" s="565"/>
      <c r="E36" s="565"/>
      <c r="F36" s="565"/>
      <c r="G36" s="565"/>
      <c r="H36" s="565"/>
      <c r="I36" s="565"/>
      <c r="J36" s="565"/>
      <c r="K36" s="529"/>
      <c r="L36" s="18">
        <f>MIN(L23,L31,L35)</f>
        <v>0</v>
      </c>
      <c r="M36" s="15" t="str">
        <f>IF(L36=0,"",IFERROR(IF(OR(L36&lt;VLOOKUP($M$1,Validation!$O$2:$Q$541,2,0),L36&gt;VLOOKUP($M$1,Validation!$O$2:$Q$541,3,0)),"NCC Level Deviation for Lower / Upper Cap Breach of Loan Amount",""),""))</f>
        <v/>
      </c>
    </row>
    <row r="37" spans="1:17" ht="38.25">
      <c r="L37" s="1" t="str">
        <f>IF((L29+L33-M37)&gt;15%,"NCC Approval for LTV+FOIR Deviation",IF((L29+L33-M37)&gt;5%,"ZCC Approval for LTV+FOIR Deviation",IF((L29+L33-M37)&gt;2.5%,"RCC Approval for LTV+FOIR Deviation",IF((L29+L33-M37)&gt;0%,"ACC Approval for LTV+FOIR Deviation",""))))</f>
        <v>NCC Approval for LTV+FOIR Deviation</v>
      </c>
      <c r="M37" s="19">
        <f>MAX(IFERROR(((VLOOKUP($M$1,Validation!$O$2:$W$541,6,0)+IF(AND(BasicInput!$H$28&lt;&gt;"Ins",COUNTIF(BasicInput!$B$22:$B$26,Validation!$A$38)&gt;=1),MIN(SUMIF(BasicInput!$B$22:$B$26,Validation!$A$38,BasicInput!$G$22:$G$26)/L22,5%),0%))),0),0)+IFERROR(P45/N45,0)</f>
        <v>0</v>
      </c>
    </row>
    <row r="38" spans="1:17"/>
    <row r="39" spans="1:17" ht="76.5">
      <c r="B39" s="10" t="s">
        <v>42</v>
      </c>
      <c r="C39" s="10" t="s">
        <v>43</v>
      </c>
      <c r="D39" s="10" t="s">
        <v>44</v>
      </c>
      <c r="E39" s="10" t="s">
        <v>45</v>
      </c>
      <c r="F39" s="10" t="s">
        <v>46</v>
      </c>
      <c r="G39" s="10" t="s">
        <v>47</v>
      </c>
      <c r="H39" s="10" t="s">
        <v>48</v>
      </c>
      <c r="I39" s="10" t="s">
        <v>49</v>
      </c>
      <c r="J39" s="10" t="s">
        <v>50</v>
      </c>
      <c r="K39" s="10" t="s">
        <v>51</v>
      </c>
      <c r="L39" s="10" t="s">
        <v>52</v>
      </c>
      <c r="M39" s="10" t="s">
        <v>53</v>
      </c>
      <c r="N39" s="10" t="s">
        <v>54</v>
      </c>
      <c r="O39" s="10" t="s">
        <v>705</v>
      </c>
      <c r="P39" s="10" t="s">
        <v>706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M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M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M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M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M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M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M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M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M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M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4" t="s">
        <v>39</v>
      </c>
      <c r="C45" s="530"/>
      <c r="D45" s="530"/>
      <c r="E45" s="530"/>
      <c r="F45" s="530"/>
      <c r="G45" s="530"/>
      <c r="H45" s="13">
        <f>SUM(H40:H44)</f>
        <v>0</v>
      </c>
      <c r="I45" s="524"/>
      <c r="J45" s="530"/>
      <c r="K45" s="530"/>
      <c r="L45" s="530"/>
      <c r="M45" s="525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GQs1n4Zz43VZaG5nkJRmucpl0WIQATBNiXr06fs6T3I5rBOz0fs9S7ixpcBHyfgKx3XuPzrLgE+bWS+ZqH5LvA==" saltValue="NLeBCe+vXMWzh0Q7O4gWEA==" spinCount="100000" sheet="1" formatCells="0" formatColumns="0" formatRows="0" insertColumns="0" insertRows="0" autoFilter="0"/>
  <mergeCells count="26">
    <mergeCell ref="A33:K33"/>
    <mergeCell ref="A34:K34"/>
    <mergeCell ref="A35:K35"/>
    <mergeCell ref="A36:K36"/>
    <mergeCell ref="B45:G45"/>
    <mergeCell ref="I45:M45"/>
    <mergeCell ref="A28:K28"/>
    <mergeCell ref="A29:K29"/>
    <mergeCell ref="A30:K30"/>
    <mergeCell ref="A31:K31"/>
    <mergeCell ref="A32:K32"/>
    <mergeCell ref="A23:K23"/>
    <mergeCell ref="A24:K24"/>
    <mergeCell ref="A25:K25"/>
    <mergeCell ref="A26:K26"/>
    <mergeCell ref="A27:K27"/>
    <mergeCell ref="A18:K18"/>
    <mergeCell ref="A19:K19"/>
    <mergeCell ref="A20:K20"/>
    <mergeCell ref="A21:K21"/>
    <mergeCell ref="A22:K22"/>
    <mergeCell ref="A1:L1"/>
    <mergeCell ref="A14:K14"/>
    <mergeCell ref="A15:K15"/>
    <mergeCell ref="A16:K16"/>
    <mergeCell ref="A17:K17"/>
  </mergeCells>
  <conditionalFormatting sqref="M19">
    <cfRule type="cellIs" dxfId="2" priority="5" operator="equal">
      <formula>"Other Income capped at 100% of Basic Income"</formula>
    </cfRule>
  </conditionalFormatting>
  <conditionalFormatting sqref="L37">
    <cfRule type="cellIs" dxfId="1" priority="1" operator="notEqual">
      <formula>""""""</formula>
    </cfRule>
  </conditionalFormatting>
  <conditionalFormatting sqref="M3:M36">
    <cfRule type="cellIs" dxfId="0" priority="2" operator="notEqual">
      <formula>""""""</formula>
    </cfRule>
  </conditionalFormatting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1"/>
  <sheetViews>
    <sheetView workbookViewId="0">
      <pane ySplit="1" topLeftCell="A2" activePane="bottomLeft" state="frozen"/>
      <selection pane="bottomLeft"/>
    </sheetView>
  </sheetViews>
  <sheetFormatPr defaultColWidth="0" defaultRowHeight="12.75"/>
  <cols>
    <col min="1" max="1" width="19.7109375" style="1" customWidth="1"/>
    <col min="2" max="2" width="3.7109375" style="1" customWidth="1"/>
    <col min="3" max="3" width="40.42578125" style="1" customWidth="1"/>
    <col min="4" max="4" width="9.140625" style="1" customWidth="1"/>
    <col min="5" max="5" width="3.7109375" style="1" customWidth="1"/>
    <col min="6" max="6" width="40.42578125" style="1" customWidth="1"/>
    <col min="7" max="7" width="9.140625" style="1" customWidth="1"/>
    <col min="8" max="8" width="3.7109375" style="1" customWidth="1"/>
    <col min="9" max="9" width="40.42578125" style="1" customWidth="1"/>
    <col min="10" max="11" width="9.140625" style="1" customWidth="1"/>
    <col min="12" max="12" width="21.42578125" style="1" customWidth="1"/>
    <col min="13" max="13" width="15.85546875" style="1" customWidth="1"/>
    <col min="14" max="14" width="16.7109375" style="1" customWidth="1"/>
    <col min="15" max="15" width="32.28515625" style="1" customWidth="1"/>
    <col min="16" max="17" width="13.28515625" style="1" customWidth="1"/>
    <col min="18" max="19" width="15.42578125" style="1" customWidth="1"/>
    <col min="20" max="20" width="13" style="1" customWidth="1"/>
    <col min="21" max="21" width="13.5703125" style="1" customWidth="1"/>
    <col min="22" max="22" width="13.42578125" style="1" customWidth="1"/>
    <col min="23" max="23" width="13.140625" style="1" customWidth="1"/>
    <col min="24" max="24" width="13.42578125" style="1" customWidth="1"/>
    <col min="25" max="25" width="13.140625" style="1" customWidth="1"/>
    <col min="26" max="26" width="12.7109375" style="1" customWidth="1"/>
    <col min="27" max="27" width="13.28515625" style="1" customWidth="1"/>
    <col min="28" max="16384" width="9.140625" style="1" hidden="1"/>
  </cols>
  <sheetData>
    <row r="1" spans="1:27" ht="63.75">
      <c r="A1" s="2" t="s">
        <v>1750</v>
      </c>
      <c r="C1" s="2" t="s">
        <v>1751</v>
      </c>
      <c r="D1" s="2" t="s">
        <v>1752</v>
      </c>
      <c r="F1" s="2" t="s">
        <v>1753</v>
      </c>
      <c r="G1" s="2" t="s">
        <v>1752</v>
      </c>
      <c r="I1" s="2" t="s">
        <v>829</v>
      </c>
      <c r="J1" s="2" t="s">
        <v>1752</v>
      </c>
      <c r="L1" s="5" t="s">
        <v>1754</v>
      </c>
      <c r="M1" s="5" t="s">
        <v>1755</v>
      </c>
      <c r="N1" s="5" t="s">
        <v>1756</v>
      </c>
      <c r="O1" s="5" t="s">
        <v>1757</v>
      </c>
      <c r="P1" s="5" t="s">
        <v>1758</v>
      </c>
      <c r="Q1" s="5" t="s">
        <v>1759</v>
      </c>
      <c r="R1" s="5" t="s">
        <v>1760</v>
      </c>
      <c r="S1" s="5" t="s">
        <v>1761</v>
      </c>
      <c r="T1" s="5" t="s">
        <v>1762</v>
      </c>
      <c r="U1" s="5" t="s">
        <v>1763</v>
      </c>
      <c r="V1" s="5" t="s">
        <v>1764</v>
      </c>
      <c r="W1" s="5" t="s">
        <v>1765</v>
      </c>
      <c r="X1" s="5" t="s">
        <v>1766</v>
      </c>
      <c r="Y1" s="5" t="s">
        <v>1767</v>
      </c>
      <c r="Z1" s="5" t="s">
        <v>1768</v>
      </c>
      <c r="AA1" s="5" t="s">
        <v>1769</v>
      </c>
    </row>
    <row r="2" spans="1:27" ht="25.5">
      <c r="A2" s="3" t="s">
        <v>1751</v>
      </c>
      <c r="C2" s="3" t="s">
        <v>1770</v>
      </c>
      <c r="D2" s="4">
        <v>6.64</v>
      </c>
      <c r="F2" s="3" t="s">
        <v>1770</v>
      </c>
      <c r="G2" s="4">
        <v>3.95</v>
      </c>
      <c r="I2" s="3" t="s">
        <v>1771</v>
      </c>
      <c r="J2" s="4">
        <v>10.73</v>
      </c>
      <c r="L2" s="1" t="s">
        <v>1772</v>
      </c>
      <c r="M2" s="1" t="s">
        <v>1773</v>
      </c>
      <c r="N2" s="1" t="s">
        <v>1774</v>
      </c>
      <c r="O2" s="1" t="str">
        <f>CONCATENATE(L2,"_",M2,"_",N2)</f>
        <v>Cash Profit Method_HL_Self-occupation</v>
      </c>
      <c r="P2" s="6">
        <v>1</v>
      </c>
      <c r="Q2" s="6">
        <v>250000000</v>
      </c>
      <c r="R2" s="6">
        <v>240</v>
      </c>
      <c r="S2" s="6">
        <v>240</v>
      </c>
      <c r="T2" s="9">
        <v>0.8</v>
      </c>
      <c r="U2" s="9">
        <v>0.82499999999999996</v>
      </c>
      <c r="V2" s="9">
        <v>1</v>
      </c>
      <c r="W2" s="9">
        <v>1.25</v>
      </c>
      <c r="X2" s="9">
        <v>0.9</v>
      </c>
      <c r="Y2" s="9">
        <v>0.9</v>
      </c>
      <c r="Z2" s="9">
        <v>0.9</v>
      </c>
      <c r="AA2" s="9">
        <v>0.9</v>
      </c>
    </row>
    <row r="3" spans="1:27" ht="25.5">
      <c r="A3" s="3" t="s">
        <v>1753</v>
      </c>
      <c r="C3" s="3" t="s">
        <v>1775</v>
      </c>
      <c r="D3" s="4">
        <v>5.8</v>
      </c>
      <c r="F3" s="3" t="s">
        <v>1775</v>
      </c>
      <c r="G3" s="4">
        <v>3.95</v>
      </c>
      <c r="I3" s="3" t="s">
        <v>1776</v>
      </c>
      <c r="J3" s="4">
        <v>12.9</v>
      </c>
      <c r="L3" s="1" t="s">
        <v>1772</v>
      </c>
      <c r="M3" s="1" t="s">
        <v>1777</v>
      </c>
      <c r="N3" s="1" t="s">
        <v>1774</v>
      </c>
      <c r="O3" s="1" t="str">
        <f t="shared" ref="O3:O66" si="0">CONCATENATE(L3,"_",M3,"_",N3)</f>
        <v>Cash Profit Method_HLGPLIns_Self-occupation</v>
      </c>
      <c r="P3" s="6">
        <v>1</v>
      </c>
      <c r="Q3" s="6">
        <v>250000000</v>
      </c>
      <c r="R3" s="6">
        <v>240</v>
      </c>
      <c r="S3" s="6">
        <v>240</v>
      </c>
      <c r="T3" s="9">
        <v>0.8</v>
      </c>
      <c r="U3" s="9">
        <v>0.82499999999999996</v>
      </c>
      <c r="V3" s="9">
        <v>1</v>
      </c>
      <c r="W3" s="9">
        <v>1.25</v>
      </c>
      <c r="X3" s="9">
        <v>0.9</v>
      </c>
      <c r="Y3" s="9">
        <v>0.9</v>
      </c>
      <c r="Z3" s="9">
        <v>0.9</v>
      </c>
      <c r="AA3" s="9">
        <v>0.9</v>
      </c>
    </row>
    <row r="4" spans="1:27" ht="25.5">
      <c r="A4" s="3" t="s">
        <v>829</v>
      </c>
      <c r="C4" s="3" t="s">
        <v>1778</v>
      </c>
      <c r="D4" s="4">
        <v>3.57</v>
      </c>
      <c r="F4" s="3" t="s">
        <v>1778</v>
      </c>
      <c r="G4" s="4">
        <v>3.57</v>
      </c>
      <c r="I4" s="3" t="s">
        <v>1779</v>
      </c>
      <c r="J4" s="4">
        <v>9.65</v>
      </c>
      <c r="L4" s="1" t="s">
        <v>1772</v>
      </c>
      <c r="M4" s="1" t="s">
        <v>1780</v>
      </c>
      <c r="N4" s="1" t="s">
        <v>1774</v>
      </c>
      <c r="O4" s="1" t="str">
        <f t="shared" si="0"/>
        <v>Cash Profit Method_HLGPL_Self-occupation</v>
      </c>
      <c r="P4" s="6">
        <v>1</v>
      </c>
      <c r="Q4" s="6">
        <v>250000000</v>
      </c>
      <c r="R4" s="6">
        <v>240</v>
      </c>
      <c r="S4" s="6">
        <v>240</v>
      </c>
      <c r="T4" s="9">
        <v>0.8</v>
      </c>
      <c r="U4" s="9">
        <v>0.82499999999999996</v>
      </c>
      <c r="V4" s="9">
        <v>1</v>
      </c>
      <c r="W4" s="9">
        <v>1.25</v>
      </c>
      <c r="X4" s="9">
        <v>0.9</v>
      </c>
      <c r="Y4" s="9">
        <v>0.9</v>
      </c>
      <c r="Z4" s="9">
        <v>0.9</v>
      </c>
      <c r="AA4" s="9">
        <v>0.9</v>
      </c>
    </row>
    <row r="5" spans="1:27" ht="25.5">
      <c r="C5" s="3" t="s">
        <v>1781</v>
      </c>
      <c r="D5" s="4">
        <v>9.69</v>
      </c>
      <c r="F5" s="3" t="s">
        <v>1781</v>
      </c>
      <c r="G5" s="4">
        <v>3.95</v>
      </c>
      <c r="I5" s="3" t="s">
        <v>1782</v>
      </c>
      <c r="J5" s="4">
        <v>6.94</v>
      </c>
      <c r="L5" s="1" t="s">
        <v>1772</v>
      </c>
      <c r="M5" s="1" t="s">
        <v>1783</v>
      </c>
      <c r="N5" s="1" t="s">
        <v>1774</v>
      </c>
      <c r="O5" s="1" t="str">
        <f t="shared" si="0"/>
        <v>Cash Profit Method_HLIns_Self-occupation</v>
      </c>
      <c r="P5" s="6">
        <v>1</v>
      </c>
      <c r="Q5" s="6">
        <v>250000000</v>
      </c>
      <c r="R5" s="6">
        <v>240</v>
      </c>
      <c r="S5" s="6">
        <v>240</v>
      </c>
      <c r="T5" s="9">
        <v>0.8</v>
      </c>
      <c r="U5" s="9">
        <v>0.82499999999999996</v>
      </c>
      <c r="V5" s="9">
        <v>1</v>
      </c>
      <c r="W5" s="9">
        <v>1.25</v>
      </c>
      <c r="X5" s="9">
        <v>0.9</v>
      </c>
      <c r="Y5" s="9">
        <v>0.9</v>
      </c>
      <c r="Z5" s="9">
        <v>0.9</v>
      </c>
      <c r="AA5" s="9">
        <v>0.9</v>
      </c>
    </row>
    <row r="6" spans="1:27">
      <c r="A6" s="2" t="s">
        <v>1784</v>
      </c>
      <c r="C6" s="3" t="s">
        <v>1785</v>
      </c>
      <c r="D6" s="4">
        <v>6.64</v>
      </c>
      <c r="F6" s="3" t="s">
        <v>1785</v>
      </c>
      <c r="G6" s="4">
        <v>3.95</v>
      </c>
      <c r="I6" s="3" t="s">
        <v>1786</v>
      </c>
      <c r="J6" s="4">
        <v>10.18</v>
      </c>
      <c r="L6" s="1" t="s">
        <v>1772</v>
      </c>
      <c r="M6" s="1" t="s">
        <v>1773</v>
      </c>
      <c r="N6" s="1" t="s">
        <v>1787</v>
      </c>
      <c r="O6" s="1" t="str">
        <f t="shared" si="0"/>
        <v>Cash Profit Method_HL_Rent out</v>
      </c>
      <c r="P6" s="6">
        <v>1</v>
      </c>
      <c r="Q6" s="6">
        <v>250000000</v>
      </c>
      <c r="R6" s="6">
        <v>240</v>
      </c>
      <c r="S6" s="6">
        <v>240</v>
      </c>
      <c r="T6" s="9">
        <v>0.8</v>
      </c>
      <c r="U6" s="9">
        <v>0.82499999999999996</v>
      </c>
      <c r="V6" s="9">
        <v>1</v>
      </c>
      <c r="W6" s="9">
        <v>1.25</v>
      </c>
      <c r="X6" s="9">
        <v>0.9</v>
      </c>
      <c r="Y6" s="9">
        <v>0.9</v>
      </c>
      <c r="Z6" s="9">
        <v>0.9</v>
      </c>
      <c r="AA6" s="9">
        <v>0.9</v>
      </c>
    </row>
    <row r="7" spans="1:27">
      <c r="A7" s="3" t="s">
        <v>17</v>
      </c>
      <c r="C7" s="3" t="s">
        <v>1788</v>
      </c>
      <c r="D7" s="4">
        <v>9.42</v>
      </c>
      <c r="F7" s="3" t="s">
        <v>1788</v>
      </c>
      <c r="G7" s="4">
        <v>3.95</v>
      </c>
      <c r="I7" s="3" t="s">
        <v>1789</v>
      </c>
      <c r="J7" s="4">
        <v>13.01</v>
      </c>
      <c r="L7" s="1" t="s">
        <v>1772</v>
      </c>
      <c r="M7" s="1" t="s">
        <v>1777</v>
      </c>
      <c r="N7" s="1" t="s">
        <v>1787</v>
      </c>
      <c r="O7" s="1" t="str">
        <f t="shared" si="0"/>
        <v>Cash Profit Method_HLGPLIns_Rent out</v>
      </c>
      <c r="P7" s="6">
        <v>1</v>
      </c>
      <c r="Q7" s="6">
        <v>250000000</v>
      </c>
      <c r="R7" s="6">
        <v>240</v>
      </c>
      <c r="S7" s="6">
        <v>240</v>
      </c>
      <c r="T7" s="9">
        <v>0.8</v>
      </c>
      <c r="U7" s="9">
        <v>0.82499999999999996</v>
      </c>
      <c r="V7" s="9">
        <v>1</v>
      </c>
      <c r="W7" s="9">
        <v>1.25</v>
      </c>
      <c r="X7" s="9">
        <v>0.9</v>
      </c>
      <c r="Y7" s="9">
        <v>0.9</v>
      </c>
      <c r="Z7" s="9">
        <v>0.9</v>
      </c>
      <c r="AA7" s="9">
        <v>0.9</v>
      </c>
    </row>
    <row r="8" spans="1:27">
      <c r="A8" s="3" t="s">
        <v>1790</v>
      </c>
      <c r="C8" s="3" t="s">
        <v>1791</v>
      </c>
      <c r="D8" s="4">
        <v>15.98</v>
      </c>
      <c r="F8" s="3" t="s">
        <v>1791</v>
      </c>
      <c r="G8" s="4">
        <v>3.95</v>
      </c>
      <c r="I8" s="3" t="s">
        <v>1792</v>
      </c>
      <c r="J8" s="4">
        <v>9.4499999999999993</v>
      </c>
      <c r="L8" s="1" t="s">
        <v>1772</v>
      </c>
      <c r="M8" s="1" t="s">
        <v>1780</v>
      </c>
      <c r="N8" s="1" t="s">
        <v>1787</v>
      </c>
      <c r="O8" s="1" t="str">
        <f t="shared" si="0"/>
        <v>Cash Profit Method_HLGPL_Rent out</v>
      </c>
      <c r="P8" s="6">
        <v>1</v>
      </c>
      <c r="Q8" s="6">
        <v>250000000</v>
      </c>
      <c r="R8" s="6">
        <v>240</v>
      </c>
      <c r="S8" s="6">
        <v>240</v>
      </c>
      <c r="T8" s="9">
        <v>0.8</v>
      </c>
      <c r="U8" s="9">
        <v>0.82499999999999996</v>
      </c>
      <c r="V8" s="9">
        <v>1</v>
      </c>
      <c r="W8" s="9">
        <v>1.25</v>
      </c>
      <c r="X8" s="9">
        <v>0.9</v>
      </c>
      <c r="Y8" s="9">
        <v>0.9</v>
      </c>
      <c r="Z8" s="9">
        <v>0.9</v>
      </c>
      <c r="AA8" s="9">
        <v>0.9</v>
      </c>
    </row>
    <row r="9" spans="1:27" ht="25.5">
      <c r="A9" s="3" t="s">
        <v>1793</v>
      </c>
      <c r="C9" s="3" t="s">
        <v>1794</v>
      </c>
      <c r="D9" s="4">
        <v>6.64</v>
      </c>
      <c r="F9" s="3" t="s">
        <v>1794</v>
      </c>
      <c r="G9" s="4">
        <v>3.95</v>
      </c>
      <c r="I9" s="3" t="s">
        <v>1795</v>
      </c>
      <c r="J9" s="4">
        <v>6.94</v>
      </c>
      <c r="L9" s="1" t="s">
        <v>1772</v>
      </c>
      <c r="M9" s="1" t="s">
        <v>1783</v>
      </c>
      <c r="N9" s="1" t="s">
        <v>1787</v>
      </c>
      <c r="O9" s="1" t="str">
        <f t="shared" si="0"/>
        <v>Cash Profit Method_HLIns_Rent out</v>
      </c>
      <c r="P9" s="6">
        <v>1</v>
      </c>
      <c r="Q9" s="6">
        <v>250000000</v>
      </c>
      <c r="R9" s="6">
        <v>240</v>
      </c>
      <c r="S9" s="6">
        <v>240</v>
      </c>
      <c r="T9" s="9">
        <v>0.8</v>
      </c>
      <c r="U9" s="9">
        <v>0.82499999999999996</v>
      </c>
      <c r="V9" s="9">
        <v>1</v>
      </c>
      <c r="W9" s="9">
        <v>1.25</v>
      </c>
      <c r="X9" s="9">
        <v>0.9</v>
      </c>
      <c r="Y9" s="9">
        <v>0.9</v>
      </c>
      <c r="Z9" s="9">
        <v>0.9</v>
      </c>
      <c r="AA9" s="9">
        <v>0.9</v>
      </c>
    </row>
    <row r="10" spans="1:27" ht="25.5">
      <c r="A10" s="3" t="s">
        <v>1796</v>
      </c>
      <c r="C10" s="3" t="s">
        <v>1797</v>
      </c>
      <c r="D10" s="4">
        <v>8.61</v>
      </c>
      <c r="F10" s="3" t="s">
        <v>1797</v>
      </c>
      <c r="G10" s="4">
        <v>3.95</v>
      </c>
      <c r="I10" s="3" t="s">
        <v>1798</v>
      </c>
      <c r="J10" s="4">
        <v>18.14</v>
      </c>
      <c r="L10" s="1" t="s">
        <v>1772</v>
      </c>
      <c r="M10" s="1" t="s">
        <v>1773</v>
      </c>
      <c r="N10" s="1" t="s">
        <v>1799</v>
      </c>
      <c r="O10" s="1" t="str">
        <f t="shared" si="0"/>
        <v>Cash Profit Method_HL_Vacant / Investment</v>
      </c>
      <c r="P10" s="6">
        <v>1</v>
      </c>
      <c r="Q10" s="6">
        <v>250000000</v>
      </c>
      <c r="R10" s="6">
        <v>240</v>
      </c>
      <c r="S10" s="6">
        <v>240</v>
      </c>
      <c r="T10" s="9">
        <v>0.8</v>
      </c>
      <c r="U10" s="9">
        <v>0.82499999999999996</v>
      </c>
      <c r="V10" s="9">
        <v>1</v>
      </c>
      <c r="W10" s="9">
        <v>1.25</v>
      </c>
      <c r="X10" s="9">
        <v>0.85</v>
      </c>
      <c r="Y10" s="9">
        <v>0.85</v>
      </c>
      <c r="Z10" s="9">
        <v>0.85</v>
      </c>
      <c r="AA10" s="9">
        <v>0.85</v>
      </c>
    </row>
    <row r="11" spans="1:27" ht="25.5">
      <c r="A11" s="3" t="s">
        <v>1800</v>
      </c>
      <c r="C11" s="3" t="s">
        <v>1801</v>
      </c>
      <c r="D11" s="4">
        <v>9.69</v>
      </c>
      <c r="F11" s="3" t="s">
        <v>1801</v>
      </c>
      <c r="G11" s="4">
        <v>3.95</v>
      </c>
      <c r="I11" s="3" t="s">
        <v>1802</v>
      </c>
      <c r="J11" s="4">
        <v>10.38</v>
      </c>
      <c r="L11" s="1" t="s">
        <v>1772</v>
      </c>
      <c r="M11" s="1" t="s">
        <v>1777</v>
      </c>
      <c r="N11" s="1" t="s">
        <v>1799</v>
      </c>
      <c r="O11" s="1" t="str">
        <f t="shared" si="0"/>
        <v>Cash Profit Method_HLGPLIns_Vacant / Investment</v>
      </c>
      <c r="P11" s="6">
        <v>1</v>
      </c>
      <c r="Q11" s="6">
        <v>250000000</v>
      </c>
      <c r="R11" s="6">
        <v>240</v>
      </c>
      <c r="S11" s="6">
        <v>240</v>
      </c>
      <c r="T11" s="9">
        <v>0.8</v>
      </c>
      <c r="U11" s="9">
        <v>0.82499999999999996</v>
      </c>
      <c r="V11" s="9">
        <v>1</v>
      </c>
      <c r="W11" s="9">
        <v>1.25</v>
      </c>
      <c r="X11" s="9">
        <v>0.85</v>
      </c>
      <c r="Y11" s="9">
        <v>0.85</v>
      </c>
      <c r="Z11" s="9">
        <v>0.85</v>
      </c>
      <c r="AA11" s="9">
        <v>0.85</v>
      </c>
    </row>
    <row r="12" spans="1:27" ht="25.5">
      <c r="A12" s="3" t="s">
        <v>1803</v>
      </c>
      <c r="C12" s="3" t="s">
        <v>1804</v>
      </c>
      <c r="D12" s="4">
        <v>12.26</v>
      </c>
      <c r="F12" s="3" t="s">
        <v>1804</v>
      </c>
      <c r="G12" s="4">
        <v>3.95</v>
      </c>
      <c r="I12" s="3" t="s">
        <v>1805</v>
      </c>
      <c r="J12" s="4">
        <v>5.4</v>
      </c>
      <c r="L12" s="1" t="s">
        <v>1772</v>
      </c>
      <c r="M12" s="1" t="s">
        <v>1780</v>
      </c>
      <c r="N12" s="1" t="s">
        <v>1799</v>
      </c>
      <c r="O12" s="1" t="str">
        <f t="shared" si="0"/>
        <v>Cash Profit Method_HLGPL_Vacant / Investment</v>
      </c>
      <c r="P12" s="6">
        <v>1</v>
      </c>
      <c r="Q12" s="6">
        <v>250000000</v>
      </c>
      <c r="R12" s="6">
        <v>240</v>
      </c>
      <c r="S12" s="6">
        <v>240</v>
      </c>
      <c r="T12" s="9">
        <v>0.8</v>
      </c>
      <c r="U12" s="9">
        <v>0.82499999999999996</v>
      </c>
      <c r="V12" s="9">
        <v>1</v>
      </c>
      <c r="W12" s="9">
        <v>1.25</v>
      </c>
      <c r="X12" s="9">
        <v>0.85</v>
      </c>
      <c r="Y12" s="9">
        <v>0.85</v>
      </c>
      <c r="Z12" s="9">
        <v>0.85</v>
      </c>
      <c r="AA12" s="9">
        <v>0.85</v>
      </c>
    </row>
    <row r="13" spans="1:27" ht="25.5">
      <c r="A13" s="3" t="s">
        <v>1806</v>
      </c>
      <c r="C13" s="3" t="s">
        <v>1807</v>
      </c>
      <c r="D13" s="4">
        <v>6.09</v>
      </c>
      <c r="F13" s="3" t="s">
        <v>1807</v>
      </c>
      <c r="G13" s="4">
        <v>3.95</v>
      </c>
      <c r="I13" s="3" t="s">
        <v>1808</v>
      </c>
      <c r="J13" s="4">
        <v>18.5</v>
      </c>
      <c r="L13" s="1" t="s">
        <v>1772</v>
      </c>
      <c r="M13" s="1" t="s">
        <v>1783</v>
      </c>
      <c r="N13" s="1" t="s">
        <v>1799</v>
      </c>
      <c r="O13" s="1" t="str">
        <f t="shared" si="0"/>
        <v>Cash Profit Method_HLIns_Vacant / Investment</v>
      </c>
      <c r="P13" s="6">
        <v>1</v>
      </c>
      <c r="Q13" s="6">
        <v>250000000</v>
      </c>
      <c r="R13" s="6">
        <v>240</v>
      </c>
      <c r="S13" s="6">
        <v>240</v>
      </c>
      <c r="T13" s="9">
        <v>0.8</v>
      </c>
      <c r="U13" s="9">
        <v>0.82499999999999996</v>
      </c>
      <c r="V13" s="9">
        <v>1</v>
      </c>
      <c r="W13" s="9">
        <v>1.25</v>
      </c>
      <c r="X13" s="9">
        <v>0.85</v>
      </c>
      <c r="Y13" s="9">
        <v>0.85</v>
      </c>
      <c r="Z13" s="9">
        <v>0.85</v>
      </c>
      <c r="AA13" s="9">
        <v>0.85</v>
      </c>
    </row>
    <row r="14" spans="1:27" ht="25.5">
      <c r="A14" s="3" t="s">
        <v>1809</v>
      </c>
      <c r="C14" s="3" t="s">
        <v>1810</v>
      </c>
      <c r="D14" s="4">
        <v>6.64</v>
      </c>
      <c r="F14" s="3" t="s">
        <v>1810</v>
      </c>
      <c r="G14" s="4">
        <v>3.95</v>
      </c>
      <c r="I14" s="3" t="s">
        <v>1811</v>
      </c>
      <c r="J14" s="4">
        <v>18.5</v>
      </c>
      <c r="L14" s="1" t="s">
        <v>1772</v>
      </c>
      <c r="M14" s="1" t="s">
        <v>1812</v>
      </c>
      <c r="N14" s="1" t="s">
        <v>1774</v>
      </c>
      <c r="O14" s="1" t="str">
        <f t="shared" si="0"/>
        <v>Cash Profit Method_LAP_Self-occupation</v>
      </c>
      <c r="P14" s="6">
        <v>1</v>
      </c>
      <c r="Q14" s="6">
        <v>250000000</v>
      </c>
      <c r="R14" s="6">
        <v>240</v>
      </c>
      <c r="S14" s="6">
        <v>240</v>
      </c>
      <c r="T14" s="9">
        <v>0.8</v>
      </c>
      <c r="U14" s="9">
        <v>0.82499999999999996</v>
      </c>
      <c r="V14" s="9">
        <v>0.85</v>
      </c>
      <c r="W14" s="9">
        <v>0.9</v>
      </c>
      <c r="X14" s="9">
        <v>0.7</v>
      </c>
      <c r="Y14" s="9">
        <v>0.71</v>
      </c>
      <c r="Z14" s="9">
        <v>0.73</v>
      </c>
      <c r="AA14" s="9">
        <v>0.75</v>
      </c>
    </row>
    <row r="15" spans="1:27" ht="25.5">
      <c r="A15" s="3" t="s">
        <v>1813</v>
      </c>
      <c r="C15" s="3" t="s">
        <v>1814</v>
      </c>
      <c r="D15" s="4">
        <v>7.43</v>
      </c>
      <c r="F15" s="3" t="s">
        <v>1814</v>
      </c>
      <c r="G15" s="4">
        <v>7.43</v>
      </c>
      <c r="I15" s="3" t="s">
        <v>1815</v>
      </c>
      <c r="J15" s="4">
        <v>13.41</v>
      </c>
      <c r="L15" s="1" t="s">
        <v>1772</v>
      </c>
      <c r="M15" s="1" t="s">
        <v>1816</v>
      </c>
      <c r="N15" s="1" t="s">
        <v>1774</v>
      </c>
      <c r="O15" s="1" t="str">
        <f t="shared" si="0"/>
        <v>Cash Profit Method_LAPGPLIns_Self-occupation</v>
      </c>
      <c r="P15" s="6">
        <v>1</v>
      </c>
      <c r="Q15" s="6">
        <v>250000000</v>
      </c>
      <c r="R15" s="6">
        <v>240</v>
      </c>
      <c r="S15" s="6">
        <v>240</v>
      </c>
      <c r="T15" s="9">
        <v>0.8</v>
      </c>
      <c r="U15" s="9">
        <v>0.82499999999999996</v>
      </c>
      <c r="V15" s="9">
        <v>0.85</v>
      </c>
      <c r="W15" s="9">
        <v>0.9</v>
      </c>
      <c r="X15" s="9">
        <v>0.7</v>
      </c>
      <c r="Y15" s="9">
        <v>0.71</v>
      </c>
      <c r="Z15" s="9">
        <v>0.73</v>
      </c>
      <c r="AA15" s="9">
        <v>0.85</v>
      </c>
    </row>
    <row r="16" spans="1:27" ht="25.5">
      <c r="A16" s="3" t="s">
        <v>1817</v>
      </c>
      <c r="C16" s="3" t="s">
        <v>1818</v>
      </c>
      <c r="D16" s="4">
        <v>10.17</v>
      </c>
      <c r="F16" s="3" t="s">
        <v>1819</v>
      </c>
      <c r="G16" s="4">
        <v>5.43</v>
      </c>
      <c r="I16" s="3" t="s">
        <v>1820</v>
      </c>
      <c r="J16" s="4">
        <v>12.91</v>
      </c>
      <c r="L16" s="1" t="s">
        <v>1772</v>
      </c>
      <c r="M16" s="1" t="s">
        <v>1821</v>
      </c>
      <c r="N16" s="1" t="s">
        <v>1774</v>
      </c>
      <c r="O16" s="1" t="str">
        <f t="shared" si="0"/>
        <v>Cash Profit Method_LAPGPL_Self-occupation</v>
      </c>
      <c r="P16" s="6">
        <v>1</v>
      </c>
      <c r="Q16" s="6">
        <v>250000000</v>
      </c>
      <c r="R16" s="6">
        <v>240</v>
      </c>
      <c r="S16" s="6">
        <v>240</v>
      </c>
      <c r="T16" s="9">
        <v>0.8</v>
      </c>
      <c r="U16" s="9">
        <v>0.82499999999999996</v>
      </c>
      <c r="V16" s="9">
        <v>0.85</v>
      </c>
      <c r="W16" s="9">
        <v>0.9</v>
      </c>
      <c r="X16" s="9">
        <v>0.7</v>
      </c>
      <c r="Y16" s="9">
        <v>0.71</v>
      </c>
      <c r="Z16" s="9">
        <v>0.73</v>
      </c>
      <c r="AA16" s="9">
        <v>0.85</v>
      </c>
    </row>
    <row r="17" spans="1:27" ht="25.5">
      <c r="C17" s="3" t="s">
        <v>1822</v>
      </c>
      <c r="D17" s="4">
        <v>10.17</v>
      </c>
      <c r="F17" s="3" t="s">
        <v>1818</v>
      </c>
      <c r="G17" s="4">
        <v>5.43</v>
      </c>
      <c r="I17" s="3" t="s">
        <v>1823</v>
      </c>
      <c r="J17" s="4">
        <v>12.47</v>
      </c>
      <c r="L17" s="1" t="s">
        <v>1772</v>
      </c>
      <c r="M17" s="1" t="s">
        <v>1824</v>
      </c>
      <c r="N17" s="1" t="s">
        <v>1774</v>
      </c>
      <c r="O17" s="1" t="str">
        <f t="shared" si="0"/>
        <v>Cash Profit Method_LAPIns_Self-occupation</v>
      </c>
      <c r="P17" s="6">
        <v>1</v>
      </c>
      <c r="Q17" s="6">
        <v>250000000</v>
      </c>
      <c r="R17" s="6">
        <v>240</v>
      </c>
      <c r="S17" s="6">
        <v>240</v>
      </c>
      <c r="T17" s="9">
        <v>0.8</v>
      </c>
      <c r="U17" s="9">
        <v>0.82499999999999996</v>
      </c>
      <c r="V17" s="9">
        <v>0.85</v>
      </c>
      <c r="W17" s="9">
        <v>0.9</v>
      </c>
      <c r="X17" s="9">
        <v>0.7</v>
      </c>
      <c r="Y17" s="9">
        <v>0.71</v>
      </c>
      <c r="Z17" s="9">
        <v>0.73</v>
      </c>
      <c r="AA17" s="9">
        <v>0.75</v>
      </c>
    </row>
    <row r="18" spans="1:27">
      <c r="A18" s="2" t="s">
        <v>1825</v>
      </c>
      <c r="C18" s="3" t="s">
        <v>1826</v>
      </c>
      <c r="D18" s="4">
        <v>2.7</v>
      </c>
      <c r="F18" s="3" t="s">
        <v>1822</v>
      </c>
      <c r="G18" s="4">
        <v>5.43</v>
      </c>
      <c r="I18" s="3" t="s">
        <v>1827</v>
      </c>
      <c r="J18" s="4">
        <v>12.9</v>
      </c>
      <c r="L18" s="1" t="s">
        <v>1772</v>
      </c>
      <c r="M18" s="1" t="s">
        <v>1812</v>
      </c>
      <c r="N18" s="1" t="s">
        <v>1787</v>
      </c>
      <c r="O18" s="1" t="str">
        <f t="shared" si="0"/>
        <v>Cash Profit Method_LAP_Rent out</v>
      </c>
      <c r="P18" s="6">
        <v>1</v>
      </c>
      <c r="Q18" s="6">
        <v>250000000</v>
      </c>
      <c r="R18" s="6">
        <v>240</v>
      </c>
      <c r="S18" s="6">
        <v>240</v>
      </c>
      <c r="T18" s="9">
        <v>0.8</v>
      </c>
      <c r="U18" s="9">
        <v>0.82499999999999996</v>
      </c>
      <c r="V18" s="9">
        <v>0.85</v>
      </c>
      <c r="W18" s="9">
        <v>0.9</v>
      </c>
      <c r="X18" s="9">
        <v>0.7</v>
      </c>
      <c r="Y18" s="9">
        <v>0.71</v>
      </c>
      <c r="Z18" s="9">
        <v>0.73</v>
      </c>
      <c r="AA18" s="9">
        <v>0.75</v>
      </c>
    </row>
    <row r="19" spans="1:27" ht="25.5">
      <c r="A19" s="3" t="s">
        <v>32</v>
      </c>
      <c r="B19" s="1">
        <v>240</v>
      </c>
      <c r="C19" s="3" t="s">
        <v>1828</v>
      </c>
      <c r="D19" s="4">
        <v>8.5</v>
      </c>
      <c r="F19" s="3" t="s">
        <v>1826</v>
      </c>
      <c r="G19" s="4">
        <v>5.43</v>
      </c>
      <c r="I19" s="3" t="s">
        <v>1829</v>
      </c>
      <c r="J19" s="4">
        <v>9.06</v>
      </c>
      <c r="L19" s="1" t="s">
        <v>1772</v>
      </c>
      <c r="M19" s="1" t="s">
        <v>1816</v>
      </c>
      <c r="N19" s="1" t="s">
        <v>1787</v>
      </c>
      <c r="O19" s="1" t="str">
        <f t="shared" si="0"/>
        <v>Cash Profit Method_LAPGPLIns_Rent out</v>
      </c>
      <c r="P19" s="6">
        <v>1</v>
      </c>
      <c r="Q19" s="6">
        <v>250000000</v>
      </c>
      <c r="R19" s="6">
        <v>240</v>
      </c>
      <c r="S19" s="6">
        <v>240</v>
      </c>
      <c r="T19" s="9">
        <v>0.8</v>
      </c>
      <c r="U19" s="9">
        <v>0.82499999999999996</v>
      </c>
      <c r="V19" s="9">
        <v>0.85</v>
      </c>
      <c r="W19" s="9">
        <v>0.9</v>
      </c>
      <c r="X19" s="9">
        <v>0.7</v>
      </c>
      <c r="Y19" s="9">
        <v>0.71</v>
      </c>
      <c r="Z19" s="9">
        <v>0.73</v>
      </c>
      <c r="AA19" s="9">
        <v>0.85</v>
      </c>
    </row>
    <row r="20" spans="1:27">
      <c r="A20" s="3" t="s">
        <v>1830</v>
      </c>
      <c r="B20" s="1">
        <v>240</v>
      </c>
      <c r="C20" s="3" t="s">
        <v>1831</v>
      </c>
      <c r="D20" s="4">
        <v>10.99</v>
      </c>
      <c r="F20" s="3" t="s">
        <v>1828</v>
      </c>
      <c r="G20" s="4">
        <v>5.43</v>
      </c>
      <c r="I20" s="3" t="s">
        <v>1832</v>
      </c>
      <c r="J20" s="4">
        <v>11.95</v>
      </c>
      <c r="L20" s="1" t="s">
        <v>1772</v>
      </c>
      <c r="M20" s="1" t="s">
        <v>1821</v>
      </c>
      <c r="N20" s="1" t="s">
        <v>1787</v>
      </c>
      <c r="O20" s="1" t="str">
        <f t="shared" si="0"/>
        <v>Cash Profit Method_LAPGPL_Rent out</v>
      </c>
      <c r="P20" s="6">
        <v>1</v>
      </c>
      <c r="Q20" s="6">
        <v>250000000</v>
      </c>
      <c r="R20" s="6">
        <v>240</v>
      </c>
      <c r="S20" s="6">
        <v>240</v>
      </c>
      <c r="T20" s="9">
        <v>0.8</v>
      </c>
      <c r="U20" s="9">
        <v>0.82499999999999996</v>
      </c>
      <c r="V20" s="9">
        <v>0.85</v>
      </c>
      <c r="W20" s="9">
        <v>0.9</v>
      </c>
      <c r="X20" s="9">
        <v>0.7</v>
      </c>
      <c r="Y20" s="9">
        <v>0.71</v>
      </c>
      <c r="Z20" s="9">
        <v>0.73</v>
      </c>
      <c r="AA20" s="9">
        <v>0.85</v>
      </c>
    </row>
    <row r="21" spans="1:27" ht="25.5">
      <c r="A21" s="3" t="s">
        <v>1833</v>
      </c>
      <c r="B21" s="1">
        <v>120</v>
      </c>
      <c r="C21" s="3" t="s">
        <v>1834</v>
      </c>
      <c r="D21" s="4">
        <v>9.48</v>
      </c>
      <c r="F21" s="3" t="s">
        <v>1835</v>
      </c>
      <c r="G21" s="4">
        <v>5.04</v>
      </c>
      <c r="I21" s="3" t="s">
        <v>1836</v>
      </c>
      <c r="J21" s="4">
        <v>11.95</v>
      </c>
      <c r="L21" s="1" t="s">
        <v>1772</v>
      </c>
      <c r="M21" s="1" t="s">
        <v>1824</v>
      </c>
      <c r="N21" s="1" t="s">
        <v>1787</v>
      </c>
      <c r="O21" s="1" t="str">
        <f t="shared" si="0"/>
        <v>Cash Profit Method_LAPIns_Rent out</v>
      </c>
      <c r="P21" s="6">
        <v>1</v>
      </c>
      <c r="Q21" s="6">
        <v>250000000</v>
      </c>
      <c r="R21" s="6">
        <v>240</v>
      </c>
      <c r="S21" s="6">
        <v>240</v>
      </c>
      <c r="T21" s="9">
        <v>0.8</v>
      </c>
      <c r="U21" s="9">
        <v>0.82499999999999996</v>
      </c>
      <c r="V21" s="9">
        <v>0.85</v>
      </c>
      <c r="W21" s="9">
        <v>0.9</v>
      </c>
      <c r="X21" s="9">
        <v>0.7</v>
      </c>
      <c r="Y21" s="9">
        <v>0.71</v>
      </c>
      <c r="Z21" s="9">
        <v>0.73</v>
      </c>
      <c r="AA21" s="9">
        <v>0.75</v>
      </c>
    </row>
    <row r="22" spans="1:27" ht="25.5">
      <c r="A22" s="3" t="s">
        <v>1837</v>
      </c>
      <c r="B22" s="1">
        <v>240</v>
      </c>
      <c r="C22" s="3" t="s">
        <v>1838</v>
      </c>
      <c r="D22" s="4">
        <v>9.48</v>
      </c>
      <c r="F22" s="3" t="s">
        <v>1831</v>
      </c>
      <c r="G22" s="4">
        <v>5.04</v>
      </c>
      <c r="I22" s="3" t="s">
        <v>1839</v>
      </c>
      <c r="J22" s="4">
        <v>12.45</v>
      </c>
      <c r="L22" s="1" t="s">
        <v>1772</v>
      </c>
      <c r="M22" s="1" t="s">
        <v>1812</v>
      </c>
      <c r="N22" s="1" t="s">
        <v>1799</v>
      </c>
      <c r="O22" s="1" t="str">
        <f t="shared" si="0"/>
        <v>Cash Profit Method_LAP_Vacant / Investment</v>
      </c>
      <c r="P22" s="6">
        <v>1</v>
      </c>
      <c r="Q22" s="6">
        <v>250000000</v>
      </c>
      <c r="R22" s="6">
        <v>240</v>
      </c>
      <c r="S22" s="6">
        <v>240</v>
      </c>
      <c r="T22" s="9">
        <v>0.8</v>
      </c>
      <c r="U22" s="9">
        <v>0.82499999999999996</v>
      </c>
      <c r="V22" s="9">
        <v>0.85</v>
      </c>
      <c r="W22" s="9">
        <v>0.9</v>
      </c>
      <c r="X22" s="9">
        <v>0.65</v>
      </c>
      <c r="Y22" s="9">
        <v>0.66</v>
      </c>
      <c r="Z22" s="9">
        <v>0.68</v>
      </c>
      <c r="AA22" s="9">
        <v>0.7</v>
      </c>
    </row>
    <row r="23" spans="1:27" ht="38.25">
      <c r="A23" s="3" t="s">
        <v>1840</v>
      </c>
      <c r="B23" s="1">
        <v>120</v>
      </c>
      <c r="C23" s="3" t="s">
        <v>1841</v>
      </c>
      <c r="D23" s="4">
        <v>8.11</v>
      </c>
      <c r="F23" s="3" t="s">
        <v>1834</v>
      </c>
      <c r="G23" s="4">
        <v>5.31</v>
      </c>
      <c r="I23" s="3" t="s">
        <v>1842</v>
      </c>
      <c r="J23" s="4">
        <v>15.8</v>
      </c>
      <c r="L23" s="1" t="s">
        <v>1772</v>
      </c>
      <c r="M23" s="1" t="s">
        <v>1816</v>
      </c>
      <c r="N23" s="1" t="s">
        <v>1799</v>
      </c>
      <c r="O23" s="1" t="str">
        <f t="shared" si="0"/>
        <v>Cash Profit Method_LAPGPLIns_Vacant / Investment</v>
      </c>
      <c r="P23" s="6">
        <v>1</v>
      </c>
      <c r="Q23" s="6">
        <v>250000000</v>
      </c>
      <c r="R23" s="6">
        <v>240</v>
      </c>
      <c r="S23" s="6">
        <v>240</v>
      </c>
      <c r="T23" s="9">
        <v>0.8</v>
      </c>
      <c r="U23" s="9">
        <v>0.82499999999999996</v>
      </c>
      <c r="V23" s="9">
        <v>0.85</v>
      </c>
      <c r="W23" s="9">
        <v>0.9</v>
      </c>
      <c r="X23" s="9">
        <v>0.65</v>
      </c>
      <c r="Y23" s="9">
        <v>0.66</v>
      </c>
      <c r="Z23" s="9">
        <v>0.68</v>
      </c>
      <c r="AA23" s="9">
        <v>0.8</v>
      </c>
    </row>
    <row r="24" spans="1:27" ht="38.25">
      <c r="A24" s="3" t="s">
        <v>1843</v>
      </c>
      <c r="B24" s="1">
        <v>240</v>
      </c>
      <c r="C24" s="3" t="s">
        <v>1844</v>
      </c>
      <c r="D24" s="4">
        <v>8.81</v>
      </c>
      <c r="F24" s="3" t="s">
        <v>1845</v>
      </c>
      <c r="G24" s="4">
        <v>5.31</v>
      </c>
      <c r="I24" s="3" t="s">
        <v>1846</v>
      </c>
      <c r="J24" s="4">
        <v>11</v>
      </c>
      <c r="L24" s="1" t="s">
        <v>1772</v>
      </c>
      <c r="M24" s="1" t="s">
        <v>1821</v>
      </c>
      <c r="N24" s="1" t="s">
        <v>1799</v>
      </c>
      <c r="O24" s="1" t="str">
        <f t="shared" si="0"/>
        <v>Cash Profit Method_LAPGPL_Vacant / Investment</v>
      </c>
      <c r="P24" s="6">
        <v>1</v>
      </c>
      <c r="Q24" s="6">
        <v>250000000</v>
      </c>
      <c r="R24" s="6">
        <v>240</v>
      </c>
      <c r="S24" s="6">
        <v>240</v>
      </c>
      <c r="T24" s="9">
        <v>0.8</v>
      </c>
      <c r="U24" s="9">
        <v>0.82499999999999996</v>
      </c>
      <c r="V24" s="9">
        <v>0.85</v>
      </c>
      <c r="W24" s="9">
        <v>0.9</v>
      </c>
      <c r="X24" s="9">
        <v>0.65</v>
      </c>
      <c r="Y24" s="9">
        <v>0.66</v>
      </c>
      <c r="Z24" s="9">
        <v>0.68</v>
      </c>
      <c r="AA24" s="9">
        <v>0.8</v>
      </c>
    </row>
    <row r="25" spans="1:27" ht="25.5">
      <c r="A25" s="3" t="s">
        <v>1847</v>
      </c>
      <c r="B25" s="1">
        <v>240</v>
      </c>
      <c r="C25" s="3" t="s">
        <v>1848</v>
      </c>
      <c r="D25" s="4">
        <v>9.48</v>
      </c>
      <c r="F25" s="3" t="s">
        <v>1838</v>
      </c>
      <c r="G25" s="4">
        <v>5.31</v>
      </c>
      <c r="I25" s="3" t="s">
        <v>830</v>
      </c>
      <c r="J25" s="4">
        <v>6.5</v>
      </c>
      <c r="L25" s="1" t="s">
        <v>1772</v>
      </c>
      <c r="M25" s="1" t="s">
        <v>1824</v>
      </c>
      <c r="N25" s="1" t="s">
        <v>1799</v>
      </c>
      <c r="O25" s="1" t="str">
        <f t="shared" si="0"/>
        <v>Cash Profit Method_LAPIns_Vacant / Investment</v>
      </c>
      <c r="P25" s="6">
        <v>1</v>
      </c>
      <c r="Q25" s="6">
        <v>250000000</v>
      </c>
      <c r="R25" s="6">
        <v>240</v>
      </c>
      <c r="S25" s="6">
        <v>240</v>
      </c>
      <c r="T25" s="9">
        <v>0.8</v>
      </c>
      <c r="U25" s="9">
        <v>0.82499999999999996</v>
      </c>
      <c r="V25" s="9">
        <v>0.85</v>
      </c>
      <c r="W25" s="9">
        <v>0.9</v>
      </c>
      <c r="X25" s="9">
        <v>0.65</v>
      </c>
      <c r="Y25" s="9">
        <v>0.66</v>
      </c>
      <c r="Z25" s="9">
        <v>0.68</v>
      </c>
      <c r="AA25" s="9">
        <v>0.7</v>
      </c>
    </row>
    <row r="26" spans="1:27" ht="25.5">
      <c r="A26" s="3" t="s">
        <v>1849</v>
      </c>
      <c r="B26" s="1">
        <v>240</v>
      </c>
      <c r="C26" s="3" t="s">
        <v>1850</v>
      </c>
      <c r="D26" s="4">
        <v>7.45</v>
      </c>
      <c r="F26" s="3" t="s">
        <v>1841</v>
      </c>
      <c r="G26" s="4">
        <v>5.31</v>
      </c>
      <c r="I26" s="3" t="s">
        <v>1851</v>
      </c>
      <c r="J26" s="4">
        <v>12.36</v>
      </c>
      <c r="L26" s="1" t="s">
        <v>1772</v>
      </c>
      <c r="M26" s="1" t="s">
        <v>1852</v>
      </c>
      <c r="N26" s="1" t="s">
        <v>1774</v>
      </c>
      <c r="O26" s="1" t="str">
        <f t="shared" si="0"/>
        <v>Cash Profit Method_Indl_Self-occupation</v>
      </c>
      <c r="P26" s="6">
        <v>10000000</v>
      </c>
      <c r="Q26" s="6">
        <v>100000000</v>
      </c>
      <c r="R26" s="6">
        <v>0</v>
      </c>
      <c r="S26" s="6">
        <v>120</v>
      </c>
      <c r="T26" s="9">
        <v>0</v>
      </c>
      <c r="U26" s="9">
        <v>0</v>
      </c>
      <c r="V26" s="9">
        <v>0</v>
      </c>
      <c r="W26" s="9">
        <v>0.8</v>
      </c>
      <c r="X26" s="9">
        <v>0.5</v>
      </c>
      <c r="Y26" s="9">
        <v>0</v>
      </c>
      <c r="Z26" s="9">
        <v>0</v>
      </c>
      <c r="AA26" s="9">
        <v>0.5</v>
      </c>
    </row>
    <row r="27" spans="1:27" ht="25.5">
      <c r="A27" s="3" t="s">
        <v>1853</v>
      </c>
      <c r="B27" s="1">
        <v>240</v>
      </c>
      <c r="C27" s="3" t="s">
        <v>1854</v>
      </c>
      <c r="D27" s="4">
        <v>7.15</v>
      </c>
      <c r="F27" s="3" t="s">
        <v>1844</v>
      </c>
      <c r="G27" s="4">
        <v>5.31</v>
      </c>
      <c r="I27" s="3" t="s">
        <v>1855</v>
      </c>
      <c r="J27" s="7">
        <v>8.0399999999999991</v>
      </c>
      <c r="L27" s="1" t="s">
        <v>1772</v>
      </c>
      <c r="M27" s="1" t="s">
        <v>1856</v>
      </c>
      <c r="N27" s="1" t="s">
        <v>1774</v>
      </c>
      <c r="O27" s="1" t="str">
        <f t="shared" si="0"/>
        <v>Cash Profit Method_IndlGPLIns_Self-occupation</v>
      </c>
      <c r="P27" s="6">
        <v>1</v>
      </c>
      <c r="Q27" s="6">
        <v>100000000</v>
      </c>
      <c r="R27" s="6">
        <v>0</v>
      </c>
      <c r="S27" s="6">
        <v>120</v>
      </c>
      <c r="T27" s="9">
        <v>0</v>
      </c>
      <c r="U27" s="9">
        <v>0</v>
      </c>
      <c r="V27" s="9">
        <v>0</v>
      </c>
      <c r="W27" s="9">
        <v>0.8</v>
      </c>
      <c r="X27" s="9">
        <v>0.55000000000000004</v>
      </c>
      <c r="Y27" s="9">
        <v>0</v>
      </c>
      <c r="Z27" s="9">
        <v>0</v>
      </c>
      <c r="AA27" s="9">
        <v>0.55000000000000004</v>
      </c>
    </row>
    <row r="28" spans="1:27" ht="25.5">
      <c r="A28" s="3" t="s">
        <v>1857</v>
      </c>
      <c r="B28" s="1">
        <v>240</v>
      </c>
      <c r="C28" s="3" t="s">
        <v>1858</v>
      </c>
      <c r="D28" s="4">
        <v>6.29</v>
      </c>
      <c r="F28" s="3" t="s">
        <v>1848</v>
      </c>
      <c r="G28" s="4">
        <v>5.31</v>
      </c>
      <c r="I28" s="3" t="s">
        <v>1859</v>
      </c>
      <c r="J28" s="4">
        <v>8.75</v>
      </c>
      <c r="L28" s="1" t="s">
        <v>1772</v>
      </c>
      <c r="M28" s="1" t="s">
        <v>1860</v>
      </c>
      <c r="N28" s="1" t="s">
        <v>1774</v>
      </c>
      <c r="O28" s="1" t="str">
        <f t="shared" si="0"/>
        <v>Cash Profit Method_IndlGPL_Self-occupation</v>
      </c>
      <c r="P28" s="6">
        <v>1</v>
      </c>
      <c r="Q28" s="6">
        <v>100000000</v>
      </c>
      <c r="R28" s="6">
        <v>0</v>
      </c>
      <c r="S28" s="6">
        <v>120</v>
      </c>
      <c r="T28" s="9">
        <v>0</v>
      </c>
      <c r="U28" s="9">
        <v>0</v>
      </c>
      <c r="V28" s="9">
        <v>0</v>
      </c>
      <c r="W28" s="9">
        <v>0.8</v>
      </c>
      <c r="X28" s="9">
        <v>0.55000000000000004</v>
      </c>
      <c r="Y28" s="9">
        <v>0</v>
      </c>
      <c r="Z28" s="9">
        <v>0</v>
      </c>
      <c r="AA28" s="9">
        <v>0.55000000000000004</v>
      </c>
    </row>
    <row r="29" spans="1:27" ht="25.5">
      <c r="A29" s="3" t="s">
        <v>1861</v>
      </c>
      <c r="B29" s="1">
        <v>120</v>
      </c>
      <c r="C29" s="3" t="s">
        <v>1862</v>
      </c>
      <c r="D29" s="4">
        <v>10.11</v>
      </c>
      <c r="F29" s="3" t="s">
        <v>1850</v>
      </c>
      <c r="G29" s="4">
        <v>5.31</v>
      </c>
      <c r="I29" s="3" t="s">
        <v>1863</v>
      </c>
      <c r="J29" s="4">
        <v>4.66</v>
      </c>
      <c r="L29" s="1" t="s">
        <v>1772</v>
      </c>
      <c r="M29" s="1" t="s">
        <v>1864</v>
      </c>
      <c r="N29" s="1" t="s">
        <v>1774</v>
      </c>
      <c r="O29" s="1" t="str">
        <f t="shared" si="0"/>
        <v>Cash Profit Method_IndlIns_Self-occupation</v>
      </c>
      <c r="P29" s="6">
        <v>10000000</v>
      </c>
      <c r="Q29" s="6">
        <v>100000000</v>
      </c>
      <c r="R29" s="6">
        <v>0</v>
      </c>
      <c r="S29" s="6">
        <v>120</v>
      </c>
      <c r="T29" s="9">
        <v>0</v>
      </c>
      <c r="U29" s="9">
        <v>0</v>
      </c>
      <c r="V29" s="9">
        <v>0</v>
      </c>
      <c r="W29" s="9">
        <v>0.8</v>
      </c>
      <c r="X29" s="9">
        <v>0.5</v>
      </c>
      <c r="Y29" s="9">
        <v>0</v>
      </c>
      <c r="Z29" s="9">
        <v>0</v>
      </c>
      <c r="AA29" s="9">
        <v>0.5</v>
      </c>
    </row>
    <row r="30" spans="1:27" ht="25.5">
      <c r="A30" s="3" t="s">
        <v>1865</v>
      </c>
      <c r="B30" s="1">
        <v>120</v>
      </c>
      <c r="C30" s="3" t="s">
        <v>1866</v>
      </c>
      <c r="D30" s="4">
        <v>7.98</v>
      </c>
      <c r="F30" s="3" t="s">
        <v>1854</v>
      </c>
      <c r="G30" s="4">
        <v>5.31</v>
      </c>
      <c r="I30" s="3" t="s">
        <v>1867</v>
      </c>
      <c r="J30" s="4">
        <v>15.78</v>
      </c>
      <c r="L30" s="1" t="s">
        <v>1772</v>
      </c>
      <c r="M30" s="1" t="s">
        <v>1852</v>
      </c>
      <c r="N30" s="1" t="s">
        <v>1787</v>
      </c>
      <c r="O30" s="1" t="str">
        <f t="shared" si="0"/>
        <v>Cash Profit Method_Indl_Rent out</v>
      </c>
      <c r="P30" s="6">
        <v>10000000</v>
      </c>
      <c r="Q30" s="6">
        <v>100000000</v>
      </c>
      <c r="R30" s="6">
        <v>0</v>
      </c>
      <c r="S30" s="6">
        <v>120</v>
      </c>
      <c r="T30" s="9">
        <v>0</v>
      </c>
      <c r="U30" s="9">
        <v>0</v>
      </c>
      <c r="V30" s="9">
        <v>0</v>
      </c>
      <c r="W30" s="9">
        <v>0.8</v>
      </c>
      <c r="X30" s="9">
        <v>0.5</v>
      </c>
      <c r="Y30" s="9">
        <v>0</v>
      </c>
      <c r="Z30" s="9">
        <v>0</v>
      </c>
      <c r="AA30" s="9">
        <v>0.5</v>
      </c>
    </row>
    <row r="31" spans="1:27" ht="25.5">
      <c r="A31" s="3" t="s">
        <v>1868</v>
      </c>
      <c r="B31" s="1">
        <v>240</v>
      </c>
      <c r="C31" s="3" t="s">
        <v>1869</v>
      </c>
      <c r="D31" s="4">
        <v>9.64</v>
      </c>
      <c r="F31" s="3" t="s">
        <v>1858</v>
      </c>
      <c r="G31" s="4">
        <v>5.31</v>
      </c>
      <c r="I31" s="3" t="s">
        <v>1870</v>
      </c>
      <c r="J31" s="4">
        <v>9.4600000000000009</v>
      </c>
      <c r="L31" s="1" t="s">
        <v>1772</v>
      </c>
      <c r="M31" s="1" t="s">
        <v>1856</v>
      </c>
      <c r="N31" s="1" t="s">
        <v>1787</v>
      </c>
      <c r="O31" s="1" t="str">
        <f t="shared" si="0"/>
        <v>Cash Profit Method_IndlGPLIns_Rent out</v>
      </c>
      <c r="P31" s="6">
        <v>1</v>
      </c>
      <c r="Q31" s="6">
        <v>100000000</v>
      </c>
      <c r="R31" s="6">
        <v>0</v>
      </c>
      <c r="S31" s="6">
        <v>120</v>
      </c>
      <c r="T31" s="9">
        <v>0</v>
      </c>
      <c r="U31" s="9">
        <v>0</v>
      </c>
      <c r="V31" s="9">
        <v>0</v>
      </c>
      <c r="W31" s="9">
        <v>0.8</v>
      </c>
      <c r="X31" s="9">
        <v>0.55000000000000004</v>
      </c>
      <c r="Y31" s="9">
        <v>0</v>
      </c>
      <c r="Z31" s="9">
        <v>0</v>
      </c>
      <c r="AA31" s="9">
        <v>0.55000000000000004</v>
      </c>
    </row>
    <row r="32" spans="1:27">
      <c r="A32" s="3" t="s">
        <v>1871</v>
      </c>
      <c r="B32" s="1">
        <v>240</v>
      </c>
      <c r="C32" s="3" t="s">
        <v>1872</v>
      </c>
      <c r="D32" s="4">
        <v>9.1300000000000008</v>
      </c>
      <c r="F32" s="3" t="s">
        <v>1862</v>
      </c>
      <c r="G32" s="4">
        <v>5.31</v>
      </c>
      <c r="I32" s="3" t="s">
        <v>1873</v>
      </c>
      <c r="J32" s="4">
        <v>4.7699999999999996</v>
      </c>
      <c r="L32" s="1" t="s">
        <v>1772</v>
      </c>
      <c r="M32" s="1" t="s">
        <v>1860</v>
      </c>
      <c r="N32" s="1" t="s">
        <v>1787</v>
      </c>
      <c r="O32" s="1" t="str">
        <f t="shared" si="0"/>
        <v>Cash Profit Method_IndlGPL_Rent out</v>
      </c>
      <c r="P32" s="6">
        <v>1</v>
      </c>
      <c r="Q32" s="6">
        <v>100000000</v>
      </c>
      <c r="R32" s="6">
        <v>0</v>
      </c>
      <c r="S32" s="6">
        <v>120</v>
      </c>
      <c r="T32" s="9">
        <v>0</v>
      </c>
      <c r="U32" s="9">
        <v>0</v>
      </c>
      <c r="V32" s="9">
        <v>0</v>
      </c>
      <c r="W32" s="9">
        <v>0.8</v>
      </c>
      <c r="X32" s="9">
        <v>0.55000000000000004</v>
      </c>
      <c r="Y32" s="9">
        <v>0</v>
      </c>
      <c r="Z32" s="9">
        <v>0</v>
      </c>
      <c r="AA32" s="9">
        <v>0.55000000000000004</v>
      </c>
    </row>
    <row r="33" spans="1:27" ht="25.5">
      <c r="A33" s="3" t="s">
        <v>1874</v>
      </c>
      <c r="B33" s="1">
        <v>240</v>
      </c>
      <c r="C33" s="3" t="s">
        <v>1875</v>
      </c>
      <c r="D33" s="4">
        <v>7.98</v>
      </c>
      <c r="F33" s="3" t="s">
        <v>1866</v>
      </c>
      <c r="G33" s="4">
        <v>7.98</v>
      </c>
      <c r="I33" s="3" t="s">
        <v>1876</v>
      </c>
      <c r="J33" s="4">
        <v>11.22</v>
      </c>
      <c r="L33" s="1" t="s">
        <v>1772</v>
      </c>
      <c r="M33" s="1" t="s">
        <v>1864</v>
      </c>
      <c r="N33" s="1" t="s">
        <v>1787</v>
      </c>
      <c r="O33" s="1" t="str">
        <f t="shared" si="0"/>
        <v>Cash Profit Method_IndlIns_Rent out</v>
      </c>
      <c r="P33" s="6">
        <v>10000000</v>
      </c>
      <c r="Q33" s="6">
        <v>100000000</v>
      </c>
      <c r="R33" s="6">
        <v>0</v>
      </c>
      <c r="S33" s="6">
        <v>120</v>
      </c>
      <c r="T33" s="9">
        <v>0</v>
      </c>
      <c r="U33" s="9">
        <v>0</v>
      </c>
      <c r="V33" s="9">
        <v>0</v>
      </c>
      <c r="W33" s="9">
        <v>0.8</v>
      </c>
      <c r="X33" s="9">
        <v>0.5</v>
      </c>
      <c r="Y33" s="9">
        <v>0</v>
      </c>
      <c r="Z33" s="9">
        <v>0</v>
      </c>
      <c r="AA33" s="9">
        <v>0.5</v>
      </c>
    </row>
    <row r="34" spans="1:27" ht="25.5">
      <c r="A34" s="3" t="s">
        <v>1877</v>
      </c>
      <c r="B34" s="1">
        <v>180</v>
      </c>
      <c r="C34" s="3" t="s">
        <v>1792</v>
      </c>
      <c r="D34" s="4">
        <v>9.4499999999999993</v>
      </c>
      <c r="F34" s="3" t="s">
        <v>1869</v>
      </c>
      <c r="G34" s="4">
        <v>5.04</v>
      </c>
      <c r="I34" s="3" t="s">
        <v>1878</v>
      </c>
      <c r="J34" s="4">
        <v>10.36</v>
      </c>
      <c r="L34" s="1" t="s">
        <v>1772</v>
      </c>
      <c r="M34" s="1" t="s">
        <v>1852</v>
      </c>
      <c r="N34" s="1" t="s">
        <v>1799</v>
      </c>
      <c r="O34" s="1" t="str">
        <f t="shared" si="0"/>
        <v>Cash Profit Method_Indl_Vacant / Investment</v>
      </c>
      <c r="P34" s="6">
        <v>10000000</v>
      </c>
      <c r="Q34" s="6">
        <v>100000000</v>
      </c>
      <c r="R34" s="6">
        <v>0</v>
      </c>
      <c r="S34" s="6">
        <v>120</v>
      </c>
      <c r="T34" s="9">
        <v>0</v>
      </c>
      <c r="U34" s="9">
        <v>0</v>
      </c>
      <c r="V34" s="9">
        <v>0</v>
      </c>
      <c r="W34" s="9">
        <v>0.8</v>
      </c>
      <c r="X34" s="9">
        <v>0.45</v>
      </c>
      <c r="Y34" s="9">
        <v>0</v>
      </c>
      <c r="Z34" s="9">
        <v>0</v>
      </c>
      <c r="AA34" s="9">
        <v>0.45</v>
      </c>
    </row>
    <row r="35" spans="1:27" ht="38.25">
      <c r="A35" s="3" t="s">
        <v>1879</v>
      </c>
      <c r="B35" s="1">
        <v>180</v>
      </c>
      <c r="C35" s="3" t="s">
        <v>1795</v>
      </c>
      <c r="D35" s="4">
        <v>6.94</v>
      </c>
      <c r="F35" s="3" t="s">
        <v>1872</v>
      </c>
      <c r="G35" s="4">
        <v>9.1300000000000008</v>
      </c>
      <c r="I35" s="3" t="s">
        <v>1880</v>
      </c>
      <c r="J35" s="4">
        <v>1.95</v>
      </c>
      <c r="L35" s="1" t="s">
        <v>1772</v>
      </c>
      <c r="M35" s="1" t="s">
        <v>1856</v>
      </c>
      <c r="N35" s="1" t="s">
        <v>1799</v>
      </c>
      <c r="O35" s="1" t="str">
        <f t="shared" si="0"/>
        <v>Cash Profit Method_IndlGPLIns_Vacant / Investment</v>
      </c>
      <c r="P35" s="6">
        <v>0</v>
      </c>
      <c r="Q35" s="6">
        <v>0</v>
      </c>
      <c r="R35" s="6">
        <v>0</v>
      </c>
      <c r="S35" s="6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</row>
    <row r="36" spans="1:27" ht="25.5">
      <c r="A36" s="3" t="s">
        <v>1881</v>
      </c>
      <c r="B36" s="1">
        <v>120</v>
      </c>
      <c r="C36" s="3" t="s">
        <v>1882</v>
      </c>
      <c r="D36" s="4">
        <v>8.58</v>
      </c>
      <c r="F36" s="3" t="s">
        <v>1875</v>
      </c>
      <c r="G36" s="4">
        <v>7.98</v>
      </c>
      <c r="I36" s="3" t="s">
        <v>1883</v>
      </c>
      <c r="J36" s="4">
        <v>15.93</v>
      </c>
      <c r="L36" s="1" t="s">
        <v>1772</v>
      </c>
      <c r="M36" s="1" t="s">
        <v>1860</v>
      </c>
      <c r="N36" s="1" t="s">
        <v>1799</v>
      </c>
      <c r="O36" s="1" t="str">
        <f t="shared" si="0"/>
        <v>Cash Profit Method_IndlGPL_Vacant / Investment</v>
      </c>
      <c r="P36" s="6">
        <v>0</v>
      </c>
      <c r="Q36" s="6">
        <v>0</v>
      </c>
      <c r="R36" s="6">
        <v>0</v>
      </c>
      <c r="S36" s="6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ht="25.5">
      <c r="A37" s="3" t="s">
        <v>1884</v>
      </c>
      <c r="B37" s="1">
        <v>120</v>
      </c>
      <c r="C37" s="3" t="s">
        <v>1885</v>
      </c>
      <c r="D37" s="4">
        <v>7.6</v>
      </c>
      <c r="F37" s="3" t="s">
        <v>1792</v>
      </c>
      <c r="G37" s="4">
        <v>9.4499999999999993</v>
      </c>
      <c r="I37" s="3" t="s">
        <v>1886</v>
      </c>
      <c r="J37" s="4">
        <v>6.5</v>
      </c>
      <c r="L37" s="1" t="s">
        <v>1772</v>
      </c>
      <c r="M37" s="1" t="s">
        <v>1864</v>
      </c>
      <c r="N37" s="1" t="s">
        <v>1799</v>
      </c>
      <c r="O37" s="1" t="str">
        <f t="shared" si="0"/>
        <v>Cash Profit Method_IndlIns_Vacant / Investment</v>
      </c>
      <c r="P37" s="6">
        <v>10000000</v>
      </c>
      <c r="Q37" s="6">
        <v>100000000</v>
      </c>
      <c r="R37" s="6">
        <v>0</v>
      </c>
      <c r="S37" s="6">
        <v>120</v>
      </c>
      <c r="T37" s="9">
        <v>0</v>
      </c>
      <c r="U37" s="9">
        <v>0</v>
      </c>
      <c r="V37" s="9">
        <v>0</v>
      </c>
      <c r="W37" s="9">
        <v>0.8</v>
      </c>
      <c r="X37" s="9">
        <v>0.45</v>
      </c>
      <c r="Y37" s="9">
        <v>0</v>
      </c>
      <c r="Z37" s="9">
        <v>0</v>
      </c>
      <c r="AA37" s="9">
        <v>0.45</v>
      </c>
    </row>
    <row r="38" spans="1:27" ht="25.5">
      <c r="A38" s="3" t="s">
        <v>1887</v>
      </c>
      <c r="B38" s="1">
        <v>240</v>
      </c>
      <c r="C38" s="3" t="s">
        <v>1888</v>
      </c>
      <c r="D38" s="4">
        <v>7.17</v>
      </c>
      <c r="F38" s="3" t="s">
        <v>1795</v>
      </c>
      <c r="G38" s="4">
        <v>6.94</v>
      </c>
      <c r="I38" s="3" t="s">
        <v>1889</v>
      </c>
      <c r="J38" s="4">
        <v>12.7</v>
      </c>
      <c r="L38" s="1" t="s">
        <v>1772</v>
      </c>
      <c r="M38" s="1" t="s">
        <v>1890</v>
      </c>
      <c r="N38" s="1" t="s">
        <v>1774</v>
      </c>
      <c r="O38" s="1" t="str">
        <f t="shared" si="0"/>
        <v>Cash Profit Method_GPL_Self-occupation</v>
      </c>
      <c r="P38" s="6">
        <v>1</v>
      </c>
      <c r="Q38" s="6">
        <v>4000000</v>
      </c>
      <c r="R38" s="6">
        <v>84</v>
      </c>
      <c r="S38" s="6">
        <v>120</v>
      </c>
      <c r="T38" s="9">
        <v>0.8</v>
      </c>
      <c r="U38" s="9">
        <v>0.82499999999999996</v>
      </c>
      <c r="V38" s="9">
        <v>0.85</v>
      </c>
      <c r="W38" s="9">
        <v>0.9</v>
      </c>
      <c r="X38" s="9">
        <v>0.1</v>
      </c>
      <c r="Y38" s="9">
        <v>0.1</v>
      </c>
      <c r="Z38" s="9">
        <v>0.1</v>
      </c>
      <c r="AA38" s="9">
        <v>0.1</v>
      </c>
    </row>
    <row r="39" spans="1:27" ht="38.25">
      <c r="C39" s="3" t="s">
        <v>1891</v>
      </c>
      <c r="D39" s="4">
        <v>6.49</v>
      </c>
      <c r="F39" s="3" t="s">
        <v>1882</v>
      </c>
      <c r="G39" s="4">
        <v>8.58</v>
      </c>
      <c r="I39" s="3" t="s">
        <v>1892</v>
      </c>
      <c r="J39" s="4">
        <v>12.8</v>
      </c>
      <c r="L39" s="1" t="s">
        <v>1772</v>
      </c>
      <c r="M39" s="1" t="s">
        <v>1893</v>
      </c>
      <c r="N39" s="1" t="s">
        <v>1774</v>
      </c>
      <c r="O39" s="1" t="str">
        <f t="shared" si="0"/>
        <v>Cash Profit Method_GPLIns_Self-occupation</v>
      </c>
      <c r="P39" s="6">
        <v>1</v>
      </c>
      <c r="Q39" s="6">
        <v>4000000</v>
      </c>
      <c r="R39" s="6">
        <v>84</v>
      </c>
      <c r="S39" s="6">
        <v>120</v>
      </c>
      <c r="T39" s="9">
        <v>0.8</v>
      </c>
      <c r="U39" s="9">
        <v>0.82499999999999996</v>
      </c>
      <c r="V39" s="9">
        <v>0.85</v>
      </c>
      <c r="W39" s="9">
        <v>0.9</v>
      </c>
      <c r="X39" s="9">
        <v>0.1</v>
      </c>
      <c r="Y39" s="9">
        <v>0.1</v>
      </c>
      <c r="Z39" s="9">
        <v>0.1</v>
      </c>
      <c r="AA39" s="9">
        <v>0.1</v>
      </c>
    </row>
    <row r="40" spans="1:27" ht="25.5">
      <c r="A40" s="2" t="s">
        <v>1894</v>
      </c>
      <c r="C40" s="3" t="s">
        <v>1895</v>
      </c>
      <c r="D40" s="4">
        <v>7.17</v>
      </c>
      <c r="F40" s="3" t="s">
        <v>1885</v>
      </c>
      <c r="G40" s="4">
        <v>5.04</v>
      </c>
      <c r="I40" s="3" t="s">
        <v>1896</v>
      </c>
      <c r="J40" s="4">
        <v>10.88</v>
      </c>
      <c r="L40" s="1" t="s">
        <v>1772</v>
      </c>
      <c r="M40" s="1" t="s">
        <v>1897</v>
      </c>
      <c r="N40" s="1" t="s">
        <v>1774</v>
      </c>
      <c r="O40" s="1" t="str">
        <f t="shared" si="0"/>
        <v>Cash Profit Method_Ins_Self-occupation</v>
      </c>
      <c r="P40" s="6">
        <v>1</v>
      </c>
      <c r="Q40" s="6">
        <v>25000000</v>
      </c>
      <c r="R40" s="6">
        <v>240</v>
      </c>
      <c r="S40" s="6">
        <v>240</v>
      </c>
      <c r="T40" s="9">
        <v>0.8</v>
      </c>
      <c r="U40" s="9">
        <v>0.82499999999999996</v>
      </c>
      <c r="V40" s="9">
        <v>1</v>
      </c>
      <c r="W40" s="9">
        <v>1.25</v>
      </c>
      <c r="X40" s="9">
        <v>0.05</v>
      </c>
      <c r="Y40" s="9">
        <v>0.05</v>
      </c>
      <c r="Z40" s="9">
        <v>0.05</v>
      </c>
      <c r="AA40" s="9">
        <v>0.05</v>
      </c>
    </row>
    <row r="41" spans="1:27" ht="51">
      <c r="A41" s="3" t="s">
        <v>1772</v>
      </c>
      <c r="C41" s="3" t="s">
        <v>1898</v>
      </c>
      <c r="D41" s="4">
        <v>4.34</v>
      </c>
      <c r="F41" s="3" t="s">
        <v>1888</v>
      </c>
      <c r="G41" s="4">
        <v>3.95</v>
      </c>
      <c r="I41" s="3" t="s">
        <v>1899</v>
      </c>
      <c r="J41" s="4">
        <v>6.5</v>
      </c>
      <c r="L41" s="1" t="s">
        <v>1772</v>
      </c>
      <c r="M41" s="1" t="s">
        <v>1890</v>
      </c>
      <c r="N41" s="1" t="s">
        <v>1787</v>
      </c>
      <c r="O41" s="1" t="str">
        <f t="shared" si="0"/>
        <v>Cash Profit Method_GPL_Rent out</v>
      </c>
      <c r="P41" s="6">
        <v>1</v>
      </c>
      <c r="Q41" s="6">
        <v>4000000</v>
      </c>
      <c r="R41" s="6">
        <v>84</v>
      </c>
      <c r="S41" s="6">
        <v>120</v>
      </c>
      <c r="T41" s="9">
        <v>0.8</v>
      </c>
      <c r="U41" s="9">
        <v>0.82499999999999996</v>
      </c>
      <c r="V41" s="9">
        <v>0.85</v>
      </c>
      <c r="W41" s="9">
        <v>0.9</v>
      </c>
      <c r="X41" s="9">
        <v>0.1</v>
      </c>
      <c r="Y41" s="9">
        <v>0.1</v>
      </c>
      <c r="Z41" s="9">
        <v>0.1</v>
      </c>
      <c r="AA41" s="9">
        <v>0.1</v>
      </c>
    </row>
    <row r="42" spans="1:27" ht="38.25">
      <c r="A42" s="3" t="s">
        <v>1900</v>
      </c>
      <c r="C42" s="3" t="s">
        <v>1901</v>
      </c>
      <c r="D42" s="4">
        <v>5.33</v>
      </c>
      <c r="F42" s="3" t="s">
        <v>1891</v>
      </c>
      <c r="G42" s="4">
        <v>3.95</v>
      </c>
      <c r="I42" s="3" t="s">
        <v>1902</v>
      </c>
      <c r="J42" s="4">
        <v>7.36</v>
      </c>
      <c r="L42" s="1" t="s">
        <v>1772</v>
      </c>
      <c r="M42" s="1" t="s">
        <v>1893</v>
      </c>
      <c r="N42" s="1" t="s">
        <v>1787</v>
      </c>
      <c r="O42" s="1" t="str">
        <f t="shared" si="0"/>
        <v>Cash Profit Method_GPLIns_Rent out</v>
      </c>
      <c r="P42" s="6">
        <v>1</v>
      </c>
      <c r="Q42" s="6">
        <v>4000000</v>
      </c>
      <c r="R42" s="6">
        <v>84</v>
      </c>
      <c r="S42" s="6">
        <v>120</v>
      </c>
      <c r="T42" s="9">
        <v>0.8</v>
      </c>
      <c r="U42" s="9">
        <v>0.82499999999999996</v>
      </c>
      <c r="V42" s="9">
        <v>0.85</v>
      </c>
      <c r="W42" s="9">
        <v>0.9</v>
      </c>
      <c r="X42" s="9">
        <v>0.1</v>
      </c>
      <c r="Y42" s="9">
        <v>0.1</v>
      </c>
      <c r="Z42" s="9">
        <v>0.1</v>
      </c>
      <c r="AA42" s="9">
        <v>0.1</v>
      </c>
    </row>
    <row r="43" spans="1:27" ht="25.5">
      <c r="A43" s="3" t="s">
        <v>1903</v>
      </c>
      <c r="C43" s="3" t="s">
        <v>1904</v>
      </c>
      <c r="D43" s="4">
        <v>9.42</v>
      </c>
      <c r="F43" s="3" t="s">
        <v>1895</v>
      </c>
      <c r="G43" s="4">
        <v>3.95</v>
      </c>
      <c r="I43" s="3" t="s">
        <v>1905</v>
      </c>
      <c r="J43" s="4">
        <v>12.96</v>
      </c>
      <c r="L43" s="1" t="s">
        <v>1772</v>
      </c>
      <c r="M43" s="1" t="s">
        <v>1897</v>
      </c>
      <c r="N43" s="1" t="s">
        <v>1787</v>
      </c>
      <c r="O43" s="1" t="str">
        <f t="shared" si="0"/>
        <v>Cash Profit Method_Ins_Rent out</v>
      </c>
      <c r="P43" s="6">
        <v>1</v>
      </c>
      <c r="Q43" s="6">
        <v>25000000</v>
      </c>
      <c r="R43" s="6">
        <v>240</v>
      </c>
      <c r="S43" s="6">
        <v>240</v>
      </c>
      <c r="T43" s="9">
        <v>0.8</v>
      </c>
      <c r="U43" s="9">
        <v>0.82499999999999996</v>
      </c>
      <c r="V43" s="9">
        <v>1</v>
      </c>
      <c r="W43" s="9">
        <v>1.25</v>
      </c>
      <c r="X43" s="9">
        <v>0.05</v>
      </c>
      <c r="Y43" s="9">
        <v>0.05</v>
      </c>
      <c r="Z43" s="9">
        <v>0.05</v>
      </c>
      <c r="AA43" s="9">
        <v>0.05</v>
      </c>
    </row>
    <row r="44" spans="1:27" ht="25.5">
      <c r="A44" s="3" t="s">
        <v>870</v>
      </c>
      <c r="C44" s="3" t="s">
        <v>1906</v>
      </c>
      <c r="D44" s="4">
        <v>3.4</v>
      </c>
      <c r="F44" s="3" t="s">
        <v>1898</v>
      </c>
      <c r="G44" s="4">
        <v>3.95</v>
      </c>
      <c r="I44" s="3" t="s">
        <v>1907</v>
      </c>
      <c r="J44" s="4">
        <v>11.09</v>
      </c>
      <c r="L44" s="1" t="s">
        <v>1772</v>
      </c>
      <c r="M44" s="1" t="s">
        <v>1890</v>
      </c>
      <c r="N44" s="1" t="s">
        <v>1799</v>
      </c>
      <c r="O44" s="1" t="str">
        <f t="shared" si="0"/>
        <v>Cash Profit Method_GPL_Vacant / Investment</v>
      </c>
      <c r="P44" s="6">
        <v>1</v>
      </c>
      <c r="Q44" s="6">
        <v>4000000</v>
      </c>
      <c r="R44" s="6">
        <v>84</v>
      </c>
      <c r="S44" s="6">
        <v>120</v>
      </c>
      <c r="T44" s="9">
        <v>0.8</v>
      </c>
      <c r="U44" s="9">
        <v>0.82499999999999996</v>
      </c>
      <c r="V44" s="9">
        <v>0.85</v>
      </c>
      <c r="W44" s="9">
        <v>0.9</v>
      </c>
      <c r="X44" s="9">
        <v>0.1</v>
      </c>
      <c r="Y44" s="9">
        <v>0.1</v>
      </c>
      <c r="Z44" s="9">
        <v>0.1</v>
      </c>
      <c r="AA44" s="9">
        <v>0.1</v>
      </c>
    </row>
    <row r="45" spans="1:27" ht="25.5">
      <c r="A45" s="3" t="s">
        <v>1908</v>
      </c>
      <c r="C45" s="3" t="s">
        <v>1909</v>
      </c>
      <c r="D45" s="4">
        <v>4.8899999999999997</v>
      </c>
      <c r="F45" s="3" t="s">
        <v>1901</v>
      </c>
      <c r="G45" s="4">
        <v>3.95</v>
      </c>
      <c r="I45" s="3" t="s">
        <v>1910</v>
      </c>
      <c r="J45" s="4">
        <v>9.64</v>
      </c>
      <c r="L45" s="1" t="s">
        <v>1772</v>
      </c>
      <c r="M45" s="1" t="s">
        <v>1893</v>
      </c>
      <c r="N45" s="1" t="s">
        <v>1799</v>
      </c>
      <c r="O45" s="1" t="str">
        <f t="shared" si="0"/>
        <v>Cash Profit Method_GPLIns_Vacant / Investment</v>
      </c>
      <c r="P45" s="6">
        <v>1</v>
      </c>
      <c r="Q45" s="6">
        <v>4000000</v>
      </c>
      <c r="R45" s="6">
        <v>84</v>
      </c>
      <c r="S45" s="6">
        <v>120</v>
      </c>
      <c r="T45" s="9">
        <v>0.8</v>
      </c>
      <c r="U45" s="9">
        <v>0.82499999999999996</v>
      </c>
      <c r="V45" s="9">
        <v>0.85</v>
      </c>
      <c r="W45" s="9">
        <v>0.9</v>
      </c>
      <c r="X45" s="9">
        <v>0.1</v>
      </c>
      <c r="Y45" s="9">
        <v>0.1</v>
      </c>
      <c r="Z45" s="9">
        <v>0.1</v>
      </c>
      <c r="AA45" s="9">
        <v>0.1</v>
      </c>
    </row>
    <row r="46" spans="1:27" ht="25.5">
      <c r="A46" s="3" t="s">
        <v>1911</v>
      </c>
      <c r="C46" s="3" t="s">
        <v>1912</v>
      </c>
      <c r="D46" s="4">
        <v>6.64</v>
      </c>
      <c r="F46" s="3" t="s">
        <v>1904</v>
      </c>
      <c r="G46" s="4">
        <v>3.95</v>
      </c>
      <c r="I46" s="3" t="s">
        <v>1913</v>
      </c>
      <c r="J46" s="4">
        <v>6.48</v>
      </c>
      <c r="L46" s="1" t="s">
        <v>1772</v>
      </c>
      <c r="M46" s="1" t="s">
        <v>1897</v>
      </c>
      <c r="N46" s="1" t="s">
        <v>1799</v>
      </c>
      <c r="O46" s="1" t="str">
        <f t="shared" si="0"/>
        <v>Cash Profit Method_Ins_Vacant / Investment</v>
      </c>
      <c r="P46" s="6">
        <v>1</v>
      </c>
      <c r="Q46" s="6">
        <v>25000000</v>
      </c>
      <c r="R46" s="6">
        <v>240</v>
      </c>
      <c r="S46" s="6">
        <v>240</v>
      </c>
      <c r="T46" s="9">
        <v>0.8</v>
      </c>
      <c r="U46" s="9">
        <v>0.82499999999999996</v>
      </c>
      <c r="V46" s="9">
        <v>1</v>
      </c>
      <c r="W46" s="9">
        <v>1.25</v>
      </c>
      <c r="X46" s="9">
        <v>0.05</v>
      </c>
      <c r="Y46" s="9">
        <v>0.05</v>
      </c>
      <c r="Z46" s="9">
        <v>0.05</v>
      </c>
      <c r="AA46" s="9">
        <v>0.05</v>
      </c>
    </row>
    <row r="47" spans="1:27" ht="25.5">
      <c r="A47" s="3" t="s">
        <v>1914</v>
      </c>
      <c r="C47" s="3" t="s">
        <v>1915</v>
      </c>
      <c r="D47" s="4">
        <v>11.15</v>
      </c>
      <c r="F47" s="3" t="s">
        <v>1906</v>
      </c>
      <c r="G47" s="4">
        <v>3.95</v>
      </c>
      <c r="I47" s="3" t="s">
        <v>1916</v>
      </c>
      <c r="J47" s="4">
        <v>8.3800000000000008</v>
      </c>
      <c r="L47" s="1" t="s">
        <v>1900</v>
      </c>
      <c r="M47" s="1" t="s">
        <v>1773</v>
      </c>
      <c r="N47" s="1" t="s">
        <v>1774</v>
      </c>
      <c r="O47" s="1" t="str">
        <f t="shared" si="0"/>
        <v>Gross Turnover_HL_Self-occupation</v>
      </c>
      <c r="P47" s="6">
        <v>1</v>
      </c>
      <c r="Q47" s="6">
        <v>150000000</v>
      </c>
      <c r="R47" s="6">
        <v>240</v>
      </c>
      <c r="S47" s="6">
        <v>240</v>
      </c>
      <c r="T47" s="9">
        <v>0.65</v>
      </c>
      <c r="U47" s="9">
        <v>0.67500000000000004</v>
      </c>
      <c r="V47" s="9">
        <v>0.7</v>
      </c>
      <c r="W47" s="9">
        <v>0.75</v>
      </c>
      <c r="X47" s="9">
        <v>0.9</v>
      </c>
      <c r="Y47" s="9">
        <v>0.9</v>
      </c>
      <c r="Z47" s="9">
        <v>0.9</v>
      </c>
      <c r="AA47" s="9">
        <v>0.9</v>
      </c>
    </row>
    <row r="48" spans="1:27" ht="25.5">
      <c r="A48" s="3" t="s">
        <v>1917</v>
      </c>
      <c r="C48" s="3" t="s">
        <v>1918</v>
      </c>
      <c r="D48" s="4">
        <v>7.98</v>
      </c>
      <c r="F48" s="3" t="s">
        <v>1909</v>
      </c>
      <c r="G48" s="4">
        <v>3.95</v>
      </c>
      <c r="I48" s="3" t="s">
        <v>1919</v>
      </c>
      <c r="J48" s="4">
        <v>8.3800000000000008</v>
      </c>
      <c r="L48" s="1" t="s">
        <v>1900</v>
      </c>
      <c r="M48" s="1" t="s">
        <v>1777</v>
      </c>
      <c r="N48" s="1" t="s">
        <v>1774</v>
      </c>
      <c r="O48" s="1" t="str">
        <f t="shared" si="0"/>
        <v>Gross Turnover_HLGPLIns_Self-occupation</v>
      </c>
      <c r="P48" s="6">
        <v>1</v>
      </c>
      <c r="Q48" s="6">
        <v>150000000</v>
      </c>
      <c r="R48" s="6">
        <v>240</v>
      </c>
      <c r="S48" s="6">
        <v>240</v>
      </c>
      <c r="T48" s="9">
        <v>0.65</v>
      </c>
      <c r="U48" s="9">
        <v>0.67500000000000004</v>
      </c>
      <c r="V48" s="9">
        <v>0.7</v>
      </c>
      <c r="W48" s="9">
        <v>0.75</v>
      </c>
      <c r="X48" s="9">
        <v>0.9</v>
      </c>
      <c r="Y48" s="9">
        <v>0.9</v>
      </c>
      <c r="Z48" s="9">
        <v>0.9</v>
      </c>
      <c r="AA48" s="9">
        <v>0.9</v>
      </c>
    </row>
    <row r="49" spans="1:27" ht="25.5">
      <c r="A49" s="3" t="s">
        <v>1920</v>
      </c>
      <c r="C49" s="3" t="s">
        <v>1921</v>
      </c>
      <c r="D49" s="4">
        <v>8.8000000000000007</v>
      </c>
      <c r="F49" s="3" t="s">
        <v>1912</v>
      </c>
      <c r="G49" s="4">
        <v>3.95</v>
      </c>
      <c r="I49" s="3" t="s">
        <v>1922</v>
      </c>
      <c r="J49" s="4">
        <v>13.17</v>
      </c>
      <c r="L49" s="1" t="s">
        <v>1900</v>
      </c>
      <c r="M49" s="1" t="s">
        <v>1780</v>
      </c>
      <c r="N49" s="1" t="s">
        <v>1774</v>
      </c>
      <c r="O49" s="1" t="str">
        <f t="shared" si="0"/>
        <v>Gross Turnover_HLGPL_Self-occupation</v>
      </c>
      <c r="P49" s="6">
        <v>1</v>
      </c>
      <c r="Q49" s="6">
        <v>150000000</v>
      </c>
      <c r="R49" s="6">
        <v>240</v>
      </c>
      <c r="S49" s="6">
        <v>240</v>
      </c>
      <c r="T49" s="9">
        <v>0.65</v>
      </c>
      <c r="U49" s="9">
        <v>0.67500000000000004</v>
      </c>
      <c r="V49" s="9">
        <v>0.7</v>
      </c>
      <c r="W49" s="9">
        <v>0.75</v>
      </c>
      <c r="X49" s="9">
        <v>0.9</v>
      </c>
      <c r="Y49" s="9">
        <v>0.9</v>
      </c>
      <c r="Z49" s="9">
        <v>0.9</v>
      </c>
      <c r="AA49" s="9">
        <v>0.9</v>
      </c>
    </row>
    <row r="50" spans="1:27">
      <c r="A50" s="3" t="s">
        <v>1923</v>
      </c>
      <c r="C50" s="3" t="s">
        <v>1924</v>
      </c>
      <c r="D50" s="4">
        <v>11.15</v>
      </c>
      <c r="F50" s="3" t="s">
        <v>1915</v>
      </c>
      <c r="G50" s="4">
        <v>5.8</v>
      </c>
      <c r="I50" s="3" t="s">
        <v>1925</v>
      </c>
      <c r="J50" s="4">
        <v>18.86</v>
      </c>
      <c r="L50" s="1" t="s">
        <v>1900</v>
      </c>
      <c r="M50" s="1" t="s">
        <v>1783</v>
      </c>
      <c r="N50" s="1" t="s">
        <v>1774</v>
      </c>
      <c r="O50" s="1" t="str">
        <f t="shared" si="0"/>
        <v>Gross Turnover_HLIns_Self-occupation</v>
      </c>
      <c r="P50" s="6">
        <v>1</v>
      </c>
      <c r="Q50" s="6">
        <v>150000000</v>
      </c>
      <c r="R50" s="6">
        <v>240</v>
      </c>
      <c r="S50" s="6">
        <v>240</v>
      </c>
      <c r="T50" s="9">
        <v>0.65</v>
      </c>
      <c r="U50" s="9">
        <v>0.67500000000000004</v>
      </c>
      <c r="V50" s="9">
        <v>0.7</v>
      </c>
      <c r="W50" s="9">
        <v>0.75</v>
      </c>
      <c r="X50" s="9">
        <v>0.9</v>
      </c>
      <c r="Y50" s="9">
        <v>0.9</v>
      </c>
      <c r="Z50" s="9">
        <v>0.9</v>
      </c>
      <c r="AA50" s="9">
        <v>0.9</v>
      </c>
    </row>
    <row r="51" spans="1:27" ht="25.5">
      <c r="A51" s="3" t="s">
        <v>1926</v>
      </c>
      <c r="C51" s="3" t="s">
        <v>1927</v>
      </c>
      <c r="D51" s="4">
        <v>7.6</v>
      </c>
      <c r="F51" s="3" t="s">
        <v>1918</v>
      </c>
      <c r="G51" s="4">
        <v>7.98</v>
      </c>
      <c r="J51" s="8"/>
      <c r="L51" s="1" t="s">
        <v>1900</v>
      </c>
      <c r="M51" s="1" t="s">
        <v>1773</v>
      </c>
      <c r="N51" s="1" t="s">
        <v>1787</v>
      </c>
      <c r="O51" s="1" t="str">
        <f t="shared" si="0"/>
        <v>Gross Turnover_HL_Rent out</v>
      </c>
      <c r="P51" s="6">
        <v>1</v>
      </c>
      <c r="Q51" s="6">
        <v>150000000</v>
      </c>
      <c r="R51" s="6">
        <v>240</v>
      </c>
      <c r="S51" s="6">
        <v>240</v>
      </c>
      <c r="T51" s="9">
        <v>0.65</v>
      </c>
      <c r="U51" s="9">
        <v>0.67500000000000004</v>
      </c>
      <c r="V51" s="9">
        <v>0.7</v>
      </c>
      <c r="W51" s="9">
        <v>0.75</v>
      </c>
      <c r="X51" s="9">
        <v>0.9</v>
      </c>
      <c r="Y51" s="9">
        <v>0.9</v>
      </c>
      <c r="Z51" s="9">
        <v>0.9</v>
      </c>
      <c r="AA51" s="9">
        <v>0.9</v>
      </c>
    </row>
    <row r="52" spans="1:27" ht="25.5">
      <c r="A52" s="3" t="s">
        <v>1928</v>
      </c>
      <c r="C52" s="3" t="s">
        <v>1929</v>
      </c>
      <c r="D52" s="4">
        <v>8.58</v>
      </c>
      <c r="F52" s="3" t="s">
        <v>1921</v>
      </c>
      <c r="G52" s="4">
        <v>8.8000000000000007</v>
      </c>
      <c r="J52" s="8"/>
      <c r="L52" s="1" t="s">
        <v>1900</v>
      </c>
      <c r="M52" s="1" t="s">
        <v>1777</v>
      </c>
      <c r="N52" s="1" t="s">
        <v>1787</v>
      </c>
      <c r="O52" s="1" t="str">
        <f t="shared" si="0"/>
        <v>Gross Turnover_HLGPLIns_Rent out</v>
      </c>
      <c r="P52" s="6">
        <v>1</v>
      </c>
      <c r="Q52" s="6">
        <v>150000000</v>
      </c>
      <c r="R52" s="6">
        <v>240</v>
      </c>
      <c r="S52" s="6">
        <v>240</v>
      </c>
      <c r="T52" s="9">
        <v>0.65</v>
      </c>
      <c r="U52" s="9">
        <v>0.67500000000000004</v>
      </c>
      <c r="V52" s="9">
        <v>0.7</v>
      </c>
      <c r="W52" s="9">
        <v>0.75</v>
      </c>
      <c r="X52" s="9">
        <v>0.9</v>
      </c>
      <c r="Y52" s="9">
        <v>0.9</v>
      </c>
      <c r="Z52" s="9">
        <v>0.9</v>
      </c>
      <c r="AA52" s="9">
        <v>0.9</v>
      </c>
    </row>
    <row r="53" spans="1:27">
      <c r="A53" s="3"/>
      <c r="C53" s="3" t="s">
        <v>1930</v>
      </c>
      <c r="D53" s="4">
        <v>7.6</v>
      </c>
      <c r="F53" s="3" t="s">
        <v>1924</v>
      </c>
      <c r="G53" s="4">
        <v>5.65</v>
      </c>
      <c r="J53" s="8"/>
      <c r="L53" s="1" t="s">
        <v>1900</v>
      </c>
      <c r="M53" s="1" t="s">
        <v>1780</v>
      </c>
      <c r="N53" s="1" t="s">
        <v>1787</v>
      </c>
      <c r="O53" s="1" t="str">
        <f t="shared" si="0"/>
        <v>Gross Turnover_HLGPL_Rent out</v>
      </c>
      <c r="P53" s="6">
        <v>1</v>
      </c>
      <c r="Q53" s="6">
        <v>150000000</v>
      </c>
      <c r="R53" s="6">
        <v>240</v>
      </c>
      <c r="S53" s="6">
        <v>240</v>
      </c>
      <c r="T53" s="9">
        <v>0.65</v>
      </c>
      <c r="U53" s="9">
        <v>0.67500000000000004</v>
      </c>
      <c r="V53" s="9">
        <v>0.7</v>
      </c>
      <c r="W53" s="9">
        <v>0.75</v>
      </c>
      <c r="X53" s="9">
        <v>0.9</v>
      </c>
      <c r="Y53" s="9">
        <v>0.9</v>
      </c>
      <c r="Z53" s="9">
        <v>0.9</v>
      </c>
      <c r="AA53" s="9">
        <v>0.9</v>
      </c>
    </row>
    <row r="54" spans="1:27" ht="25.5">
      <c r="A54" s="3"/>
      <c r="C54" s="3" t="s">
        <v>1931</v>
      </c>
      <c r="D54" s="4">
        <v>8.2200000000000006</v>
      </c>
      <c r="F54" s="3" t="s">
        <v>1927</v>
      </c>
      <c r="G54" s="4">
        <v>5.04</v>
      </c>
      <c r="J54" s="8"/>
      <c r="L54" s="1" t="s">
        <v>1900</v>
      </c>
      <c r="M54" s="1" t="s">
        <v>1783</v>
      </c>
      <c r="N54" s="1" t="s">
        <v>1787</v>
      </c>
      <c r="O54" s="1" t="str">
        <f t="shared" si="0"/>
        <v>Gross Turnover_HLIns_Rent out</v>
      </c>
      <c r="P54" s="6">
        <v>1</v>
      </c>
      <c r="Q54" s="6">
        <v>150000000</v>
      </c>
      <c r="R54" s="6">
        <v>240</v>
      </c>
      <c r="S54" s="6">
        <v>240</v>
      </c>
      <c r="T54" s="9">
        <v>0.65</v>
      </c>
      <c r="U54" s="9">
        <v>0.67500000000000004</v>
      </c>
      <c r="V54" s="9">
        <v>0.7</v>
      </c>
      <c r="W54" s="9">
        <v>0.75</v>
      </c>
      <c r="X54" s="9">
        <v>0.9</v>
      </c>
      <c r="Y54" s="9">
        <v>0.9</v>
      </c>
      <c r="Z54" s="9">
        <v>0.9</v>
      </c>
      <c r="AA54" s="9">
        <v>0.9</v>
      </c>
    </row>
    <row r="55" spans="1:27" ht="25.5">
      <c r="C55" s="3" t="s">
        <v>1932</v>
      </c>
      <c r="D55" s="4">
        <v>11.78</v>
      </c>
      <c r="F55" s="3" t="s">
        <v>1929</v>
      </c>
      <c r="G55" s="4">
        <v>8.58</v>
      </c>
      <c r="J55" s="8"/>
      <c r="L55" s="1" t="s">
        <v>1900</v>
      </c>
      <c r="M55" s="1" t="s">
        <v>1773</v>
      </c>
      <c r="N55" s="1" t="s">
        <v>1799</v>
      </c>
      <c r="O55" s="1" t="str">
        <f t="shared" si="0"/>
        <v>Gross Turnover_HL_Vacant / Investment</v>
      </c>
      <c r="P55" s="6">
        <v>1</v>
      </c>
      <c r="Q55" s="6">
        <v>150000000</v>
      </c>
      <c r="R55" s="6">
        <v>240</v>
      </c>
      <c r="S55" s="6">
        <v>240</v>
      </c>
      <c r="T55" s="9">
        <v>0.65</v>
      </c>
      <c r="U55" s="9">
        <v>0.67500000000000004</v>
      </c>
      <c r="V55" s="9">
        <v>0.7</v>
      </c>
      <c r="W55" s="9">
        <v>0.75</v>
      </c>
      <c r="X55" s="9">
        <v>0.85</v>
      </c>
      <c r="Y55" s="9">
        <v>0.85</v>
      </c>
      <c r="Z55" s="9">
        <v>0.85</v>
      </c>
      <c r="AA55" s="9">
        <v>0.85</v>
      </c>
    </row>
    <row r="56" spans="1:27" ht="25.5">
      <c r="A56" s="2" t="s">
        <v>27</v>
      </c>
      <c r="C56" s="3" t="s">
        <v>1933</v>
      </c>
      <c r="D56" s="4">
        <v>11.94</v>
      </c>
      <c r="F56" s="3" t="s">
        <v>1930</v>
      </c>
      <c r="G56" s="4">
        <v>5.04</v>
      </c>
      <c r="J56" s="8"/>
      <c r="L56" s="1" t="s">
        <v>1900</v>
      </c>
      <c r="M56" s="1" t="s">
        <v>1777</v>
      </c>
      <c r="N56" s="1" t="s">
        <v>1799</v>
      </c>
      <c r="O56" s="1" t="str">
        <f t="shared" si="0"/>
        <v>Gross Turnover_HLGPLIns_Vacant / Investment</v>
      </c>
      <c r="P56" s="6">
        <v>1</v>
      </c>
      <c r="Q56" s="6">
        <v>150000000</v>
      </c>
      <c r="R56" s="6">
        <v>240</v>
      </c>
      <c r="S56" s="6">
        <v>240</v>
      </c>
      <c r="T56" s="9">
        <v>0.65</v>
      </c>
      <c r="U56" s="9">
        <v>0.67500000000000004</v>
      </c>
      <c r="V56" s="9">
        <v>0.7</v>
      </c>
      <c r="W56" s="9">
        <v>0.75</v>
      </c>
      <c r="X56" s="9">
        <v>0.85</v>
      </c>
      <c r="Y56" s="9">
        <v>0.85</v>
      </c>
      <c r="Z56" s="9">
        <v>0.85</v>
      </c>
      <c r="AA56" s="9">
        <v>0.85</v>
      </c>
    </row>
    <row r="57" spans="1:27" ht="25.5">
      <c r="A57" s="3" t="s">
        <v>33</v>
      </c>
      <c r="C57" s="3" t="s">
        <v>1934</v>
      </c>
      <c r="D57" s="4">
        <v>10.36</v>
      </c>
      <c r="F57" s="3" t="s">
        <v>1931</v>
      </c>
      <c r="G57" s="4">
        <v>8.2200000000000006</v>
      </c>
      <c r="J57" s="8"/>
      <c r="L57" s="1" t="s">
        <v>1900</v>
      </c>
      <c r="M57" s="1" t="s">
        <v>1780</v>
      </c>
      <c r="N57" s="1" t="s">
        <v>1799</v>
      </c>
      <c r="O57" s="1" t="str">
        <f t="shared" si="0"/>
        <v>Gross Turnover_HLGPL_Vacant / Investment</v>
      </c>
      <c r="P57" s="6">
        <v>1</v>
      </c>
      <c r="Q57" s="6">
        <v>150000000</v>
      </c>
      <c r="R57" s="6">
        <v>240</v>
      </c>
      <c r="S57" s="6">
        <v>240</v>
      </c>
      <c r="T57" s="9">
        <v>0.65</v>
      </c>
      <c r="U57" s="9">
        <v>0.67500000000000004</v>
      </c>
      <c r="V57" s="9">
        <v>0.7</v>
      </c>
      <c r="W57" s="9">
        <v>0.75</v>
      </c>
      <c r="X57" s="9">
        <v>0.85</v>
      </c>
      <c r="Y57" s="9">
        <v>0.85</v>
      </c>
      <c r="Z57" s="9">
        <v>0.85</v>
      </c>
      <c r="AA57" s="9">
        <v>0.85</v>
      </c>
    </row>
    <row r="58" spans="1:27" ht="25.5">
      <c r="A58" s="3" t="s">
        <v>1935</v>
      </c>
      <c r="C58" s="3" t="s">
        <v>1936</v>
      </c>
      <c r="D58" s="4">
        <v>10.62</v>
      </c>
      <c r="F58" s="3" t="s">
        <v>1932</v>
      </c>
      <c r="G58" s="4">
        <v>11.78</v>
      </c>
      <c r="J58" s="8"/>
      <c r="L58" s="1" t="s">
        <v>1900</v>
      </c>
      <c r="M58" s="1" t="s">
        <v>1783</v>
      </c>
      <c r="N58" s="1" t="s">
        <v>1799</v>
      </c>
      <c r="O58" s="1" t="str">
        <f t="shared" si="0"/>
        <v>Gross Turnover_HLIns_Vacant / Investment</v>
      </c>
      <c r="P58" s="6">
        <v>1</v>
      </c>
      <c r="Q58" s="6">
        <v>150000000</v>
      </c>
      <c r="R58" s="6">
        <v>240</v>
      </c>
      <c r="S58" s="6">
        <v>240</v>
      </c>
      <c r="T58" s="9">
        <v>0.65</v>
      </c>
      <c r="U58" s="9">
        <v>0.67500000000000004</v>
      </c>
      <c r="V58" s="9">
        <v>0.7</v>
      </c>
      <c r="W58" s="9">
        <v>0.75</v>
      </c>
      <c r="X58" s="9">
        <v>0.85</v>
      </c>
      <c r="Y58" s="9">
        <v>0.85</v>
      </c>
      <c r="Z58" s="9">
        <v>0.85</v>
      </c>
      <c r="AA58" s="9">
        <v>0.85</v>
      </c>
    </row>
    <row r="59" spans="1:27">
      <c r="A59" s="3" t="s">
        <v>1937</v>
      </c>
      <c r="C59" s="3" t="s">
        <v>1938</v>
      </c>
      <c r="D59" s="4">
        <v>8.2799999999999994</v>
      </c>
      <c r="F59" s="3" t="s">
        <v>1933</v>
      </c>
      <c r="G59" s="4">
        <v>11.94</v>
      </c>
      <c r="J59" s="8"/>
      <c r="L59" s="1" t="s">
        <v>1900</v>
      </c>
      <c r="M59" s="1" t="s">
        <v>1812</v>
      </c>
      <c r="N59" s="1" t="s">
        <v>1774</v>
      </c>
      <c r="O59" s="1" t="str">
        <f t="shared" si="0"/>
        <v>Gross Turnover_LAP_Self-occupation</v>
      </c>
      <c r="P59" s="6">
        <v>1</v>
      </c>
      <c r="Q59" s="6">
        <v>150000000</v>
      </c>
      <c r="R59" s="6">
        <v>240</v>
      </c>
      <c r="S59" s="6">
        <v>240</v>
      </c>
      <c r="T59" s="9">
        <v>0.65</v>
      </c>
      <c r="U59" s="9">
        <v>0.67500000000000004</v>
      </c>
      <c r="V59" s="9">
        <v>0.7</v>
      </c>
      <c r="W59" s="9">
        <v>0.75</v>
      </c>
      <c r="X59" s="9">
        <v>0.7</v>
      </c>
      <c r="Y59" s="9">
        <v>0.71</v>
      </c>
      <c r="Z59" s="9">
        <v>0.73</v>
      </c>
      <c r="AA59" s="9">
        <v>0.75</v>
      </c>
    </row>
    <row r="60" spans="1:27" ht="25.5">
      <c r="A60" s="3" t="s">
        <v>1939</v>
      </c>
      <c r="C60" s="3" t="s">
        <v>1940</v>
      </c>
      <c r="D60" s="4">
        <v>11.57</v>
      </c>
      <c r="F60" s="3" t="s">
        <v>1934</v>
      </c>
      <c r="G60" s="4">
        <v>5.1100000000000003</v>
      </c>
      <c r="J60" s="8"/>
      <c r="L60" s="1" t="s">
        <v>1900</v>
      </c>
      <c r="M60" s="1" t="s">
        <v>1816</v>
      </c>
      <c r="N60" s="1" t="s">
        <v>1774</v>
      </c>
      <c r="O60" s="1" t="str">
        <f t="shared" si="0"/>
        <v>Gross Turnover_LAPGPLIns_Self-occupation</v>
      </c>
      <c r="P60" s="6">
        <v>1</v>
      </c>
      <c r="Q60" s="6">
        <v>150000000</v>
      </c>
      <c r="R60" s="6">
        <v>240</v>
      </c>
      <c r="S60" s="6">
        <v>240</v>
      </c>
      <c r="T60" s="9">
        <v>0.65</v>
      </c>
      <c r="U60" s="9">
        <v>0.67500000000000004</v>
      </c>
      <c r="V60" s="9">
        <v>0.7</v>
      </c>
      <c r="W60" s="9">
        <v>0.75</v>
      </c>
      <c r="X60" s="9">
        <v>0.7</v>
      </c>
      <c r="Y60" s="9">
        <v>0.71</v>
      </c>
      <c r="Z60" s="9">
        <v>0.73</v>
      </c>
      <c r="AA60" s="9">
        <v>0.75</v>
      </c>
    </row>
    <row r="61" spans="1:27" ht="25.5">
      <c r="A61" s="3" t="s">
        <v>1941</v>
      </c>
      <c r="C61" s="3" t="s">
        <v>1942</v>
      </c>
      <c r="D61" s="4">
        <v>2.12</v>
      </c>
      <c r="F61" s="3" t="s">
        <v>1936</v>
      </c>
      <c r="G61" s="4">
        <v>10.62</v>
      </c>
      <c r="J61" s="8"/>
      <c r="L61" s="1" t="s">
        <v>1900</v>
      </c>
      <c r="M61" s="1" t="s">
        <v>1821</v>
      </c>
      <c r="N61" s="1" t="s">
        <v>1774</v>
      </c>
      <c r="O61" s="1" t="str">
        <f t="shared" si="0"/>
        <v>Gross Turnover_LAPGPL_Self-occupation</v>
      </c>
      <c r="P61" s="6">
        <v>1</v>
      </c>
      <c r="Q61" s="6">
        <v>150000000</v>
      </c>
      <c r="R61" s="6">
        <v>240</v>
      </c>
      <c r="S61" s="6">
        <v>240</v>
      </c>
      <c r="T61" s="9">
        <v>0.65</v>
      </c>
      <c r="U61" s="9">
        <v>0.67500000000000004</v>
      </c>
      <c r="V61" s="9">
        <v>0.7</v>
      </c>
      <c r="W61" s="9">
        <v>0.75</v>
      </c>
      <c r="X61" s="9">
        <v>0.7</v>
      </c>
      <c r="Y61" s="9">
        <v>0.71</v>
      </c>
      <c r="Z61" s="9">
        <v>0.73</v>
      </c>
      <c r="AA61" s="9">
        <v>0.75</v>
      </c>
    </row>
    <row r="62" spans="1:27" ht="25.5">
      <c r="A62" s="3" t="s">
        <v>1943</v>
      </c>
      <c r="C62" s="3" t="s">
        <v>1944</v>
      </c>
      <c r="D62" s="4">
        <v>10.36</v>
      </c>
      <c r="F62" s="3" t="s">
        <v>1938</v>
      </c>
      <c r="G62" s="4">
        <v>8.2799999999999994</v>
      </c>
      <c r="J62" s="8"/>
      <c r="L62" s="1" t="s">
        <v>1900</v>
      </c>
      <c r="M62" s="1" t="s">
        <v>1824</v>
      </c>
      <c r="N62" s="1" t="s">
        <v>1774</v>
      </c>
      <c r="O62" s="1" t="str">
        <f t="shared" si="0"/>
        <v>Gross Turnover_LAPIns_Self-occupation</v>
      </c>
      <c r="P62" s="6">
        <v>1</v>
      </c>
      <c r="Q62" s="6">
        <v>150000000</v>
      </c>
      <c r="R62" s="6">
        <v>240</v>
      </c>
      <c r="S62" s="6">
        <v>240</v>
      </c>
      <c r="T62" s="9">
        <v>0.65</v>
      </c>
      <c r="U62" s="9">
        <v>0.67500000000000004</v>
      </c>
      <c r="V62" s="9">
        <v>0.7</v>
      </c>
      <c r="W62" s="9">
        <v>0.75</v>
      </c>
      <c r="X62" s="9">
        <v>0.7</v>
      </c>
      <c r="Y62" s="9">
        <v>0.71</v>
      </c>
      <c r="Z62" s="9">
        <v>0.73</v>
      </c>
      <c r="AA62" s="9">
        <v>0.75</v>
      </c>
    </row>
    <row r="63" spans="1:27">
      <c r="A63" s="3" t="s">
        <v>1945</v>
      </c>
      <c r="C63" s="3" t="s">
        <v>1946</v>
      </c>
      <c r="D63" s="4">
        <v>9.2100000000000009</v>
      </c>
      <c r="F63" s="3" t="s">
        <v>1940</v>
      </c>
      <c r="G63" s="4">
        <v>11.57</v>
      </c>
      <c r="J63" s="8"/>
      <c r="L63" s="1" t="s">
        <v>1900</v>
      </c>
      <c r="M63" s="1" t="s">
        <v>1812</v>
      </c>
      <c r="N63" s="1" t="s">
        <v>1787</v>
      </c>
      <c r="O63" s="1" t="str">
        <f t="shared" si="0"/>
        <v>Gross Turnover_LAP_Rent out</v>
      </c>
      <c r="P63" s="6">
        <v>1</v>
      </c>
      <c r="Q63" s="6">
        <v>150000000</v>
      </c>
      <c r="R63" s="6">
        <v>240</v>
      </c>
      <c r="S63" s="6">
        <v>240</v>
      </c>
      <c r="T63" s="9">
        <v>0.65</v>
      </c>
      <c r="U63" s="9">
        <v>0.67500000000000004</v>
      </c>
      <c r="V63" s="9">
        <v>0.7</v>
      </c>
      <c r="W63" s="9">
        <v>0.75</v>
      </c>
      <c r="X63" s="9">
        <v>0.7</v>
      </c>
      <c r="Y63" s="9">
        <v>0.71</v>
      </c>
      <c r="Z63" s="9">
        <v>0.73</v>
      </c>
      <c r="AA63" s="9">
        <v>0.75</v>
      </c>
    </row>
    <row r="64" spans="1:27">
      <c r="A64" s="3" t="s">
        <v>1947</v>
      </c>
      <c r="C64" s="3" t="s">
        <v>1948</v>
      </c>
      <c r="D64" s="4">
        <v>10.36</v>
      </c>
      <c r="F64" s="3" t="s">
        <v>1942</v>
      </c>
      <c r="G64" s="4">
        <v>2.12</v>
      </c>
      <c r="J64" s="8"/>
      <c r="L64" s="1" t="s">
        <v>1900</v>
      </c>
      <c r="M64" s="1" t="s">
        <v>1816</v>
      </c>
      <c r="N64" s="1" t="s">
        <v>1787</v>
      </c>
      <c r="O64" s="1" t="str">
        <f t="shared" si="0"/>
        <v>Gross Turnover_LAPGPLIns_Rent out</v>
      </c>
      <c r="P64" s="6">
        <v>1</v>
      </c>
      <c r="Q64" s="6">
        <v>150000000</v>
      </c>
      <c r="R64" s="6">
        <v>240</v>
      </c>
      <c r="S64" s="6">
        <v>240</v>
      </c>
      <c r="T64" s="9">
        <v>0.65</v>
      </c>
      <c r="U64" s="9">
        <v>0.67500000000000004</v>
      </c>
      <c r="V64" s="9">
        <v>0.7</v>
      </c>
      <c r="W64" s="9">
        <v>0.75</v>
      </c>
      <c r="X64" s="9">
        <v>0.7</v>
      </c>
      <c r="Y64" s="9">
        <v>0.71</v>
      </c>
      <c r="Z64" s="9">
        <v>0.73</v>
      </c>
      <c r="AA64" s="9">
        <v>0.75</v>
      </c>
    </row>
    <row r="65" spans="1:27" ht="25.5">
      <c r="A65" s="3" t="s">
        <v>1949</v>
      </c>
      <c r="C65" s="3" t="s">
        <v>1950</v>
      </c>
      <c r="D65" s="4">
        <v>12.81</v>
      </c>
      <c r="F65" s="3" t="s">
        <v>1944</v>
      </c>
      <c r="G65" s="4">
        <v>5.1100000000000003</v>
      </c>
      <c r="J65" s="8"/>
      <c r="L65" s="1" t="s">
        <v>1900</v>
      </c>
      <c r="M65" s="1" t="s">
        <v>1821</v>
      </c>
      <c r="N65" s="1" t="s">
        <v>1787</v>
      </c>
      <c r="O65" s="1" t="str">
        <f t="shared" si="0"/>
        <v>Gross Turnover_LAPGPL_Rent out</v>
      </c>
      <c r="P65" s="6">
        <v>1</v>
      </c>
      <c r="Q65" s="6">
        <v>150000000</v>
      </c>
      <c r="R65" s="6">
        <v>240</v>
      </c>
      <c r="S65" s="6">
        <v>240</v>
      </c>
      <c r="T65" s="9">
        <v>0.65</v>
      </c>
      <c r="U65" s="9">
        <v>0.67500000000000004</v>
      </c>
      <c r="V65" s="9">
        <v>0.7</v>
      </c>
      <c r="W65" s="9">
        <v>0.75</v>
      </c>
      <c r="X65" s="9">
        <v>0.7</v>
      </c>
      <c r="Y65" s="9">
        <v>0.71</v>
      </c>
      <c r="Z65" s="9">
        <v>0.73</v>
      </c>
      <c r="AA65" s="9">
        <v>0.75</v>
      </c>
    </row>
    <row r="66" spans="1:27">
      <c r="A66" s="3" t="s">
        <v>1951</v>
      </c>
      <c r="C66" s="3" t="s">
        <v>1952</v>
      </c>
      <c r="D66" s="4">
        <v>7.75</v>
      </c>
      <c r="F66" s="3" t="s">
        <v>1946</v>
      </c>
      <c r="G66" s="4">
        <v>9.2100000000000009</v>
      </c>
      <c r="J66" s="8"/>
      <c r="L66" s="1" t="s">
        <v>1900</v>
      </c>
      <c r="M66" s="1" t="s">
        <v>1824</v>
      </c>
      <c r="N66" s="1" t="s">
        <v>1787</v>
      </c>
      <c r="O66" s="1" t="str">
        <f t="shared" si="0"/>
        <v>Gross Turnover_LAPIns_Rent out</v>
      </c>
      <c r="P66" s="6">
        <v>1</v>
      </c>
      <c r="Q66" s="6">
        <v>150000000</v>
      </c>
      <c r="R66" s="6">
        <v>240</v>
      </c>
      <c r="S66" s="6">
        <v>240</v>
      </c>
      <c r="T66" s="9">
        <v>0.65</v>
      </c>
      <c r="U66" s="9">
        <v>0.67500000000000004</v>
      </c>
      <c r="V66" s="9">
        <v>0.7</v>
      </c>
      <c r="W66" s="9">
        <v>0.75</v>
      </c>
      <c r="X66" s="9">
        <v>0.7</v>
      </c>
      <c r="Y66" s="9">
        <v>0.71</v>
      </c>
      <c r="Z66" s="9">
        <v>0.73</v>
      </c>
      <c r="AA66" s="9">
        <v>0.75</v>
      </c>
    </row>
    <row r="67" spans="1:27" ht="25.5">
      <c r="A67" s="3" t="s">
        <v>1928</v>
      </c>
      <c r="C67" s="3" t="s">
        <v>1953</v>
      </c>
      <c r="D67" s="4">
        <v>6.6</v>
      </c>
      <c r="F67" s="3" t="s">
        <v>1948</v>
      </c>
      <c r="G67" s="4">
        <v>5.1100000000000003</v>
      </c>
      <c r="J67" s="8"/>
      <c r="L67" s="1" t="s">
        <v>1900</v>
      </c>
      <c r="M67" s="1" t="s">
        <v>1812</v>
      </c>
      <c r="N67" s="1" t="s">
        <v>1799</v>
      </c>
      <c r="O67" s="1" t="str">
        <f t="shared" ref="O67:O130" si="1">CONCATENATE(L67,"_",M67,"_",N67)</f>
        <v>Gross Turnover_LAP_Vacant / Investment</v>
      </c>
      <c r="P67" s="6">
        <v>1</v>
      </c>
      <c r="Q67" s="6">
        <v>150000000</v>
      </c>
      <c r="R67" s="6">
        <v>240</v>
      </c>
      <c r="S67" s="6">
        <v>240</v>
      </c>
      <c r="T67" s="9">
        <v>0.65</v>
      </c>
      <c r="U67" s="9">
        <v>0.67500000000000004</v>
      </c>
      <c r="V67" s="9">
        <v>0.7</v>
      </c>
      <c r="W67" s="9">
        <v>0.75</v>
      </c>
      <c r="X67" s="9">
        <v>0.65</v>
      </c>
      <c r="Y67" s="9">
        <v>0.66</v>
      </c>
      <c r="Z67" s="9">
        <v>0.68</v>
      </c>
      <c r="AA67" s="9">
        <v>0.7</v>
      </c>
    </row>
    <row r="68" spans="1:27" ht="25.5">
      <c r="A68" s="3" t="s">
        <v>1890</v>
      </c>
      <c r="C68" s="3" t="s">
        <v>1954</v>
      </c>
      <c r="D68" s="4">
        <v>9.91</v>
      </c>
      <c r="F68" s="3" t="s">
        <v>1950</v>
      </c>
      <c r="G68" s="4">
        <v>12.81</v>
      </c>
      <c r="J68" s="8"/>
      <c r="L68" s="1" t="s">
        <v>1900</v>
      </c>
      <c r="M68" s="1" t="s">
        <v>1816</v>
      </c>
      <c r="N68" s="1" t="s">
        <v>1799</v>
      </c>
      <c r="O68" s="1" t="str">
        <f t="shared" si="1"/>
        <v>Gross Turnover_LAPGPLIns_Vacant / Investment</v>
      </c>
      <c r="P68" s="6">
        <v>1</v>
      </c>
      <c r="Q68" s="6">
        <v>150000000</v>
      </c>
      <c r="R68" s="6">
        <v>240</v>
      </c>
      <c r="S68" s="6">
        <v>240</v>
      </c>
      <c r="T68" s="9">
        <v>0.65</v>
      </c>
      <c r="U68" s="9">
        <v>0.67500000000000004</v>
      </c>
      <c r="V68" s="9">
        <v>0.7</v>
      </c>
      <c r="W68" s="9">
        <v>0.75</v>
      </c>
      <c r="X68" s="9">
        <v>0.65</v>
      </c>
      <c r="Y68" s="9">
        <v>0.66</v>
      </c>
      <c r="Z68" s="9">
        <v>0.68</v>
      </c>
      <c r="AA68" s="9">
        <v>0.7</v>
      </c>
    </row>
    <row r="69" spans="1:27" ht="25.5">
      <c r="A69" s="3" t="s">
        <v>1887</v>
      </c>
      <c r="C69" s="3" t="s">
        <v>1955</v>
      </c>
      <c r="D69" s="4">
        <v>7.13</v>
      </c>
      <c r="F69" s="3" t="s">
        <v>1952</v>
      </c>
      <c r="G69" s="4">
        <v>7.75</v>
      </c>
      <c r="J69" s="8"/>
      <c r="L69" s="1" t="s">
        <v>1900</v>
      </c>
      <c r="M69" s="1" t="s">
        <v>1821</v>
      </c>
      <c r="N69" s="1" t="s">
        <v>1799</v>
      </c>
      <c r="O69" s="1" t="str">
        <f t="shared" si="1"/>
        <v>Gross Turnover_LAPGPL_Vacant / Investment</v>
      </c>
      <c r="P69" s="6">
        <v>1</v>
      </c>
      <c r="Q69" s="6">
        <v>150000000</v>
      </c>
      <c r="R69" s="6">
        <v>240</v>
      </c>
      <c r="S69" s="6">
        <v>240</v>
      </c>
      <c r="T69" s="9">
        <v>0.65</v>
      </c>
      <c r="U69" s="9">
        <v>0.67500000000000004</v>
      </c>
      <c r="V69" s="9">
        <v>0.7</v>
      </c>
      <c r="W69" s="9">
        <v>0.75</v>
      </c>
      <c r="X69" s="9">
        <v>0.65</v>
      </c>
      <c r="Y69" s="9">
        <v>0.66</v>
      </c>
      <c r="Z69" s="9">
        <v>0.68</v>
      </c>
      <c r="AA69" s="9">
        <v>0.7</v>
      </c>
    </row>
    <row r="70" spans="1:27" ht="25.5">
      <c r="C70" s="3" t="s">
        <v>1956</v>
      </c>
      <c r="D70" s="4">
        <v>6.61</v>
      </c>
      <c r="F70" s="3" t="s">
        <v>1953</v>
      </c>
      <c r="G70" s="4">
        <v>6.6</v>
      </c>
      <c r="J70" s="8"/>
      <c r="L70" s="1" t="s">
        <v>1900</v>
      </c>
      <c r="M70" s="1" t="s">
        <v>1824</v>
      </c>
      <c r="N70" s="1" t="s">
        <v>1799</v>
      </c>
      <c r="O70" s="1" t="str">
        <f t="shared" si="1"/>
        <v>Gross Turnover_LAPIns_Vacant / Investment</v>
      </c>
      <c r="P70" s="6">
        <v>1</v>
      </c>
      <c r="Q70" s="6">
        <v>150000000</v>
      </c>
      <c r="R70" s="6">
        <v>240</v>
      </c>
      <c r="S70" s="6">
        <v>240</v>
      </c>
      <c r="T70" s="9">
        <v>0.65</v>
      </c>
      <c r="U70" s="9">
        <v>0.67500000000000004</v>
      </c>
      <c r="V70" s="9">
        <v>0.7</v>
      </c>
      <c r="W70" s="9">
        <v>0.75</v>
      </c>
      <c r="X70" s="9">
        <v>0.65</v>
      </c>
      <c r="Y70" s="9">
        <v>0.66</v>
      </c>
      <c r="Z70" s="9">
        <v>0.68</v>
      </c>
      <c r="AA70" s="9">
        <v>0.7</v>
      </c>
    </row>
    <row r="71" spans="1:27" ht="25.5">
      <c r="C71" s="3" t="s">
        <v>1957</v>
      </c>
      <c r="D71" s="4">
        <v>7.6</v>
      </c>
      <c r="F71" s="3" t="s">
        <v>1954</v>
      </c>
      <c r="G71" s="4">
        <v>9.91</v>
      </c>
      <c r="J71" s="8"/>
      <c r="L71" s="1" t="s">
        <v>1900</v>
      </c>
      <c r="M71" s="1" t="s">
        <v>1852</v>
      </c>
      <c r="N71" s="1" t="s">
        <v>1774</v>
      </c>
      <c r="O71" s="1" t="str">
        <f t="shared" si="1"/>
        <v>Gross Turnover_Indl_Self-occupation</v>
      </c>
      <c r="P71" s="6">
        <v>10000000</v>
      </c>
      <c r="Q71" s="6">
        <v>100000000</v>
      </c>
      <c r="R71" s="6">
        <v>0</v>
      </c>
      <c r="S71" s="6">
        <v>120</v>
      </c>
      <c r="T71" s="9">
        <v>0</v>
      </c>
      <c r="U71" s="9">
        <v>0</v>
      </c>
      <c r="V71" s="9">
        <v>0</v>
      </c>
      <c r="W71" s="9">
        <v>0.65</v>
      </c>
      <c r="X71" s="9">
        <v>0.5</v>
      </c>
      <c r="Y71" s="9">
        <v>0</v>
      </c>
      <c r="Z71" s="9">
        <v>0</v>
      </c>
      <c r="AA71" s="9">
        <v>0.5</v>
      </c>
    </row>
    <row r="72" spans="1:27" ht="25.5">
      <c r="A72" s="2" t="s">
        <v>43</v>
      </c>
      <c r="C72" s="3" t="s">
        <v>1958</v>
      </c>
      <c r="D72" s="4">
        <v>10.64</v>
      </c>
      <c r="F72" s="3" t="s">
        <v>1955</v>
      </c>
      <c r="G72" s="4">
        <v>7.13</v>
      </c>
      <c r="J72" s="8"/>
      <c r="L72" s="1" t="s">
        <v>1900</v>
      </c>
      <c r="M72" s="1" t="s">
        <v>1856</v>
      </c>
      <c r="N72" s="1" t="s">
        <v>1774</v>
      </c>
      <c r="O72" s="1" t="str">
        <f t="shared" si="1"/>
        <v>Gross Turnover_IndlGPLIns_Self-occupation</v>
      </c>
      <c r="P72" s="6">
        <v>10000000</v>
      </c>
      <c r="Q72" s="6">
        <v>100000000</v>
      </c>
      <c r="R72" s="6">
        <v>0</v>
      </c>
      <c r="S72" s="6">
        <v>120</v>
      </c>
      <c r="T72" s="9">
        <v>0</v>
      </c>
      <c r="U72" s="9">
        <v>0</v>
      </c>
      <c r="V72" s="9">
        <v>0</v>
      </c>
      <c r="W72" s="9">
        <v>0.65</v>
      </c>
      <c r="X72" s="9">
        <v>0.55000000000000004</v>
      </c>
      <c r="Y72" s="9">
        <v>0</v>
      </c>
      <c r="Z72" s="9">
        <v>0</v>
      </c>
      <c r="AA72" s="9">
        <v>0.55000000000000004</v>
      </c>
    </row>
    <row r="73" spans="1:27" ht="25.5">
      <c r="A73" s="3" t="s">
        <v>1959</v>
      </c>
      <c r="C73" s="3" t="s">
        <v>1960</v>
      </c>
      <c r="D73" s="4">
        <v>7.13</v>
      </c>
      <c r="F73" s="3" t="s">
        <v>1956</v>
      </c>
      <c r="G73" s="4">
        <v>6.61</v>
      </c>
      <c r="J73" s="8"/>
      <c r="L73" s="1" t="s">
        <v>1900</v>
      </c>
      <c r="M73" s="1" t="s">
        <v>1860</v>
      </c>
      <c r="N73" s="1" t="s">
        <v>1774</v>
      </c>
      <c r="O73" s="1" t="str">
        <f t="shared" si="1"/>
        <v>Gross Turnover_IndlGPL_Self-occupation</v>
      </c>
      <c r="P73" s="6">
        <v>10000000</v>
      </c>
      <c r="Q73" s="6">
        <v>100000000</v>
      </c>
      <c r="R73" s="6">
        <v>0</v>
      </c>
      <c r="S73" s="6">
        <v>120</v>
      </c>
      <c r="T73" s="9">
        <v>0</v>
      </c>
      <c r="U73" s="9">
        <v>0</v>
      </c>
      <c r="V73" s="9">
        <v>0</v>
      </c>
      <c r="W73" s="9">
        <v>0.65</v>
      </c>
      <c r="X73" s="9">
        <v>0.55000000000000004</v>
      </c>
      <c r="Y73" s="9">
        <v>0</v>
      </c>
      <c r="Z73" s="9">
        <v>0</v>
      </c>
      <c r="AA73" s="9">
        <v>0.55000000000000004</v>
      </c>
    </row>
    <row r="74" spans="1:27" ht="25.5">
      <c r="A74" s="3" t="s">
        <v>1961</v>
      </c>
      <c r="C74" s="3" t="s">
        <v>1962</v>
      </c>
      <c r="D74" s="4">
        <v>7.51</v>
      </c>
      <c r="F74" s="3" t="s">
        <v>1957</v>
      </c>
      <c r="G74" s="4">
        <v>3</v>
      </c>
      <c r="J74" s="8"/>
      <c r="L74" s="1" t="s">
        <v>1900</v>
      </c>
      <c r="M74" s="1" t="s">
        <v>1864</v>
      </c>
      <c r="N74" s="1" t="s">
        <v>1774</v>
      </c>
      <c r="O74" s="1" t="str">
        <f t="shared" si="1"/>
        <v>Gross Turnover_IndlIns_Self-occupation</v>
      </c>
      <c r="P74" s="6">
        <v>10000000</v>
      </c>
      <c r="Q74" s="6">
        <v>100000000</v>
      </c>
      <c r="R74" s="6">
        <v>0</v>
      </c>
      <c r="S74" s="6">
        <v>120</v>
      </c>
      <c r="T74" s="9">
        <v>0</v>
      </c>
      <c r="U74" s="9">
        <v>0</v>
      </c>
      <c r="V74" s="9">
        <v>0</v>
      </c>
      <c r="W74" s="9">
        <v>0.65</v>
      </c>
      <c r="X74" s="9">
        <v>0.5</v>
      </c>
      <c r="Y74" s="9">
        <v>0</v>
      </c>
      <c r="Z74" s="9">
        <v>0</v>
      </c>
      <c r="AA74" s="9">
        <v>0.5</v>
      </c>
    </row>
    <row r="75" spans="1:27">
      <c r="A75" s="3" t="s">
        <v>1963</v>
      </c>
      <c r="C75" s="3" t="s">
        <v>1964</v>
      </c>
      <c r="D75" s="4">
        <v>7.57</v>
      </c>
      <c r="F75" s="3" t="s">
        <v>1958</v>
      </c>
      <c r="G75" s="4">
        <v>3</v>
      </c>
      <c r="J75" s="8"/>
      <c r="L75" s="1" t="s">
        <v>1900</v>
      </c>
      <c r="M75" s="1" t="s">
        <v>1852</v>
      </c>
      <c r="N75" s="1" t="s">
        <v>1787</v>
      </c>
      <c r="O75" s="1" t="str">
        <f t="shared" si="1"/>
        <v>Gross Turnover_Indl_Rent out</v>
      </c>
      <c r="P75" s="6">
        <v>10000000</v>
      </c>
      <c r="Q75" s="6">
        <v>100000000</v>
      </c>
      <c r="R75" s="6">
        <v>0</v>
      </c>
      <c r="S75" s="6">
        <v>120</v>
      </c>
      <c r="T75" s="9">
        <v>0</v>
      </c>
      <c r="U75" s="9">
        <v>0</v>
      </c>
      <c r="V75" s="9">
        <v>0</v>
      </c>
      <c r="W75" s="9">
        <v>0.65</v>
      </c>
      <c r="X75" s="9">
        <v>0.5</v>
      </c>
      <c r="Y75" s="9">
        <v>0</v>
      </c>
      <c r="Z75" s="9">
        <v>0</v>
      </c>
      <c r="AA75" s="9">
        <v>0.5</v>
      </c>
    </row>
    <row r="76" spans="1:27" ht="38.25">
      <c r="A76" s="3" t="s">
        <v>1965</v>
      </c>
      <c r="C76" s="3" t="s">
        <v>1966</v>
      </c>
      <c r="D76" s="4">
        <v>9.17</v>
      </c>
      <c r="F76" s="3" t="s">
        <v>1960</v>
      </c>
      <c r="G76" s="4">
        <v>3</v>
      </c>
      <c r="J76" s="8"/>
      <c r="L76" s="1" t="s">
        <v>1900</v>
      </c>
      <c r="M76" s="1" t="s">
        <v>1856</v>
      </c>
      <c r="N76" s="1" t="s">
        <v>1787</v>
      </c>
      <c r="O76" s="1" t="str">
        <f t="shared" si="1"/>
        <v>Gross Turnover_IndlGPLIns_Rent out</v>
      </c>
      <c r="P76" s="6">
        <v>10000000</v>
      </c>
      <c r="Q76" s="6">
        <v>100000000</v>
      </c>
      <c r="R76" s="6">
        <v>0</v>
      </c>
      <c r="S76" s="6">
        <v>120</v>
      </c>
      <c r="T76" s="9">
        <v>0</v>
      </c>
      <c r="U76" s="9">
        <v>0</v>
      </c>
      <c r="V76" s="9">
        <v>0</v>
      </c>
      <c r="W76" s="9">
        <v>0.65</v>
      </c>
      <c r="X76" s="9">
        <v>0.55000000000000004</v>
      </c>
      <c r="Y76" s="9">
        <v>0</v>
      </c>
      <c r="Z76" s="9">
        <v>0</v>
      </c>
      <c r="AA76" s="9">
        <v>0.55000000000000004</v>
      </c>
    </row>
    <row r="77" spans="1:27">
      <c r="A77" s="3" t="s">
        <v>1967</v>
      </c>
      <c r="C77" s="3" t="s">
        <v>1968</v>
      </c>
      <c r="D77" s="4">
        <v>9.25</v>
      </c>
      <c r="F77" s="3" t="s">
        <v>1962</v>
      </c>
      <c r="G77" s="4">
        <v>3</v>
      </c>
      <c r="J77" s="8"/>
      <c r="L77" s="1" t="s">
        <v>1900</v>
      </c>
      <c r="M77" s="1" t="s">
        <v>1860</v>
      </c>
      <c r="N77" s="1" t="s">
        <v>1787</v>
      </c>
      <c r="O77" s="1" t="str">
        <f t="shared" si="1"/>
        <v>Gross Turnover_IndlGPL_Rent out</v>
      </c>
      <c r="P77" s="6">
        <v>10000000</v>
      </c>
      <c r="Q77" s="6">
        <v>100000000</v>
      </c>
      <c r="R77" s="6">
        <v>0</v>
      </c>
      <c r="S77" s="6">
        <v>120</v>
      </c>
      <c r="T77" s="9">
        <v>0</v>
      </c>
      <c r="U77" s="9">
        <v>0</v>
      </c>
      <c r="V77" s="9">
        <v>0</v>
      </c>
      <c r="W77" s="9">
        <v>0.65</v>
      </c>
      <c r="X77" s="9">
        <v>0.55000000000000004</v>
      </c>
      <c r="Y77" s="9">
        <v>0</v>
      </c>
      <c r="Z77" s="9">
        <v>0</v>
      </c>
      <c r="AA77" s="9">
        <v>0.55000000000000004</v>
      </c>
    </row>
    <row r="78" spans="1:27">
      <c r="C78" s="3" t="s">
        <v>1969</v>
      </c>
      <c r="D78" s="4">
        <v>6.67</v>
      </c>
      <c r="F78" s="3" t="s">
        <v>1964</v>
      </c>
      <c r="G78" s="4">
        <v>3</v>
      </c>
      <c r="J78" s="8"/>
      <c r="L78" s="1" t="s">
        <v>1900</v>
      </c>
      <c r="M78" s="1" t="s">
        <v>1864</v>
      </c>
      <c r="N78" s="1" t="s">
        <v>1787</v>
      </c>
      <c r="O78" s="1" t="str">
        <f t="shared" si="1"/>
        <v>Gross Turnover_IndlIns_Rent out</v>
      </c>
      <c r="P78" s="6">
        <v>10000000</v>
      </c>
      <c r="Q78" s="6">
        <v>100000000</v>
      </c>
      <c r="R78" s="6">
        <v>0</v>
      </c>
      <c r="S78" s="6">
        <v>120</v>
      </c>
      <c r="T78" s="9">
        <v>0</v>
      </c>
      <c r="U78" s="9">
        <v>0</v>
      </c>
      <c r="V78" s="9">
        <v>0</v>
      </c>
      <c r="W78" s="9">
        <v>0.65</v>
      </c>
      <c r="X78" s="9">
        <v>0.5</v>
      </c>
      <c r="Y78" s="9">
        <v>0</v>
      </c>
      <c r="Z78" s="9">
        <v>0</v>
      </c>
      <c r="AA78" s="9">
        <v>0.5</v>
      </c>
    </row>
    <row r="79" spans="1:27" ht="38.25">
      <c r="C79" s="3" t="s">
        <v>1970</v>
      </c>
      <c r="D79" s="4">
        <v>6.67</v>
      </c>
      <c r="F79" s="3" t="s">
        <v>1966</v>
      </c>
      <c r="G79" s="4">
        <v>3</v>
      </c>
      <c r="J79" s="8"/>
      <c r="L79" s="1" t="s">
        <v>1900</v>
      </c>
      <c r="M79" s="1" t="s">
        <v>1852</v>
      </c>
      <c r="N79" s="1" t="s">
        <v>1799</v>
      </c>
      <c r="O79" s="1" t="str">
        <f t="shared" si="1"/>
        <v>Gross Turnover_Indl_Vacant / Investment</v>
      </c>
      <c r="P79" s="6">
        <v>10000000</v>
      </c>
      <c r="Q79" s="6">
        <v>100000000</v>
      </c>
      <c r="R79" s="6">
        <v>0</v>
      </c>
      <c r="S79" s="6">
        <v>120</v>
      </c>
      <c r="T79" s="9">
        <v>0</v>
      </c>
      <c r="U79" s="9">
        <v>0</v>
      </c>
      <c r="V79" s="9">
        <v>0</v>
      </c>
      <c r="W79" s="9">
        <v>0.65</v>
      </c>
      <c r="X79" s="9">
        <v>0.45</v>
      </c>
      <c r="Y79" s="9">
        <v>0</v>
      </c>
      <c r="Z79" s="9">
        <v>0</v>
      </c>
      <c r="AA79" s="9">
        <v>0.45</v>
      </c>
    </row>
    <row r="80" spans="1:27" ht="25.5">
      <c r="A80" s="2" t="s">
        <v>1971</v>
      </c>
      <c r="C80" s="3" t="s">
        <v>1972</v>
      </c>
      <c r="D80" s="4">
        <v>5</v>
      </c>
      <c r="F80" s="3" t="s">
        <v>1968</v>
      </c>
      <c r="G80" s="4">
        <v>3</v>
      </c>
      <c r="J80" s="8"/>
      <c r="L80" s="1" t="s">
        <v>1900</v>
      </c>
      <c r="M80" s="1" t="s">
        <v>1856</v>
      </c>
      <c r="N80" s="1" t="s">
        <v>1799</v>
      </c>
      <c r="O80" s="1" t="str">
        <f t="shared" si="1"/>
        <v>Gross Turnover_IndlGPLIns_Vacant / Investment</v>
      </c>
      <c r="P80" s="6">
        <v>1</v>
      </c>
      <c r="Q80" s="6">
        <v>0</v>
      </c>
      <c r="R80" s="6">
        <v>0</v>
      </c>
      <c r="S80" s="6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</row>
    <row r="81" spans="1:27" ht="25.5">
      <c r="A81" s="3" t="s">
        <v>1774</v>
      </c>
      <c r="C81" s="3" t="s">
        <v>1973</v>
      </c>
      <c r="D81" s="4">
        <v>8.06</v>
      </c>
      <c r="F81" s="3" t="s">
        <v>1974</v>
      </c>
      <c r="G81" s="4">
        <v>3</v>
      </c>
      <c r="J81" s="8"/>
      <c r="L81" s="1" t="s">
        <v>1900</v>
      </c>
      <c r="M81" s="1" t="s">
        <v>1860</v>
      </c>
      <c r="N81" s="1" t="s">
        <v>1799</v>
      </c>
      <c r="O81" s="1" t="str">
        <f t="shared" si="1"/>
        <v>Gross Turnover_IndlGPL_Vacant / Investment</v>
      </c>
      <c r="P81" s="6">
        <v>1</v>
      </c>
      <c r="Q81" s="6">
        <v>0</v>
      </c>
      <c r="R81" s="6">
        <v>0</v>
      </c>
      <c r="S81" s="6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</row>
    <row r="82" spans="1:27" ht="25.5">
      <c r="A82" s="3" t="s">
        <v>1787</v>
      </c>
      <c r="C82" s="3" t="s">
        <v>1975</v>
      </c>
      <c r="D82" s="4">
        <v>11.25</v>
      </c>
      <c r="F82" s="3" t="s">
        <v>1969</v>
      </c>
      <c r="G82" s="4">
        <v>3</v>
      </c>
      <c r="J82" s="8"/>
      <c r="L82" s="1" t="s">
        <v>1900</v>
      </c>
      <c r="M82" s="1" t="s">
        <v>1864</v>
      </c>
      <c r="N82" s="1" t="s">
        <v>1799</v>
      </c>
      <c r="O82" s="1" t="str">
        <f t="shared" si="1"/>
        <v>Gross Turnover_IndlIns_Vacant / Investment</v>
      </c>
      <c r="P82" s="6">
        <v>10000000</v>
      </c>
      <c r="Q82" s="6">
        <v>100000000</v>
      </c>
      <c r="R82" s="6">
        <v>0</v>
      </c>
      <c r="S82" s="6">
        <v>120</v>
      </c>
      <c r="T82" s="9">
        <v>0</v>
      </c>
      <c r="U82" s="9">
        <v>0</v>
      </c>
      <c r="V82" s="9">
        <v>0</v>
      </c>
      <c r="W82" s="9">
        <v>0.65</v>
      </c>
      <c r="X82" s="9">
        <v>0.45</v>
      </c>
      <c r="Y82" s="9">
        <v>0</v>
      </c>
      <c r="Z82" s="9">
        <v>0</v>
      </c>
      <c r="AA82" s="9">
        <v>0.45</v>
      </c>
    </row>
    <row r="83" spans="1:27">
      <c r="A83" s="3" t="s">
        <v>1799</v>
      </c>
      <c r="C83" s="3" t="s">
        <v>1976</v>
      </c>
      <c r="D83" s="4">
        <v>11.25</v>
      </c>
      <c r="F83" s="3" t="s">
        <v>1970</v>
      </c>
      <c r="G83" s="4">
        <v>3</v>
      </c>
      <c r="J83" s="8"/>
      <c r="L83" s="1" t="s">
        <v>1900</v>
      </c>
      <c r="M83" s="1" t="s">
        <v>1890</v>
      </c>
      <c r="N83" s="1" t="s">
        <v>1774</v>
      </c>
      <c r="O83" s="1" t="str">
        <f t="shared" si="1"/>
        <v>Gross Turnover_GPL_Self-occupation</v>
      </c>
      <c r="P83" s="6">
        <v>1</v>
      </c>
      <c r="Q83" s="6">
        <v>4000000</v>
      </c>
      <c r="R83" s="6">
        <v>84</v>
      </c>
      <c r="S83" s="6">
        <v>120</v>
      </c>
      <c r="T83" s="9">
        <v>0.65</v>
      </c>
      <c r="U83" s="9">
        <v>0.67500000000000004</v>
      </c>
      <c r="V83" s="9">
        <v>0.7</v>
      </c>
      <c r="W83" s="9">
        <v>0.75</v>
      </c>
      <c r="X83" s="9">
        <v>0.1</v>
      </c>
      <c r="Y83" s="9">
        <v>0.1</v>
      </c>
      <c r="Z83" s="9">
        <v>0.1</v>
      </c>
      <c r="AA83" s="9">
        <v>0.1</v>
      </c>
    </row>
    <row r="84" spans="1:27" ht="25.5">
      <c r="C84" s="3" t="s">
        <v>1977</v>
      </c>
      <c r="D84" s="4">
        <v>11.58</v>
      </c>
      <c r="F84" s="3" t="s">
        <v>1972</v>
      </c>
      <c r="G84" s="4">
        <v>3</v>
      </c>
      <c r="J84" s="8"/>
      <c r="L84" s="1" t="s">
        <v>1900</v>
      </c>
      <c r="M84" s="1" t="s">
        <v>1893</v>
      </c>
      <c r="N84" s="1" t="s">
        <v>1774</v>
      </c>
      <c r="O84" s="1" t="str">
        <f t="shared" si="1"/>
        <v>Gross Turnover_GPLIns_Self-occupation</v>
      </c>
      <c r="P84" s="6">
        <v>1</v>
      </c>
      <c r="Q84" s="6">
        <v>4000000</v>
      </c>
      <c r="R84" s="6">
        <v>84</v>
      </c>
      <c r="S84" s="6">
        <v>120</v>
      </c>
      <c r="T84" s="9">
        <v>0.65</v>
      </c>
      <c r="U84" s="9">
        <v>0.67500000000000004</v>
      </c>
      <c r="V84" s="9">
        <v>0.7</v>
      </c>
      <c r="W84" s="9">
        <v>0.75</v>
      </c>
      <c r="X84" s="9">
        <v>0.1</v>
      </c>
      <c r="Y84" s="9">
        <v>0.1</v>
      </c>
      <c r="Z84" s="9">
        <v>0.1</v>
      </c>
      <c r="AA84" s="9">
        <v>0.1</v>
      </c>
    </row>
    <row r="85" spans="1:27" ht="25.5">
      <c r="C85" s="3" t="s">
        <v>1978</v>
      </c>
      <c r="D85" s="4">
        <v>7.74</v>
      </c>
      <c r="F85" s="3" t="s">
        <v>1973</v>
      </c>
      <c r="G85" s="4">
        <v>3.84</v>
      </c>
      <c r="J85" s="8"/>
      <c r="L85" s="1" t="s">
        <v>1900</v>
      </c>
      <c r="M85" s="1" t="s">
        <v>1897</v>
      </c>
      <c r="N85" s="1" t="s">
        <v>1774</v>
      </c>
      <c r="O85" s="1" t="str">
        <f t="shared" si="1"/>
        <v>Gross Turnover_Ins_Self-occupation</v>
      </c>
      <c r="P85" s="6">
        <v>1</v>
      </c>
      <c r="Q85" s="6">
        <v>25000000</v>
      </c>
      <c r="R85" s="6">
        <v>240</v>
      </c>
      <c r="S85" s="6">
        <v>240</v>
      </c>
      <c r="T85" s="9">
        <v>0.65</v>
      </c>
      <c r="U85" s="9">
        <v>0.67500000000000004</v>
      </c>
      <c r="V85" s="9">
        <v>0.7</v>
      </c>
      <c r="W85" s="9">
        <v>0.75</v>
      </c>
      <c r="X85" s="9">
        <v>0.05</v>
      </c>
      <c r="Y85" s="9">
        <v>0.05</v>
      </c>
      <c r="Z85" s="9">
        <v>0.05</v>
      </c>
      <c r="AA85" s="9">
        <v>0.05</v>
      </c>
    </row>
    <row r="86" spans="1:27">
      <c r="C86" s="3" t="s">
        <v>1979</v>
      </c>
      <c r="D86" s="4">
        <v>6.7</v>
      </c>
      <c r="F86" s="3" t="s">
        <v>1975</v>
      </c>
      <c r="G86" s="4">
        <v>3.84</v>
      </c>
      <c r="J86" s="8"/>
      <c r="L86" s="1" t="s">
        <v>1900</v>
      </c>
      <c r="M86" s="1" t="s">
        <v>1890</v>
      </c>
      <c r="N86" s="1" t="s">
        <v>1787</v>
      </c>
      <c r="O86" s="1" t="str">
        <f t="shared" si="1"/>
        <v>Gross Turnover_GPL_Rent out</v>
      </c>
      <c r="P86" s="6">
        <v>1</v>
      </c>
      <c r="Q86" s="6">
        <v>4000000</v>
      </c>
      <c r="R86" s="6">
        <v>84</v>
      </c>
      <c r="S86" s="6">
        <v>120</v>
      </c>
      <c r="T86" s="9">
        <v>0.65</v>
      </c>
      <c r="U86" s="9">
        <v>0.67500000000000004</v>
      </c>
      <c r="V86" s="9">
        <v>0.7</v>
      </c>
      <c r="W86" s="9">
        <v>0.75</v>
      </c>
      <c r="X86" s="9">
        <v>0.1</v>
      </c>
      <c r="Y86" s="9">
        <v>0.1</v>
      </c>
      <c r="Z86" s="9">
        <v>0.1</v>
      </c>
      <c r="AA86" s="9">
        <v>0.1</v>
      </c>
    </row>
    <row r="87" spans="1:27">
      <c r="C87" s="3" t="s">
        <v>1980</v>
      </c>
      <c r="D87" s="4">
        <v>7.61</v>
      </c>
      <c r="F87" s="3" t="s">
        <v>1976</v>
      </c>
      <c r="G87" s="4">
        <v>3.84</v>
      </c>
      <c r="J87" s="8"/>
      <c r="L87" s="1" t="s">
        <v>1900</v>
      </c>
      <c r="M87" s="1" t="s">
        <v>1893</v>
      </c>
      <c r="N87" s="1" t="s">
        <v>1787</v>
      </c>
      <c r="O87" s="1" t="str">
        <f t="shared" si="1"/>
        <v>Gross Turnover_GPLIns_Rent out</v>
      </c>
      <c r="P87" s="6">
        <v>1</v>
      </c>
      <c r="Q87" s="6">
        <v>4000000</v>
      </c>
      <c r="R87" s="6">
        <v>84</v>
      </c>
      <c r="S87" s="6">
        <v>120</v>
      </c>
      <c r="T87" s="9">
        <v>0.65</v>
      </c>
      <c r="U87" s="9">
        <v>0.67500000000000004</v>
      </c>
      <c r="V87" s="9">
        <v>0.7</v>
      </c>
      <c r="W87" s="9">
        <v>0.75</v>
      </c>
      <c r="X87" s="9">
        <v>0.1</v>
      </c>
      <c r="Y87" s="9">
        <v>0.1</v>
      </c>
      <c r="Z87" s="9">
        <v>0.1</v>
      </c>
      <c r="AA87" s="9">
        <v>0.1</v>
      </c>
    </row>
    <row r="88" spans="1:27">
      <c r="A88" s="2" t="s">
        <v>1981</v>
      </c>
      <c r="C88" s="3" t="s">
        <v>1982</v>
      </c>
      <c r="D88" s="4">
        <v>12.07</v>
      </c>
      <c r="F88" s="3" t="s">
        <v>1977</v>
      </c>
      <c r="G88" s="4">
        <v>11.58</v>
      </c>
      <c r="J88" s="8"/>
      <c r="L88" s="1" t="s">
        <v>1900</v>
      </c>
      <c r="M88" s="1" t="s">
        <v>1897</v>
      </c>
      <c r="N88" s="1" t="s">
        <v>1787</v>
      </c>
      <c r="O88" s="1" t="str">
        <f t="shared" si="1"/>
        <v>Gross Turnover_Ins_Rent out</v>
      </c>
      <c r="P88" s="6">
        <v>1</v>
      </c>
      <c r="Q88" s="6">
        <v>25000000</v>
      </c>
      <c r="R88" s="6">
        <v>240</v>
      </c>
      <c r="S88" s="6">
        <v>240</v>
      </c>
      <c r="T88" s="9">
        <v>0.65</v>
      </c>
      <c r="U88" s="9">
        <v>0.67500000000000004</v>
      </c>
      <c r="V88" s="9">
        <v>0.7</v>
      </c>
      <c r="W88" s="9">
        <v>0.75</v>
      </c>
      <c r="X88" s="9">
        <v>0.05</v>
      </c>
      <c r="Y88" s="9">
        <v>0.05</v>
      </c>
      <c r="Z88" s="9">
        <v>0.05</v>
      </c>
      <c r="AA88" s="9">
        <v>0.05</v>
      </c>
    </row>
    <row r="89" spans="1:27" ht="25.5">
      <c r="A89" s="3" t="s">
        <v>1983</v>
      </c>
      <c r="C89" s="3" t="s">
        <v>1984</v>
      </c>
      <c r="D89" s="4">
        <v>7.1</v>
      </c>
      <c r="F89" s="3" t="s">
        <v>1985</v>
      </c>
      <c r="G89" s="4">
        <v>5.04</v>
      </c>
      <c r="J89" s="8"/>
      <c r="L89" s="1" t="s">
        <v>1900</v>
      </c>
      <c r="M89" s="1" t="s">
        <v>1890</v>
      </c>
      <c r="N89" s="1" t="s">
        <v>1799</v>
      </c>
      <c r="O89" s="1" t="str">
        <f t="shared" si="1"/>
        <v>Gross Turnover_GPL_Vacant / Investment</v>
      </c>
      <c r="P89" s="6">
        <v>1</v>
      </c>
      <c r="Q89" s="6">
        <v>4000000</v>
      </c>
      <c r="R89" s="6">
        <v>84</v>
      </c>
      <c r="S89" s="6">
        <v>120</v>
      </c>
      <c r="T89" s="9">
        <v>0.65</v>
      </c>
      <c r="U89" s="9">
        <v>0.67500000000000004</v>
      </c>
      <c r="V89" s="9">
        <v>0.7</v>
      </c>
      <c r="W89" s="9">
        <v>0.75</v>
      </c>
      <c r="X89" s="9">
        <v>0.1</v>
      </c>
      <c r="Y89" s="9">
        <v>0.1</v>
      </c>
      <c r="Z89" s="9">
        <v>0.1</v>
      </c>
      <c r="AA89" s="9">
        <v>0.1</v>
      </c>
    </row>
    <row r="90" spans="1:27" ht="25.5">
      <c r="A90" s="3" t="s">
        <v>1986</v>
      </c>
      <c r="C90" s="3" t="s">
        <v>1987</v>
      </c>
      <c r="D90" s="4">
        <v>5.0599999999999996</v>
      </c>
      <c r="F90" s="3" t="s">
        <v>1979</v>
      </c>
      <c r="G90" s="4">
        <v>6.7</v>
      </c>
      <c r="J90" s="8"/>
      <c r="L90" s="1" t="s">
        <v>1900</v>
      </c>
      <c r="M90" s="1" t="s">
        <v>1893</v>
      </c>
      <c r="N90" s="1" t="s">
        <v>1799</v>
      </c>
      <c r="O90" s="1" t="str">
        <f t="shared" si="1"/>
        <v>Gross Turnover_GPLIns_Vacant / Investment</v>
      </c>
      <c r="P90" s="6">
        <v>1</v>
      </c>
      <c r="Q90" s="6">
        <v>4000000</v>
      </c>
      <c r="R90" s="6">
        <v>84</v>
      </c>
      <c r="S90" s="6">
        <v>120</v>
      </c>
      <c r="T90" s="9">
        <v>0.65</v>
      </c>
      <c r="U90" s="9">
        <v>0.67500000000000004</v>
      </c>
      <c r="V90" s="9">
        <v>0.7</v>
      </c>
      <c r="W90" s="9">
        <v>0.75</v>
      </c>
      <c r="X90" s="9">
        <v>0.1</v>
      </c>
      <c r="Y90" s="9">
        <v>0.1</v>
      </c>
      <c r="Z90" s="9">
        <v>0.1</v>
      </c>
      <c r="AA90" s="9">
        <v>0.1</v>
      </c>
    </row>
    <row r="91" spans="1:27" ht="25.5">
      <c r="A91" s="3" t="s">
        <v>1988</v>
      </c>
      <c r="C91" s="3" t="s">
        <v>1989</v>
      </c>
      <c r="D91" s="4">
        <v>5.98</v>
      </c>
      <c r="F91" s="3" t="s">
        <v>1980</v>
      </c>
      <c r="G91" s="4">
        <v>7.61</v>
      </c>
      <c r="J91" s="8"/>
      <c r="L91" s="1" t="s">
        <v>1900</v>
      </c>
      <c r="M91" s="1" t="s">
        <v>1897</v>
      </c>
      <c r="N91" s="1" t="s">
        <v>1799</v>
      </c>
      <c r="O91" s="1" t="str">
        <f t="shared" si="1"/>
        <v>Gross Turnover_Ins_Vacant / Investment</v>
      </c>
      <c r="P91" s="6">
        <v>1</v>
      </c>
      <c r="Q91" s="6">
        <v>25000000</v>
      </c>
      <c r="R91" s="6">
        <v>240</v>
      </c>
      <c r="S91" s="6">
        <v>240</v>
      </c>
      <c r="T91" s="9">
        <v>0.65</v>
      </c>
      <c r="U91" s="9">
        <v>0.67500000000000004</v>
      </c>
      <c r="V91" s="9">
        <v>0.7</v>
      </c>
      <c r="W91" s="9">
        <v>0.75</v>
      </c>
      <c r="X91" s="9">
        <v>0.05</v>
      </c>
      <c r="Y91" s="9">
        <v>0.05</v>
      </c>
      <c r="Z91" s="9">
        <v>0.05</v>
      </c>
      <c r="AA91" s="9">
        <v>0.05</v>
      </c>
    </row>
    <row r="92" spans="1:27">
      <c r="A92" s="3" t="s">
        <v>1990</v>
      </c>
      <c r="C92" s="3" t="s">
        <v>1991</v>
      </c>
      <c r="D92" s="4">
        <v>8.24</v>
      </c>
      <c r="F92" s="3" t="s">
        <v>1984</v>
      </c>
      <c r="G92" s="4">
        <v>7.1</v>
      </c>
      <c r="J92" s="8"/>
      <c r="L92" s="1" t="s">
        <v>1903</v>
      </c>
      <c r="M92" s="1" t="s">
        <v>1773</v>
      </c>
      <c r="N92" s="1" t="s">
        <v>1774</v>
      </c>
      <c r="O92" s="1" t="str">
        <f t="shared" si="1"/>
        <v>Gross Receipts_HL_Self-occupation</v>
      </c>
      <c r="P92" s="6">
        <v>1</v>
      </c>
      <c r="Q92" s="6">
        <v>100000000</v>
      </c>
      <c r="R92" s="6">
        <v>240</v>
      </c>
      <c r="S92" s="6">
        <v>240</v>
      </c>
      <c r="T92" s="9">
        <v>0.65</v>
      </c>
      <c r="U92" s="9">
        <v>0.67500000000000004</v>
      </c>
      <c r="V92" s="9">
        <v>0.7</v>
      </c>
      <c r="W92" s="9">
        <v>0.75</v>
      </c>
      <c r="X92" s="9">
        <v>0.9</v>
      </c>
      <c r="Y92" s="9">
        <v>0.9</v>
      </c>
      <c r="Z92" s="9">
        <v>0.9</v>
      </c>
      <c r="AA92" s="9">
        <v>0.9</v>
      </c>
    </row>
    <row r="93" spans="1:27" ht="25.5">
      <c r="A93" s="3" t="s">
        <v>1992</v>
      </c>
      <c r="C93" s="3" t="s">
        <v>1993</v>
      </c>
      <c r="D93" s="4">
        <v>9.4499999999999993</v>
      </c>
      <c r="F93" s="3" t="s">
        <v>1987</v>
      </c>
      <c r="G93" s="4">
        <v>5.0599999999999996</v>
      </c>
      <c r="J93" s="8"/>
      <c r="L93" s="1" t="s">
        <v>1903</v>
      </c>
      <c r="M93" s="1" t="s">
        <v>1777</v>
      </c>
      <c r="N93" s="1" t="s">
        <v>1774</v>
      </c>
      <c r="O93" s="1" t="str">
        <f t="shared" si="1"/>
        <v>Gross Receipts_HLGPLIns_Self-occupation</v>
      </c>
      <c r="P93" s="6">
        <v>1</v>
      </c>
      <c r="Q93" s="6">
        <v>100000000</v>
      </c>
      <c r="R93" s="6">
        <v>240</v>
      </c>
      <c r="S93" s="6">
        <v>240</v>
      </c>
      <c r="T93" s="9">
        <v>0.65</v>
      </c>
      <c r="U93" s="9">
        <v>0.67500000000000004</v>
      </c>
      <c r="V93" s="9">
        <v>0.7</v>
      </c>
      <c r="W93" s="9">
        <v>0.75</v>
      </c>
      <c r="X93" s="9">
        <v>0.9</v>
      </c>
      <c r="Y93" s="9">
        <v>0.9</v>
      </c>
      <c r="Z93" s="9">
        <v>0.9</v>
      </c>
      <c r="AA93" s="9">
        <v>0.9</v>
      </c>
    </row>
    <row r="94" spans="1:27" ht="25.5">
      <c r="A94" s="3" t="s">
        <v>1994</v>
      </c>
      <c r="C94" s="3" t="s">
        <v>1995</v>
      </c>
      <c r="D94" s="4">
        <v>9.01</v>
      </c>
      <c r="F94" s="3" t="s">
        <v>1989</v>
      </c>
      <c r="G94" s="4">
        <v>5.98</v>
      </c>
      <c r="J94" s="8"/>
      <c r="L94" s="1" t="s">
        <v>1903</v>
      </c>
      <c r="M94" s="1" t="s">
        <v>1780</v>
      </c>
      <c r="N94" s="1" t="s">
        <v>1774</v>
      </c>
      <c r="O94" s="1" t="str">
        <f t="shared" si="1"/>
        <v>Gross Receipts_HLGPL_Self-occupation</v>
      </c>
      <c r="P94" s="6">
        <v>1</v>
      </c>
      <c r="Q94" s="6">
        <v>100000000</v>
      </c>
      <c r="R94" s="6">
        <v>240</v>
      </c>
      <c r="S94" s="6">
        <v>240</v>
      </c>
      <c r="T94" s="9">
        <v>0.65</v>
      </c>
      <c r="U94" s="9">
        <v>0.67500000000000004</v>
      </c>
      <c r="V94" s="9">
        <v>0.7</v>
      </c>
      <c r="W94" s="9">
        <v>0.75</v>
      </c>
      <c r="X94" s="9">
        <v>0.9</v>
      </c>
      <c r="Y94" s="9">
        <v>0.9</v>
      </c>
      <c r="Z94" s="9">
        <v>0.9</v>
      </c>
      <c r="AA94" s="9">
        <v>0.9</v>
      </c>
    </row>
    <row r="95" spans="1:27" ht="25.5">
      <c r="A95" s="3" t="s">
        <v>1996</v>
      </c>
      <c r="C95" s="3" t="s">
        <v>1997</v>
      </c>
      <c r="D95" s="4">
        <v>12.03</v>
      </c>
      <c r="F95" s="3" t="s">
        <v>1991</v>
      </c>
      <c r="G95" s="4">
        <v>8.24</v>
      </c>
      <c r="J95" s="8"/>
      <c r="L95" s="1" t="s">
        <v>1903</v>
      </c>
      <c r="M95" s="1" t="s">
        <v>1783</v>
      </c>
      <c r="N95" s="1" t="s">
        <v>1774</v>
      </c>
      <c r="O95" s="1" t="str">
        <f t="shared" si="1"/>
        <v>Gross Receipts_HLIns_Self-occupation</v>
      </c>
      <c r="P95" s="6">
        <v>1</v>
      </c>
      <c r="Q95" s="6">
        <v>100000000</v>
      </c>
      <c r="R95" s="6">
        <v>240</v>
      </c>
      <c r="S95" s="6">
        <v>240</v>
      </c>
      <c r="T95" s="9">
        <v>0.65</v>
      </c>
      <c r="U95" s="9">
        <v>0.67500000000000004</v>
      </c>
      <c r="V95" s="9">
        <v>0.7</v>
      </c>
      <c r="W95" s="9">
        <v>0.75</v>
      </c>
      <c r="X95" s="9">
        <v>0.9</v>
      </c>
      <c r="Y95" s="9">
        <v>0.9</v>
      </c>
      <c r="Z95" s="9">
        <v>0.9</v>
      </c>
      <c r="AA95" s="9">
        <v>0.9</v>
      </c>
    </row>
    <row r="96" spans="1:27" ht="38.25">
      <c r="A96" s="3" t="s">
        <v>1998</v>
      </c>
      <c r="C96" s="3" t="s">
        <v>1892</v>
      </c>
      <c r="D96" s="4">
        <v>12.8</v>
      </c>
      <c r="F96" s="3" t="s">
        <v>1993</v>
      </c>
      <c r="G96" s="4">
        <v>9.4499999999999993</v>
      </c>
      <c r="J96" s="8"/>
      <c r="L96" s="1" t="s">
        <v>1903</v>
      </c>
      <c r="M96" s="1" t="s">
        <v>1773</v>
      </c>
      <c r="N96" s="1" t="s">
        <v>1787</v>
      </c>
      <c r="O96" s="1" t="str">
        <f t="shared" si="1"/>
        <v>Gross Receipts_HL_Rent out</v>
      </c>
      <c r="P96" s="6">
        <v>1</v>
      </c>
      <c r="Q96" s="6">
        <v>100000000</v>
      </c>
      <c r="R96" s="6">
        <v>240</v>
      </c>
      <c r="S96" s="6">
        <v>240</v>
      </c>
      <c r="T96" s="9">
        <v>0.65</v>
      </c>
      <c r="U96" s="9">
        <v>0.67500000000000004</v>
      </c>
      <c r="V96" s="9">
        <v>0.7</v>
      </c>
      <c r="W96" s="9">
        <v>0.75</v>
      </c>
      <c r="X96" s="9">
        <v>0.9</v>
      </c>
      <c r="Y96" s="9">
        <v>0.9</v>
      </c>
      <c r="Z96" s="9">
        <v>0.9</v>
      </c>
      <c r="AA96" s="9">
        <v>0.9</v>
      </c>
    </row>
    <row r="97" spans="1:27">
      <c r="A97" s="3" t="s">
        <v>1999</v>
      </c>
      <c r="C97" s="3" t="s">
        <v>2000</v>
      </c>
      <c r="D97" s="4">
        <v>8.6999999999999993</v>
      </c>
      <c r="F97" s="3" t="s">
        <v>1995</v>
      </c>
      <c r="G97" s="4">
        <v>9.01</v>
      </c>
      <c r="J97" s="8"/>
      <c r="L97" s="1" t="s">
        <v>1903</v>
      </c>
      <c r="M97" s="1" t="s">
        <v>1777</v>
      </c>
      <c r="N97" s="1" t="s">
        <v>1787</v>
      </c>
      <c r="O97" s="1" t="str">
        <f t="shared" si="1"/>
        <v>Gross Receipts_HLGPLIns_Rent out</v>
      </c>
      <c r="P97" s="6">
        <v>1</v>
      </c>
      <c r="Q97" s="6">
        <v>100000000</v>
      </c>
      <c r="R97" s="6">
        <v>240</v>
      </c>
      <c r="S97" s="6">
        <v>240</v>
      </c>
      <c r="T97" s="9">
        <v>0.65</v>
      </c>
      <c r="U97" s="9">
        <v>0.67500000000000004</v>
      </c>
      <c r="V97" s="9">
        <v>0.7</v>
      </c>
      <c r="W97" s="9">
        <v>0.75</v>
      </c>
      <c r="X97" s="9">
        <v>0.9</v>
      </c>
      <c r="Y97" s="9">
        <v>0.9</v>
      </c>
      <c r="Z97" s="9">
        <v>0.9</v>
      </c>
      <c r="AA97" s="9">
        <v>0.9</v>
      </c>
    </row>
    <row r="98" spans="1:27" ht="25.5">
      <c r="A98" s="3" t="s">
        <v>2001</v>
      </c>
      <c r="C98" s="3" t="s">
        <v>2002</v>
      </c>
      <c r="D98" s="4">
        <v>5.26</v>
      </c>
      <c r="F98" s="3" t="s">
        <v>2003</v>
      </c>
      <c r="G98" s="4">
        <v>2.2599999999999998</v>
      </c>
      <c r="J98" s="8"/>
      <c r="L98" s="1" t="s">
        <v>1903</v>
      </c>
      <c r="M98" s="1" t="s">
        <v>1780</v>
      </c>
      <c r="N98" s="1" t="s">
        <v>1787</v>
      </c>
      <c r="O98" s="1" t="str">
        <f t="shared" si="1"/>
        <v>Gross Receipts_HLGPL_Rent out</v>
      </c>
      <c r="P98" s="6">
        <v>1</v>
      </c>
      <c r="Q98" s="6">
        <v>100000000</v>
      </c>
      <c r="R98" s="6">
        <v>240</v>
      </c>
      <c r="S98" s="6">
        <v>240</v>
      </c>
      <c r="T98" s="9">
        <v>0.65</v>
      </c>
      <c r="U98" s="9">
        <v>0.67500000000000004</v>
      </c>
      <c r="V98" s="9">
        <v>0.7</v>
      </c>
      <c r="W98" s="9">
        <v>0.75</v>
      </c>
      <c r="X98" s="9">
        <v>0.9</v>
      </c>
      <c r="Y98" s="9">
        <v>0.9</v>
      </c>
      <c r="Z98" s="9">
        <v>0.9</v>
      </c>
      <c r="AA98" s="9">
        <v>0.9</v>
      </c>
    </row>
    <row r="99" spans="1:27">
      <c r="A99" s="3" t="s">
        <v>2004</v>
      </c>
      <c r="C99" s="3" t="s">
        <v>2005</v>
      </c>
      <c r="D99" s="4">
        <v>12.67</v>
      </c>
      <c r="F99" s="3" t="s">
        <v>1997</v>
      </c>
      <c r="G99" s="4">
        <v>12.03</v>
      </c>
      <c r="J99" s="8"/>
      <c r="L99" s="1" t="s">
        <v>1903</v>
      </c>
      <c r="M99" s="1" t="s">
        <v>1783</v>
      </c>
      <c r="N99" s="1" t="s">
        <v>1787</v>
      </c>
      <c r="O99" s="1" t="str">
        <f t="shared" si="1"/>
        <v>Gross Receipts_HLIns_Rent out</v>
      </c>
      <c r="P99" s="6">
        <v>1</v>
      </c>
      <c r="Q99" s="6">
        <v>100000000</v>
      </c>
      <c r="R99" s="6">
        <v>240</v>
      </c>
      <c r="S99" s="6">
        <v>240</v>
      </c>
      <c r="T99" s="9">
        <v>0.65</v>
      </c>
      <c r="U99" s="9">
        <v>0.67500000000000004</v>
      </c>
      <c r="V99" s="9">
        <v>0.7</v>
      </c>
      <c r="W99" s="9">
        <v>0.75</v>
      </c>
      <c r="X99" s="9">
        <v>0.9</v>
      </c>
      <c r="Y99" s="9">
        <v>0.9</v>
      </c>
      <c r="Z99" s="9">
        <v>0.9</v>
      </c>
      <c r="AA99" s="9">
        <v>0.9</v>
      </c>
    </row>
    <row r="100" spans="1:27" ht="25.5">
      <c r="A100" s="3" t="s">
        <v>2006</v>
      </c>
      <c r="C100" s="3" t="s">
        <v>2007</v>
      </c>
      <c r="D100" s="4">
        <v>15.87</v>
      </c>
      <c r="F100" s="3" t="s">
        <v>2000</v>
      </c>
      <c r="G100" s="4">
        <v>8.6999999999999993</v>
      </c>
      <c r="J100" s="8"/>
      <c r="L100" s="1" t="s">
        <v>1903</v>
      </c>
      <c r="M100" s="1" t="s">
        <v>1773</v>
      </c>
      <c r="N100" s="1" t="s">
        <v>1799</v>
      </c>
      <c r="O100" s="1" t="str">
        <f t="shared" si="1"/>
        <v>Gross Receipts_HL_Vacant / Investment</v>
      </c>
      <c r="P100" s="6">
        <v>1</v>
      </c>
      <c r="Q100" s="6">
        <v>100000000</v>
      </c>
      <c r="R100" s="6">
        <v>240</v>
      </c>
      <c r="S100" s="6">
        <v>240</v>
      </c>
      <c r="T100" s="9">
        <v>0.65</v>
      </c>
      <c r="U100" s="9">
        <v>0.67500000000000004</v>
      </c>
      <c r="V100" s="9">
        <v>0.7</v>
      </c>
      <c r="W100" s="9">
        <v>0.75</v>
      </c>
      <c r="X100" s="9">
        <v>0.85</v>
      </c>
      <c r="Y100" s="9">
        <v>0.85</v>
      </c>
      <c r="Z100" s="9">
        <v>0.85</v>
      </c>
      <c r="AA100" s="9">
        <v>0.85</v>
      </c>
    </row>
    <row r="101" spans="1:27" ht="25.5">
      <c r="A101" s="3" t="s">
        <v>2008</v>
      </c>
      <c r="C101" s="3" t="s">
        <v>2009</v>
      </c>
      <c r="D101" s="4">
        <v>4.63</v>
      </c>
      <c r="F101" s="3" t="s">
        <v>2002</v>
      </c>
      <c r="G101" s="4">
        <v>5.26</v>
      </c>
      <c r="J101" s="8"/>
      <c r="L101" s="1" t="s">
        <v>1903</v>
      </c>
      <c r="M101" s="1" t="s">
        <v>1777</v>
      </c>
      <c r="N101" s="1" t="s">
        <v>1799</v>
      </c>
      <c r="O101" s="1" t="str">
        <f t="shared" si="1"/>
        <v>Gross Receipts_HLGPLIns_Vacant / Investment</v>
      </c>
      <c r="P101" s="6">
        <v>1</v>
      </c>
      <c r="Q101" s="6">
        <v>100000000</v>
      </c>
      <c r="R101" s="6">
        <v>240</v>
      </c>
      <c r="S101" s="6">
        <v>240</v>
      </c>
      <c r="T101" s="9">
        <v>0.65</v>
      </c>
      <c r="U101" s="9">
        <v>0.67500000000000004</v>
      </c>
      <c r="V101" s="9">
        <v>0.7</v>
      </c>
      <c r="W101" s="9">
        <v>0.75</v>
      </c>
      <c r="X101" s="9">
        <v>0.85</v>
      </c>
      <c r="Y101" s="9">
        <v>0.85</v>
      </c>
      <c r="Z101" s="9">
        <v>0.85</v>
      </c>
      <c r="AA101" s="9">
        <v>0.85</v>
      </c>
    </row>
    <row r="102" spans="1:27" ht="25.5">
      <c r="A102" s="3" t="s">
        <v>2010</v>
      </c>
      <c r="C102" s="3" t="s">
        <v>2011</v>
      </c>
      <c r="D102" s="4">
        <v>8.6999999999999993</v>
      </c>
      <c r="F102" s="3" t="s">
        <v>2005</v>
      </c>
      <c r="G102" s="4">
        <v>12.67</v>
      </c>
      <c r="J102" s="8"/>
      <c r="L102" s="1" t="s">
        <v>1903</v>
      </c>
      <c r="M102" s="1" t="s">
        <v>1780</v>
      </c>
      <c r="N102" s="1" t="s">
        <v>1799</v>
      </c>
      <c r="O102" s="1" t="str">
        <f t="shared" si="1"/>
        <v>Gross Receipts_HLGPL_Vacant / Investment</v>
      </c>
      <c r="P102" s="6">
        <v>1</v>
      </c>
      <c r="Q102" s="6">
        <v>100000000</v>
      </c>
      <c r="R102" s="6">
        <v>240</v>
      </c>
      <c r="S102" s="6">
        <v>240</v>
      </c>
      <c r="T102" s="9">
        <v>0.65</v>
      </c>
      <c r="U102" s="9">
        <v>0.67500000000000004</v>
      </c>
      <c r="V102" s="9">
        <v>0.7</v>
      </c>
      <c r="W102" s="9">
        <v>0.75</v>
      </c>
      <c r="X102" s="9">
        <v>0.85</v>
      </c>
      <c r="Y102" s="9">
        <v>0.85</v>
      </c>
      <c r="Z102" s="9">
        <v>0.85</v>
      </c>
      <c r="AA102" s="9">
        <v>0.85</v>
      </c>
    </row>
    <row r="103" spans="1:27" ht="38.25">
      <c r="A103" s="3" t="s">
        <v>2012</v>
      </c>
      <c r="C103" s="3" t="s">
        <v>2013</v>
      </c>
      <c r="D103" s="4">
        <v>9.26</v>
      </c>
      <c r="F103" s="3" t="s">
        <v>2007</v>
      </c>
      <c r="G103" s="4">
        <v>15.87</v>
      </c>
      <c r="J103" s="8"/>
      <c r="L103" s="1" t="s">
        <v>1903</v>
      </c>
      <c r="M103" s="1" t="s">
        <v>1783</v>
      </c>
      <c r="N103" s="1" t="s">
        <v>1799</v>
      </c>
      <c r="O103" s="1" t="str">
        <f t="shared" si="1"/>
        <v>Gross Receipts_HLIns_Vacant / Investment</v>
      </c>
      <c r="P103" s="6">
        <v>1</v>
      </c>
      <c r="Q103" s="6">
        <v>100000000</v>
      </c>
      <c r="R103" s="6">
        <v>240</v>
      </c>
      <c r="S103" s="6">
        <v>240</v>
      </c>
      <c r="T103" s="9">
        <v>0.65</v>
      </c>
      <c r="U103" s="9">
        <v>0.67500000000000004</v>
      </c>
      <c r="V103" s="9">
        <v>0.7</v>
      </c>
      <c r="W103" s="9">
        <v>0.75</v>
      </c>
      <c r="X103" s="9">
        <v>0.85</v>
      </c>
      <c r="Y103" s="9">
        <v>0.85</v>
      </c>
      <c r="Z103" s="9">
        <v>0.85</v>
      </c>
      <c r="AA103" s="9">
        <v>0.85</v>
      </c>
    </row>
    <row r="104" spans="1:27">
      <c r="A104" s="3" t="s">
        <v>2014</v>
      </c>
      <c r="C104" s="3" t="s">
        <v>2015</v>
      </c>
      <c r="D104" s="4">
        <v>5.72</v>
      </c>
      <c r="F104" s="3" t="s">
        <v>2009</v>
      </c>
      <c r="G104" s="4">
        <v>4.63</v>
      </c>
      <c r="J104" s="8"/>
      <c r="L104" s="1" t="s">
        <v>1903</v>
      </c>
      <c r="M104" s="1" t="s">
        <v>1812</v>
      </c>
      <c r="N104" s="1" t="s">
        <v>1774</v>
      </c>
      <c r="O104" s="1" t="str">
        <f t="shared" si="1"/>
        <v>Gross Receipts_LAP_Self-occupation</v>
      </c>
      <c r="P104" s="6">
        <v>1</v>
      </c>
      <c r="Q104" s="6">
        <v>100000000</v>
      </c>
      <c r="R104" s="6">
        <v>180</v>
      </c>
      <c r="S104" s="6">
        <v>180</v>
      </c>
      <c r="T104" s="9">
        <v>0.65</v>
      </c>
      <c r="U104" s="9">
        <v>0.67500000000000004</v>
      </c>
      <c r="V104" s="9">
        <v>0.7</v>
      </c>
      <c r="W104" s="9">
        <v>0.75</v>
      </c>
      <c r="X104" s="9">
        <v>0.7</v>
      </c>
      <c r="Y104" s="9">
        <v>0.71</v>
      </c>
      <c r="Z104" s="9">
        <v>0.73</v>
      </c>
      <c r="AA104" s="9">
        <v>0.75</v>
      </c>
    </row>
    <row r="105" spans="1:27" ht="25.5">
      <c r="A105" s="3" t="s">
        <v>1830</v>
      </c>
      <c r="C105" s="3" t="s">
        <v>2016</v>
      </c>
      <c r="D105" s="4">
        <v>6.54</v>
      </c>
      <c r="F105" s="3" t="s">
        <v>2011</v>
      </c>
      <c r="G105" s="4">
        <v>8.6999999999999993</v>
      </c>
      <c r="J105" s="8"/>
      <c r="L105" s="1" t="s">
        <v>1903</v>
      </c>
      <c r="M105" s="1" t="s">
        <v>1816</v>
      </c>
      <c r="N105" s="1" t="s">
        <v>1774</v>
      </c>
      <c r="O105" s="1" t="str">
        <f t="shared" si="1"/>
        <v>Gross Receipts_LAPGPLIns_Self-occupation</v>
      </c>
      <c r="P105" s="6">
        <v>1</v>
      </c>
      <c r="Q105" s="6">
        <v>100000000</v>
      </c>
      <c r="R105" s="6">
        <v>180</v>
      </c>
      <c r="S105" s="6">
        <v>180</v>
      </c>
      <c r="T105" s="9">
        <v>0.65</v>
      </c>
      <c r="U105" s="9">
        <v>0.67500000000000004</v>
      </c>
      <c r="V105" s="9">
        <v>0.7</v>
      </c>
      <c r="W105" s="9">
        <v>0.75</v>
      </c>
      <c r="X105" s="9">
        <v>0.7</v>
      </c>
      <c r="Y105" s="9">
        <v>0.71</v>
      </c>
      <c r="Z105" s="9">
        <v>0.73</v>
      </c>
      <c r="AA105" s="9">
        <v>0.75</v>
      </c>
    </row>
    <row r="106" spans="1:27" ht="25.5">
      <c r="A106" s="3" t="s">
        <v>1833</v>
      </c>
      <c r="C106" s="3" t="s">
        <v>2017</v>
      </c>
      <c r="D106" s="4">
        <v>6.54</v>
      </c>
      <c r="F106" s="3" t="s">
        <v>2013</v>
      </c>
      <c r="G106" s="4">
        <v>9.26</v>
      </c>
      <c r="J106" s="8"/>
      <c r="L106" s="1" t="s">
        <v>1903</v>
      </c>
      <c r="M106" s="1" t="s">
        <v>1821</v>
      </c>
      <c r="N106" s="1" t="s">
        <v>1774</v>
      </c>
      <c r="O106" s="1" t="str">
        <f t="shared" si="1"/>
        <v>Gross Receipts_LAPGPL_Self-occupation</v>
      </c>
      <c r="P106" s="6">
        <v>1</v>
      </c>
      <c r="Q106" s="6">
        <v>100000000</v>
      </c>
      <c r="R106" s="6">
        <v>180</v>
      </c>
      <c r="S106" s="6">
        <v>180</v>
      </c>
      <c r="T106" s="9">
        <v>0.65</v>
      </c>
      <c r="U106" s="9">
        <v>0.67500000000000004</v>
      </c>
      <c r="V106" s="9">
        <v>0.7</v>
      </c>
      <c r="W106" s="9">
        <v>0.75</v>
      </c>
      <c r="X106" s="9">
        <v>0.7</v>
      </c>
      <c r="Y106" s="9">
        <v>0.71</v>
      </c>
      <c r="Z106" s="9">
        <v>0.73</v>
      </c>
      <c r="AA106" s="9">
        <v>0.75</v>
      </c>
    </row>
    <row r="107" spans="1:27" ht="25.5">
      <c r="A107" s="3" t="s">
        <v>2018</v>
      </c>
      <c r="C107" s="3" t="s">
        <v>2019</v>
      </c>
      <c r="D107" s="4">
        <v>9.51</v>
      </c>
      <c r="F107" s="3" t="s">
        <v>2015</v>
      </c>
      <c r="G107" s="4">
        <v>5.72</v>
      </c>
      <c r="J107" s="8"/>
      <c r="L107" s="1" t="s">
        <v>1903</v>
      </c>
      <c r="M107" s="1" t="s">
        <v>1824</v>
      </c>
      <c r="N107" s="1" t="s">
        <v>1774</v>
      </c>
      <c r="O107" s="1" t="str">
        <f t="shared" si="1"/>
        <v>Gross Receipts_LAPIns_Self-occupation</v>
      </c>
      <c r="P107" s="6">
        <v>1</v>
      </c>
      <c r="Q107" s="6">
        <v>100000000</v>
      </c>
      <c r="R107" s="6">
        <v>180</v>
      </c>
      <c r="S107" s="6">
        <v>180</v>
      </c>
      <c r="T107" s="9">
        <v>0.65</v>
      </c>
      <c r="U107" s="9">
        <v>0.67500000000000004</v>
      </c>
      <c r="V107" s="9">
        <v>0.7</v>
      </c>
      <c r="W107" s="9">
        <v>0.75</v>
      </c>
      <c r="X107" s="9">
        <v>0.7</v>
      </c>
      <c r="Y107" s="9">
        <v>0.71</v>
      </c>
      <c r="Z107" s="9">
        <v>0.73</v>
      </c>
      <c r="AA107" s="9">
        <v>0.75</v>
      </c>
    </row>
    <row r="108" spans="1:27">
      <c r="A108" s="3" t="s">
        <v>2020</v>
      </c>
      <c r="C108" s="3" t="s">
        <v>2021</v>
      </c>
      <c r="D108" s="4">
        <v>8.99</v>
      </c>
      <c r="F108" s="3" t="s">
        <v>2016</v>
      </c>
      <c r="G108" s="4">
        <v>6.54</v>
      </c>
      <c r="J108" s="8"/>
      <c r="L108" s="1" t="s">
        <v>1903</v>
      </c>
      <c r="M108" s="1" t="s">
        <v>1812</v>
      </c>
      <c r="N108" s="1" t="s">
        <v>1787</v>
      </c>
      <c r="O108" s="1" t="str">
        <f t="shared" si="1"/>
        <v>Gross Receipts_LAP_Rent out</v>
      </c>
      <c r="P108" s="6">
        <v>1</v>
      </c>
      <c r="Q108" s="6">
        <v>100000000</v>
      </c>
      <c r="R108" s="6">
        <v>180</v>
      </c>
      <c r="S108" s="6">
        <v>180</v>
      </c>
      <c r="T108" s="9">
        <v>0.65</v>
      </c>
      <c r="U108" s="9">
        <v>0.67500000000000004</v>
      </c>
      <c r="V108" s="9">
        <v>0.7</v>
      </c>
      <c r="W108" s="9">
        <v>0.75</v>
      </c>
      <c r="X108" s="9">
        <v>0.7</v>
      </c>
      <c r="Y108" s="9">
        <v>0.71</v>
      </c>
      <c r="Z108" s="9">
        <v>0.73</v>
      </c>
      <c r="AA108" s="9">
        <v>0.75</v>
      </c>
    </row>
    <row r="109" spans="1:27" ht="25.5">
      <c r="A109" s="3" t="s">
        <v>1812</v>
      </c>
      <c r="C109" s="3" t="s">
        <v>2022</v>
      </c>
      <c r="D109" s="4">
        <v>4.2300000000000004</v>
      </c>
      <c r="F109" s="3" t="s">
        <v>2017</v>
      </c>
      <c r="G109" s="4">
        <v>6.54</v>
      </c>
      <c r="J109" s="8"/>
      <c r="L109" s="1" t="s">
        <v>1903</v>
      </c>
      <c r="M109" s="1" t="s">
        <v>1816</v>
      </c>
      <c r="N109" s="1" t="s">
        <v>1787</v>
      </c>
      <c r="O109" s="1" t="str">
        <f t="shared" si="1"/>
        <v>Gross Receipts_LAPGPLIns_Rent out</v>
      </c>
      <c r="P109" s="6">
        <v>1</v>
      </c>
      <c r="Q109" s="6">
        <v>100000000</v>
      </c>
      <c r="R109" s="6">
        <v>180</v>
      </c>
      <c r="S109" s="6">
        <v>180</v>
      </c>
      <c r="T109" s="9">
        <v>0.65</v>
      </c>
      <c r="U109" s="9">
        <v>0.67500000000000004</v>
      </c>
      <c r="V109" s="9">
        <v>0.7</v>
      </c>
      <c r="W109" s="9">
        <v>0.75</v>
      </c>
      <c r="X109" s="9">
        <v>0.7</v>
      </c>
      <c r="Y109" s="9">
        <v>0.71</v>
      </c>
      <c r="Z109" s="9">
        <v>0.73</v>
      </c>
      <c r="AA109" s="9">
        <v>0.75</v>
      </c>
    </row>
    <row r="110" spans="1:27" ht="25.5">
      <c r="A110" s="3" t="s">
        <v>2023</v>
      </c>
      <c r="C110" s="3" t="s">
        <v>2024</v>
      </c>
      <c r="D110" s="4">
        <v>8.43</v>
      </c>
      <c r="F110" s="3" t="s">
        <v>2019</v>
      </c>
      <c r="G110" s="4">
        <v>4.9000000000000004</v>
      </c>
      <c r="J110" s="8"/>
      <c r="L110" s="1" t="s">
        <v>1903</v>
      </c>
      <c r="M110" s="1" t="s">
        <v>1821</v>
      </c>
      <c r="N110" s="1" t="s">
        <v>1787</v>
      </c>
      <c r="O110" s="1" t="str">
        <f t="shared" si="1"/>
        <v>Gross Receipts_LAPGPL_Rent out</v>
      </c>
      <c r="P110" s="6">
        <v>1</v>
      </c>
      <c r="Q110" s="6">
        <v>100000000</v>
      </c>
      <c r="R110" s="6">
        <v>180</v>
      </c>
      <c r="S110" s="6">
        <v>180</v>
      </c>
      <c r="T110" s="9">
        <v>0.65</v>
      </c>
      <c r="U110" s="9">
        <v>0.67500000000000004</v>
      </c>
      <c r="V110" s="9">
        <v>0.7</v>
      </c>
      <c r="W110" s="9">
        <v>0.75</v>
      </c>
      <c r="X110" s="9">
        <v>0.7</v>
      </c>
      <c r="Y110" s="9">
        <v>0.71</v>
      </c>
      <c r="Z110" s="9">
        <v>0.73</v>
      </c>
      <c r="AA110" s="9">
        <v>0.75</v>
      </c>
    </row>
    <row r="111" spans="1:27">
      <c r="A111" s="3" t="s">
        <v>2025</v>
      </c>
      <c r="C111" s="3" t="s">
        <v>2026</v>
      </c>
      <c r="D111" s="4">
        <v>9.66</v>
      </c>
      <c r="F111" s="3" t="s">
        <v>2021</v>
      </c>
      <c r="G111" s="4">
        <v>4.9000000000000004</v>
      </c>
      <c r="J111" s="8"/>
      <c r="L111" s="1" t="s">
        <v>1903</v>
      </c>
      <c r="M111" s="1" t="s">
        <v>1824</v>
      </c>
      <c r="N111" s="1" t="s">
        <v>1787</v>
      </c>
      <c r="O111" s="1" t="str">
        <f t="shared" si="1"/>
        <v>Gross Receipts_LAPIns_Rent out</v>
      </c>
      <c r="P111" s="6">
        <v>1</v>
      </c>
      <c r="Q111" s="6">
        <v>100000000</v>
      </c>
      <c r="R111" s="6">
        <v>180</v>
      </c>
      <c r="S111" s="6">
        <v>180</v>
      </c>
      <c r="T111" s="9">
        <v>0.65</v>
      </c>
      <c r="U111" s="9">
        <v>0.67500000000000004</v>
      </c>
      <c r="V111" s="9">
        <v>0.7</v>
      </c>
      <c r="W111" s="9">
        <v>0.75</v>
      </c>
      <c r="X111" s="9">
        <v>0.7</v>
      </c>
      <c r="Y111" s="9">
        <v>0.71</v>
      </c>
      <c r="Z111" s="9">
        <v>0.73</v>
      </c>
      <c r="AA111" s="9">
        <v>0.75</v>
      </c>
    </row>
    <row r="112" spans="1:27" ht="25.5">
      <c r="A112" s="3" t="s">
        <v>2027</v>
      </c>
      <c r="C112" s="3" t="s">
        <v>2028</v>
      </c>
      <c r="D112" s="4">
        <v>7</v>
      </c>
      <c r="F112" s="3" t="s">
        <v>2022</v>
      </c>
      <c r="G112" s="4">
        <v>4.9000000000000004</v>
      </c>
      <c r="J112" s="8"/>
      <c r="L112" s="1" t="s">
        <v>1903</v>
      </c>
      <c r="M112" s="1" t="s">
        <v>1812</v>
      </c>
      <c r="N112" s="1" t="s">
        <v>1799</v>
      </c>
      <c r="O112" s="1" t="str">
        <f t="shared" si="1"/>
        <v>Gross Receipts_LAP_Vacant / Investment</v>
      </c>
      <c r="P112" s="6">
        <v>1</v>
      </c>
      <c r="Q112" s="6">
        <v>100000000</v>
      </c>
      <c r="R112" s="6">
        <v>180</v>
      </c>
      <c r="S112" s="6">
        <v>180</v>
      </c>
      <c r="T112" s="9">
        <v>0.65</v>
      </c>
      <c r="U112" s="9">
        <v>0.67500000000000004</v>
      </c>
      <c r="V112" s="9">
        <v>0.7</v>
      </c>
      <c r="W112" s="9">
        <v>0.75</v>
      </c>
      <c r="X112" s="9">
        <v>0.65</v>
      </c>
      <c r="Y112" s="9">
        <v>0.66</v>
      </c>
      <c r="Z112" s="9">
        <v>0.68</v>
      </c>
      <c r="AA112" s="9">
        <v>0.7</v>
      </c>
    </row>
    <row r="113" spans="1:27" ht="25.5">
      <c r="A113" s="3" t="s">
        <v>2029</v>
      </c>
      <c r="C113" s="3" t="s">
        <v>2030</v>
      </c>
      <c r="D113" s="4">
        <v>8.0399999999999991</v>
      </c>
      <c r="F113" s="3" t="s">
        <v>2024</v>
      </c>
      <c r="G113" s="4">
        <v>4.9000000000000004</v>
      </c>
      <c r="J113" s="8"/>
      <c r="L113" s="1" t="s">
        <v>1903</v>
      </c>
      <c r="M113" s="1" t="s">
        <v>1816</v>
      </c>
      <c r="N113" s="1" t="s">
        <v>1799</v>
      </c>
      <c r="O113" s="1" t="str">
        <f t="shared" si="1"/>
        <v>Gross Receipts_LAPGPLIns_Vacant / Investment</v>
      </c>
      <c r="P113" s="6">
        <v>1</v>
      </c>
      <c r="Q113" s="6">
        <v>100000000</v>
      </c>
      <c r="R113" s="6">
        <v>180</v>
      </c>
      <c r="S113" s="6">
        <v>180</v>
      </c>
      <c r="T113" s="9">
        <v>0.65</v>
      </c>
      <c r="U113" s="9">
        <v>0.67500000000000004</v>
      </c>
      <c r="V113" s="9">
        <v>0.7</v>
      </c>
      <c r="W113" s="9">
        <v>0.75</v>
      </c>
      <c r="X113" s="9">
        <v>0.65</v>
      </c>
      <c r="Y113" s="9">
        <v>0.66</v>
      </c>
      <c r="Z113" s="9">
        <v>0.68</v>
      </c>
      <c r="AA113" s="9">
        <v>0.7</v>
      </c>
    </row>
    <row r="114" spans="1:27" ht="25.5">
      <c r="A114" s="3" t="s">
        <v>2031</v>
      </c>
      <c r="C114" s="3" t="s">
        <v>2032</v>
      </c>
      <c r="D114" s="4">
        <v>12.36</v>
      </c>
      <c r="F114" s="3" t="s">
        <v>2026</v>
      </c>
      <c r="G114" s="4">
        <v>4.9000000000000004</v>
      </c>
      <c r="J114" s="8"/>
      <c r="L114" s="1" t="s">
        <v>1903</v>
      </c>
      <c r="M114" s="1" t="s">
        <v>1821</v>
      </c>
      <c r="N114" s="1" t="s">
        <v>1799</v>
      </c>
      <c r="O114" s="1" t="str">
        <f t="shared" si="1"/>
        <v>Gross Receipts_LAPGPL_Vacant / Investment</v>
      </c>
      <c r="P114" s="6">
        <v>1</v>
      </c>
      <c r="Q114" s="6">
        <v>100000000</v>
      </c>
      <c r="R114" s="6">
        <v>180</v>
      </c>
      <c r="S114" s="6">
        <v>180</v>
      </c>
      <c r="T114" s="9">
        <v>0.65</v>
      </c>
      <c r="U114" s="9">
        <v>0.67500000000000004</v>
      </c>
      <c r="V114" s="9">
        <v>0.7</v>
      </c>
      <c r="W114" s="9">
        <v>0.75</v>
      </c>
      <c r="X114" s="9">
        <v>0.65</v>
      </c>
      <c r="Y114" s="9">
        <v>0.66</v>
      </c>
      <c r="Z114" s="9">
        <v>0.68</v>
      </c>
      <c r="AA114" s="9">
        <v>0.7</v>
      </c>
    </row>
    <row r="115" spans="1:27" ht="25.5">
      <c r="A115" s="3" t="s">
        <v>2033</v>
      </c>
      <c r="C115" s="3" t="s">
        <v>2034</v>
      </c>
      <c r="D115" s="4">
        <v>9.51</v>
      </c>
      <c r="F115" s="3" t="s">
        <v>2028</v>
      </c>
      <c r="G115" s="4">
        <v>4.9000000000000004</v>
      </c>
      <c r="J115" s="8"/>
      <c r="L115" s="1" t="s">
        <v>1903</v>
      </c>
      <c r="M115" s="1" t="s">
        <v>1824</v>
      </c>
      <c r="N115" s="1" t="s">
        <v>1799</v>
      </c>
      <c r="O115" s="1" t="str">
        <f t="shared" si="1"/>
        <v>Gross Receipts_LAPIns_Vacant / Investment</v>
      </c>
      <c r="P115" s="6">
        <v>1</v>
      </c>
      <c r="Q115" s="6">
        <v>100000000</v>
      </c>
      <c r="R115" s="6">
        <v>180</v>
      </c>
      <c r="S115" s="6">
        <v>180</v>
      </c>
      <c r="T115" s="9">
        <v>0.65</v>
      </c>
      <c r="U115" s="9">
        <v>0.67500000000000004</v>
      </c>
      <c r="V115" s="9">
        <v>0.7</v>
      </c>
      <c r="W115" s="9">
        <v>0.75</v>
      </c>
      <c r="X115" s="9">
        <v>0.65</v>
      </c>
      <c r="Y115" s="9">
        <v>0.66</v>
      </c>
      <c r="Z115" s="9">
        <v>0.68</v>
      </c>
      <c r="AA115" s="9">
        <v>0.7</v>
      </c>
    </row>
    <row r="116" spans="1:27">
      <c r="A116" s="3" t="s">
        <v>2035</v>
      </c>
      <c r="D116" s="8"/>
      <c r="F116" s="3" t="s">
        <v>2030</v>
      </c>
      <c r="G116" s="4">
        <v>4.9000000000000004</v>
      </c>
      <c r="J116" s="8"/>
      <c r="L116" s="1" t="s">
        <v>1903</v>
      </c>
      <c r="M116" s="1" t="s">
        <v>1852</v>
      </c>
      <c r="N116" s="1" t="s">
        <v>1774</v>
      </c>
      <c r="O116" s="1" t="str">
        <f t="shared" si="1"/>
        <v>Gross Receipts_Indl_Self-occupation</v>
      </c>
      <c r="P116" s="6">
        <v>0</v>
      </c>
      <c r="Q116" s="6">
        <v>0</v>
      </c>
      <c r="R116" s="6">
        <v>0</v>
      </c>
      <c r="S116" s="6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</row>
    <row r="117" spans="1:27" ht="25.5">
      <c r="A117" s="3" t="s">
        <v>2036</v>
      </c>
      <c r="D117" s="8"/>
      <c r="F117" s="3" t="s">
        <v>2032</v>
      </c>
      <c r="G117" s="4">
        <v>4.9000000000000004</v>
      </c>
      <c r="J117" s="8"/>
      <c r="L117" s="1" t="s">
        <v>1903</v>
      </c>
      <c r="M117" s="1" t="s">
        <v>1856</v>
      </c>
      <c r="N117" s="1" t="s">
        <v>1774</v>
      </c>
      <c r="O117" s="1" t="str">
        <f t="shared" si="1"/>
        <v>Gross Receipts_IndlGPLIns_Self-occupation</v>
      </c>
      <c r="P117" s="6">
        <v>0</v>
      </c>
      <c r="Q117" s="6">
        <v>0</v>
      </c>
      <c r="R117" s="6">
        <v>0</v>
      </c>
      <c r="S117" s="6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</row>
    <row r="118" spans="1:27" ht="25.5">
      <c r="A118" s="3" t="s">
        <v>2037</v>
      </c>
      <c r="D118" s="8"/>
      <c r="F118" s="3" t="s">
        <v>2034</v>
      </c>
      <c r="G118" s="4">
        <v>4.9000000000000004</v>
      </c>
      <c r="J118" s="8"/>
      <c r="L118" s="1" t="s">
        <v>1903</v>
      </c>
      <c r="M118" s="1" t="s">
        <v>1860</v>
      </c>
      <c r="N118" s="1" t="s">
        <v>1774</v>
      </c>
      <c r="O118" s="1" t="str">
        <f t="shared" si="1"/>
        <v>Gross Receipts_IndlGPL_Self-occupation</v>
      </c>
      <c r="P118" s="6">
        <v>0</v>
      </c>
      <c r="Q118" s="6">
        <v>0</v>
      </c>
      <c r="R118" s="6">
        <v>0</v>
      </c>
      <c r="S118" s="6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</row>
    <row r="119" spans="1:27" ht="25.5">
      <c r="A119" s="3" t="s">
        <v>2038</v>
      </c>
      <c r="D119" s="8"/>
      <c r="G119" s="8"/>
      <c r="J119" s="8"/>
      <c r="L119" s="1" t="s">
        <v>1903</v>
      </c>
      <c r="M119" s="1" t="s">
        <v>1864</v>
      </c>
      <c r="N119" s="1" t="s">
        <v>1774</v>
      </c>
      <c r="O119" s="1" t="str">
        <f t="shared" si="1"/>
        <v>Gross Receipts_IndlIns_Self-occupation</v>
      </c>
      <c r="P119" s="6">
        <v>0</v>
      </c>
      <c r="Q119" s="6">
        <v>0</v>
      </c>
      <c r="R119" s="6">
        <v>0</v>
      </c>
      <c r="S119" s="6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</row>
    <row r="120" spans="1:27" ht="25.5">
      <c r="A120" s="3" t="s">
        <v>2039</v>
      </c>
      <c r="D120" s="8"/>
      <c r="G120" s="8"/>
      <c r="J120" s="8"/>
      <c r="L120" s="1" t="s">
        <v>1903</v>
      </c>
      <c r="M120" s="1" t="s">
        <v>1852</v>
      </c>
      <c r="N120" s="1" t="s">
        <v>1787</v>
      </c>
      <c r="O120" s="1" t="str">
        <f t="shared" si="1"/>
        <v>Gross Receipts_Indl_Rent out</v>
      </c>
      <c r="P120" s="6">
        <v>0</v>
      </c>
      <c r="Q120" s="6">
        <v>0</v>
      </c>
      <c r="R120" s="6">
        <v>0</v>
      </c>
      <c r="S120" s="6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</row>
    <row r="121" spans="1:27">
      <c r="D121" s="8"/>
      <c r="G121" s="8"/>
      <c r="J121" s="8"/>
      <c r="L121" s="1" t="s">
        <v>1903</v>
      </c>
      <c r="M121" s="1" t="s">
        <v>1856</v>
      </c>
      <c r="N121" s="1" t="s">
        <v>1787</v>
      </c>
      <c r="O121" s="1" t="str">
        <f t="shared" si="1"/>
        <v>Gross Receipts_IndlGPLIns_Rent out</v>
      </c>
      <c r="P121" s="6">
        <v>0</v>
      </c>
      <c r="Q121" s="6">
        <v>0</v>
      </c>
      <c r="R121" s="6">
        <v>0</v>
      </c>
      <c r="S121" s="6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</row>
    <row r="122" spans="1:27">
      <c r="D122" s="8"/>
      <c r="G122" s="8"/>
      <c r="J122" s="8"/>
      <c r="L122" s="1" t="s">
        <v>1903</v>
      </c>
      <c r="M122" s="1" t="s">
        <v>1860</v>
      </c>
      <c r="N122" s="1" t="s">
        <v>1787</v>
      </c>
      <c r="O122" s="1" t="str">
        <f t="shared" si="1"/>
        <v>Gross Receipts_IndlGPL_Rent out</v>
      </c>
      <c r="P122" s="6">
        <v>0</v>
      </c>
      <c r="Q122" s="6">
        <v>0</v>
      </c>
      <c r="R122" s="6">
        <v>0</v>
      </c>
      <c r="S122" s="6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</row>
    <row r="123" spans="1:27">
      <c r="A123" s="2" t="s">
        <v>2040</v>
      </c>
      <c r="D123" s="8"/>
      <c r="G123" s="8"/>
      <c r="J123" s="8"/>
      <c r="L123" s="1" t="s">
        <v>1903</v>
      </c>
      <c r="M123" s="1" t="s">
        <v>1864</v>
      </c>
      <c r="N123" s="1" t="s">
        <v>1787</v>
      </c>
      <c r="O123" s="1" t="str">
        <f t="shared" si="1"/>
        <v>Gross Receipts_IndlIns_Rent out</v>
      </c>
      <c r="P123" s="6">
        <v>0</v>
      </c>
      <c r="Q123" s="6">
        <v>0</v>
      </c>
      <c r="R123" s="6">
        <v>0</v>
      </c>
      <c r="S123" s="6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</row>
    <row r="124" spans="1:27" ht="25.5">
      <c r="A124" s="3" t="s">
        <v>534</v>
      </c>
      <c r="D124" s="8"/>
      <c r="G124" s="8"/>
      <c r="J124" s="8"/>
      <c r="L124" s="1" t="s">
        <v>1903</v>
      </c>
      <c r="M124" s="1" t="s">
        <v>1852</v>
      </c>
      <c r="N124" s="1" t="s">
        <v>1799</v>
      </c>
      <c r="O124" s="1" t="str">
        <f t="shared" si="1"/>
        <v>Gross Receipts_Indl_Vacant / Investment</v>
      </c>
      <c r="P124" s="6">
        <v>0</v>
      </c>
      <c r="Q124" s="6">
        <v>0</v>
      </c>
      <c r="R124" s="6">
        <v>0</v>
      </c>
      <c r="S124" s="6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</row>
    <row r="125" spans="1:27" ht="25.5">
      <c r="A125" s="3" t="s">
        <v>2041</v>
      </c>
      <c r="D125" s="8"/>
      <c r="G125" s="8"/>
      <c r="J125" s="8"/>
      <c r="L125" s="1" t="s">
        <v>1903</v>
      </c>
      <c r="M125" s="1" t="s">
        <v>1856</v>
      </c>
      <c r="N125" s="1" t="s">
        <v>1799</v>
      </c>
      <c r="O125" s="1" t="str">
        <f t="shared" si="1"/>
        <v>Gross Receipts_IndlGPLIns_Vacant / Investment</v>
      </c>
      <c r="P125" s="6">
        <v>0</v>
      </c>
      <c r="Q125" s="6">
        <v>0</v>
      </c>
      <c r="R125" s="6">
        <v>0</v>
      </c>
      <c r="S125" s="6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</row>
    <row r="126" spans="1:27" ht="25.5">
      <c r="A126" s="3" t="s">
        <v>2042</v>
      </c>
      <c r="D126" s="8"/>
      <c r="G126" s="8"/>
      <c r="J126" s="8"/>
      <c r="L126" s="1" t="s">
        <v>1903</v>
      </c>
      <c r="M126" s="1" t="s">
        <v>1860</v>
      </c>
      <c r="N126" s="1" t="s">
        <v>1799</v>
      </c>
      <c r="O126" s="1" t="str">
        <f t="shared" si="1"/>
        <v>Gross Receipts_IndlGPL_Vacant / Investment</v>
      </c>
      <c r="P126" s="6">
        <v>0</v>
      </c>
      <c r="Q126" s="6">
        <v>0</v>
      </c>
      <c r="R126" s="6">
        <v>0</v>
      </c>
      <c r="S126" s="6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</row>
    <row r="127" spans="1:27" ht="25.5">
      <c r="A127" s="3" t="s">
        <v>2043</v>
      </c>
      <c r="D127" s="8"/>
      <c r="G127" s="8"/>
      <c r="J127" s="8"/>
      <c r="L127" s="1" t="s">
        <v>1903</v>
      </c>
      <c r="M127" s="1" t="s">
        <v>1864</v>
      </c>
      <c r="N127" s="1" t="s">
        <v>1799</v>
      </c>
      <c r="O127" s="1" t="str">
        <f t="shared" si="1"/>
        <v>Gross Receipts_IndlIns_Vacant / Investment</v>
      </c>
      <c r="P127" s="6">
        <v>0</v>
      </c>
      <c r="Q127" s="6">
        <v>0</v>
      </c>
      <c r="R127" s="6">
        <v>0</v>
      </c>
      <c r="S127" s="6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</row>
    <row r="128" spans="1:27">
      <c r="D128" s="8"/>
      <c r="G128" s="8"/>
      <c r="J128" s="8"/>
      <c r="L128" s="1" t="s">
        <v>1903</v>
      </c>
      <c r="M128" s="1" t="s">
        <v>1890</v>
      </c>
      <c r="N128" s="1" t="s">
        <v>1774</v>
      </c>
      <c r="O128" s="1" t="str">
        <f t="shared" si="1"/>
        <v>Gross Receipts_GPL_Self-occupation</v>
      </c>
      <c r="P128" s="6">
        <v>1</v>
      </c>
      <c r="Q128" s="6">
        <v>4000000</v>
      </c>
      <c r="R128" s="6">
        <v>84</v>
      </c>
      <c r="S128" s="6">
        <v>120</v>
      </c>
      <c r="T128" s="9">
        <v>0.65</v>
      </c>
      <c r="U128" s="9">
        <v>0.67500000000000004</v>
      </c>
      <c r="V128" s="9">
        <v>0.7</v>
      </c>
      <c r="W128" s="9">
        <v>0.75</v>
      </c>
      <c r="X128" s="9">
        <v>0.1</v>
      </c>
      <c r="Y128" s="9">
        <v>0.1</v>
      </c>
      <c r="Z128" s="9">
        <v>0.1</v>
      </c>
      <c r="AA128" s="9">
        <v>0.1</v>
      </c>
    </row>
    <row r="129" spans="4:27" ht="25.5">
      <c r="D129" s="8"/>
      <c r="G129" s="8"/>
      <c r="J129" s="8"/>
      <c r="L129" s="1" t="s">
        <v>1903</v>
      </c>
      <c r="M129" s="1" t="s">
        <v>1893</v>
      </c>
      <c r="N129" s="1" t="s">
        <v>1774</v>
      </c>
      <c r="O129" s="1" t="str">
        <f t="shared" si="1"/>
        <v>Gross Receipts_GPLIns_Self-occupation</v>
      </c>
      <c r="P129" s="6">
        <v>1</v>
      </c>
      <c r="Q129" s="6">
        <v>4000000</v>
      </c>
      <c r="R129" s="6">
        <v>84</v>
      </c>
      <c r="S129" s="6">
        <v>120</v>
      </c>
      <c r="T129" s="9">
        <v>0.65</v>
      </c>
      <c r="U129" s="9">
        <v>0.67500000000000004</v>
      </c>
      <c r="V129" s="9">
        <v>0.7</v>
      </c>
      <c r="W129" s="9">
        <v>0.75</v>
      </c>
      <c r="X129" s="9">
        <v>0.1</v>
      </c>
      <c r="Y129" s="9">
        <v>0.1</v>
      </c>
      <c r="Z129" s="9">
        <v>0.1</v>
      </c>
      <c r="AA129" s="9">
        <v>0.1</v>
      </c>
    </row>
    <row r="130" spans="4:27">
      <c r="D130" s="8"/>
      <c r="G130" s="8"/>
      <c r="J130" s="8"/>
      <c r="L130" s="1" t="s">
        <v>1903</v>
      </c>
      <c r="M130" s="1" t="s">
        <v>1897</v>
      </c>
      <c r="N130" s="1" t="s">
        <v>1774</v>
      </c>
      <c r="O130" s="1" t="str">
        <f t="shared" si="1"/>
        <v>Gross Receipts_Ins_Self-occupation</v>
      </c>
      <c r="P130" s="6">
        <v>1</v>
      </c>
      <c r="Q130" s="6">
        <v>25000000</v>
      </c>
      <c r="R130" s="6">
        <v>240</v>
      </c>
      <c r="S130" s="6">
        <v>240</v>
      </c>
      <c r="T130" s="9">
        <v>0.65</v>
      </c>
      <c r="U130" s="9">
        <v>0.67500000000000004</v>
      </c>
      <c r="V130" s="9">
        <v>0.7</v>
      </c>
      <c r="W130" s="9">
        <v>0.75</v>
      </c>
      <c r="X130" s="9">
        <v>0.05</v>
      </c>
      <c r="Y130" s="9">
        <v>0.05</v>
      </c>
      <c r="Z130" s="9">
        <v>0.05</v>
      </c>
      <c r="AA130" s="9">
        <v>0.05</v>
      </c>
    </row>
    <row r="131" spans="4:27">
      <c r="D131" s="8"/>
      <c r="G131" s="8"/>
      <c r="J131" s="8"/>
      <c r="L131" s="1" t="s">
        <v>1903</v>
      </c>
      <c r="M131" s="1" t="s">
        <v>1890</v>
      </c>
      <c r="N131" s="1" t="s">
        <v>1787</v>
      </c>
      <c r="O131" s="1" t="str">
        <f t="shared" ref="O131:O194" si="2">CONCATENATE(L131,"_",M131,"_",N131)</f>
        <v>Gross Receipts_GPL_Rent out</v>
      </c>
      <c r="P131" s="6">
        <v>1</v>
      </c>
      <c r="Q131" s="6">
        <v>4000000</v>
      </c>
      <c r="R131" s="6">
        <v>84</v>
      </c>
      <c r="S131" s="6">
        <v>120</v>
      </c>
      <c r="T131" s="9">
        <v>0.65</v>
      </c>
      <c r="U131" s="9">
        <v>0.67500000000000004</v>
      </c>
      <c r="V131" s="9">
        <v>0.7</v>
      </c>
      <c r="W131" s="9">
        <v>0.75</v>
      </c>
      <c r="X131" s="9">
        <v>0.1</v>
      </c>
      <c r="Y131" s="9">
        <v>0.1</v>
      </c>
      <c r="Z131" s="9">
        <v>0.1</v>
      </c>
      <c r="AA131" s="9">
        <v>0.1</v>
      </c>
    </row>
    <row r="132" spans="4:27">
      <c r="D132" s="8"/>
      <c r="G132" s="8"/>
      <c r="J132" s="8"/>
      <c r="L132" s="1" t="s">
        <v>1903</v>
      </c>
      <c r="M132" s="1" t="s">
        <v>1893</v>
      </c>
      <c r="N132" s="1" t="s">
        <v>1787</v>
      </c>
      <c r="O132" s="1" t="str">
        <f t="shared" si="2"/>
        <v>Gross Receipts_GPLIns_Rent out</v>
      </c>
      <c r="P132" s="6">
        <v>1</v>
      </c>
      <c r="Q132" s="6">
        <v>4000000</v>
      </c>
      <c r="R132" s="6">
        <v>84</v>
      </c>
      <c r="S132" s="6">
        <v>120</v>
      </c>
      <c r="T132" s="9">
        <v>0.65</v>
      </c>
      <c r="U132" s="9">
        <v>0.67500000000000004</v>
      </c>
      <c r="V132" s="9">
        <v>0.7</v>
      </c>
      <c r="W132" s="9">
        <v>0.75</v>
      </c>
      <c r="X132" s="9">
        <v>0.1</v>
      </c>
      <c r="Y132" s="9">
        <v>0.1</v>
      </c>
      <c r="Z132" s="9">
        <v>0.1</v>
      </c>
      <c r="AA132" s="9">
        <v>0.1</v>
      </c>
    </row>
    <row r="133" spans="4:27">
      <c r="D133" s="8"/>
      <c r="G133" s="8"/>
      <c r="J133" s="8"/>
      <c r="L133" s="1" t="s">
        <v>1903</v>
      </c>
      <c r="M133" s="1" t="s">
        <v>1897</v>
      </c>
      <c r="N133" s="1" t="s">
        <v>1787</v>
      </c>
      <c r="O133" s="1" t="str">
        <f t="shared" si="2"/>
        <v>Gross Receipts_Ins_Rent out</v>
      </c>
      <c r="P133" s="6">
        <v>1</v>
      </c>
      <c r="Q133" s="6">
        <v>25000000</v>
      </c>
      <c r="R133" s="6">
        <v>240</v>
      </c>
      <c r="S133" s="6">
        <v>240</v>
      </c>
      <c r="T133" s="9">
        <v>0.65</v>
      </c>
      <c r="U133" s="9">
        <v>0.67500000000000004</v>
      </c>
      <c r="V133" s="9">
        <v>0.7</v>
      </c>
      <c r="W133" s="9">
        <v>0.75</v>
      </c>
      <c r="X133" s="9">
        <v>0.05</v>
      </c>
      <c r="Y133" s="9">
        <v>0.05</v>
      </c>
      <c r="Z133" s="9">
        <v>0.05</v>
      </c>
      <c r="AA133" s="9">
        <v>0.05</v>
      </c>
    </row>
    <row r="134" spans="4:27" ht="25.5">
      <c r="D134" s="8"/>
      <c r="G134" s="8"/>
      <c r="J134" s="8"/>
      <c r="L134" s="1" t="s">
        <v>1903</v>
      </c>
      <c r="M134" s="1" t="s">
        <v>1890</v>
      </c>
      <c r="N134" s="1" t="s">
        <v>1799</v>
      </c>
      <c r="O134" s="1" t="str">
        <f t="shared" si="2"/>
        <v>Gross Receipts_GPL_Vacant / Investment</v>
      </c>
      <c r="P134" s="6">
        <v>1</v>
      </c>
      <c r="Q134" s="6">
        <v>4000000</v>
      </c>
      <c r="R134" s="6">
        <v>84</v>
      </c>
      <c r="S134" s="6">
        <v>120</v>
      </c>
      <c r="T134" s="9">
        <v>0.65</v>
      </c>
      <c r="U134" s="9">
        <v>0.67500000000000004</v>
      </c>
      <c r="V134" s="9">
        <v>0.7</v>
      </c>
      <c r="W134" s="9">
        <v>0.75</v>
      </c>
      <c r="X134" s="9">
        <v>0.1</v>
      </c>
      <c r="Y134" s="9">
        <v>0.1</v>
      </c>
      <c r="Z134" s="9">
        <v>0.1</v>
      </c>
      <c r="AA134" s="9">
        <v>0.1</v>
      </c>
    </row>
    <row r="135" spans="4:27" ht="25.5">
      <c r="D135" s="8"/>
      <c r="G135" s="8"/>
      <c r="J135" s="8"/>
      <c r="L135" s="1" t="s">
        <v>1903</v>
      </c>
      <c r="M135" s="1" t="s">
        <v>1893</v>
      </c>
      <c r="N135" s="1" t="s">
        <v>1799</v>
      </c>
      <c r="O135" s="1" t="str">
        <f t="shared" si="2"/>
        <v>Gross Receipts_GPLIns_Vacant / Investment</v>
      </c>
      <c r="P135" s="6">
        <v>1</v>
      </c>
      <c r="Q135" s="6">
        <v>4000000</v>
      </c>
      <c r="R135" s="6">
        <v>84</v>
      </c>
      <c r="S135" s="6">
        <v>120</v>
      </c>
      <c r="T135" s="9">
        <v>0.65</v>
      </c>
      <c r="U135" s="9">
        <v>0.67500000000000004</v>
      </c>
      <c r="V135" s="9">
        <v>0.7</v>
      </c>
      <c r="W135" s="9">
        <v>0.75</v>
      </c>
      <c r="X135" s="9">
        <v>0.1</v>
      </c>
      <c r="Y135" s="9">
        <v>0.1</v>
      </c>
      <c r="Z135" s="9">
        <v>0.1</v>
      </c>
      <c r="AA135" s="9">
        <v>0.1</v>
      </c>
    </row>
    <row r="136" spans="4:27" ht="25.5">
      <c r="D136" s="8"/>
      <c r="G136" s="8"/>
      <c r="J136" s="8"/>
      <c r="L136" s="1" t="s">
        <v>1903</v>
      </c>
      <c r="M136" s="1" t="s">
        <v>1897</v>
      </c>
      <c r="N136" s="1" t="s">
        <v>1799</v>
      </c>
      <c r="O136" s="1" t="str">
        <f t="shared" si="2"/>
        <v>Gross Receipts_Ins_Vacant / Investment</v>
      </c>
      <c r="P136" s="6">
        <v>1</v>
      </c>
      <c r="Q136" s="6">
        <v>25000000</v>
      </c>
      <c r="R136" s="6">
        <v>240</v>
      </c>
      <c r="S136" s="6">
        <v>240</v>
      </c>
      <c r="T136" s="9">
        <v>0.65</v>
      </c>
      <c r="U136" s="9">
        <v>0.67500000000000004</v>
      </c>
      <c r="V136" s="9">
        <v>0.7</v>
      </c>
      <c r="W136" s="9">
        <v>0.75</v>
      </c>
      <c r="X136" s="9">
        <v>0.05</v>
      </c>
      <c r="Y136" s="9">
        <v>0.05</v>
      </c>
      <c r="Z136" s="9">
        <v>0.05</v>
      </c>
      <c r="AA136" s="9">
        <v>0.05</v>
      </c>
    </row>
    <row r="137" spans="4:27">
      <c r="D137" s="8"/>
      <c r="G137" s="8"/>
      <c r="J137" s="8"/>
      <c r="L137" s="1" t="s">
        <v>870</v>
      </c>
      <c r="M137" s="1" t="s">
        <v>1773</v>
      </c>
      <c r="N137" s="1" t="s">
        <v>1774</v>
      </c>
      <c r="O137" s="1" t="str">
        <f t="shared" si="2"/>
        <v>Gross Profit_HL_Self-occupation</v>
      </c>
      <c r="P137" s="6">
        <v>1</v>
      </c>
      <c r="Q137" s="6">
        <v>100000000</v>
      </c>
      <c r="R137" s="6">
        <v>240</v>
      </c>
      <c r="S137" s="6">
        <v>240</v>
      </c>
      <c r="T137" s="9">
        <v>0.6</v>
      </c>
      <c r="U137" s="9">
        <v>0.625</v>
      </c>
      <c r="V137" s="9">
        <v>0.65</v>
      </c>
      <c r="W137" s="9">
        <v>0.7</v>
      </c>
      <c r="X137" s="9">
        <v>0.9</v>
      </c>
      <c r="Y137" s="9">
        <v>0.9</v>
      </c>
      <c r="Z137" s="9">
        <v>0.9</v>
      </c>
      <c r="AA137" s="9">
        <v>0.9</v>
      </c>
    </row>
    <row r="138" spans="4:27">
      <c r="D138" s="8"/>
      <c r="G138" s="8"/>
      <c r="J138" s="8"/>
      <c r="L138" s="1" t="s">
        <v>870</v>
      </c>
      <c r="M138" s="1" t="s">
        <v>1777</v>
      </c>
      <c r="N138" s="1" t="s">
        <v>1774</v>
      </c>
      <c r="O138" s="1" t="str">
        <f t="shared" si="2"/>
        <v>Gross Profit_HLGPLIns_Self-occupation</v>
      </c>
      <c r="P138" s="6">
        <v>1</v>
      </c>
      <c r="Q138" s="6">
        <v>100000000</v>
      </c>
      <c r="R138" s="6">
        <v>240</v>
      </c>
      <c r="S138" s="6">
        <v>240</v>
      </c>
      <c r="T138" s="9">
        <v>0.6</v>
      </c>
      <c r="U138" s="9">
        <v>0.625</v>
      </c>
      <c r="V138" s="9">
        <v>0.65</v>
      </c>
      <c r="W138" s="9">
        <v>0.7</v>
      </c>
      <c r="X138" s="9">
        <v>0.9</v>
      </c>
      <c r="Y138" s="9">
        <v>0.9</v>
      </c>
      <c r="Z138" s="9">
        <v>0.9</v>
      </c>
      <c r="AA138" s="9">
        <v>0.9</v>
      </c>
    </row>
    <row r="139" spans="4:27">
      <c r="D139" s="8"/>
      <c r="G139" s="8"/>
      <c r="J139" s="8"/>
      <c r="L139" s="1" t="s">
        <v>870</v>
      </c>
      <c r="M139" s="1" t="s">
        <v>1780</v>
      </c>
      <c r="N139" s="1" t="s">
        <v>1774</v>
      </c>
      <c r="O139" s="1" t="str">
        <f t="shared" si="2"/>
        <v>Gross Profit_HLGPL_Self-occupation</v>
      </c>
      <c r="P139" s="6">
        <v>1</v>
      </c>
      <c r="Q139" s="6">
        <v>100000000</v>
      </c>
      <c r="R139" s="6">
        <v>240</v>
      </c>
      <c r="S139" s="6">
        <v>240</v>
      </c>
      <c r="T139" s="9">
        <v>0.6</v>
      </c>
      <c r="U139" s="9">
        <v>0.625</v>
      </c>
      <c r="V139" s="9">
        <v>0.65</v>
      </c>
      <c r="W139" s="9">
        <v>0.7</v>
      </c>
      <c r="X139" s="9">
        <v>0.9</v>
      </c>
      <c r="Y139" s="9">
        <v>0.9</v>
      </c>
      <c r="Z139" s="9">
        <v>0.9</v>
      </c>
      <c r="AA139" s="9">
        <v>0.9</v>
      </c>
    </row>
    <row r="140" spans="4:27">
      <c r="D140" s="8"/>
      <c r="G140" s="8"/>
      <c r="J140" s="8"/>
      <c r="L140" s="1" t="s">
        <v>870</v>
      </c>
      <c r="M140" s="1" t="s">
        <v>1783</v>
      </c>
      <c r="N140" s="1" t="s">
        <v>1774</v>
      </c>
      <c r="O140" s="1" t="str">
        <f t="shared" si="2"/>
        <v>Gross Profit_HLIns_Self-occupation</v>
      </c>
      <c r="P140" s="6">
        <v>1</v>
      </c>
      <c r="Q140" s="6">
        <v>100000000</v>
      </c>
      <c r="R140" s="6">
        <v>240</v>
      </c>
      <c r="S140" s="6">
        <v>240</v>
      </c>
      <c r="T140" s="9">
        <v>0.6</v>
      </c>
      <c r="U140" s="9">
        <v>0.625</v>
      </c>
      <c r="V140" s="9">
        <v>0.65</v>
      </c>
      <c r="W140" s="9">
        <v>0.7</v>
      </c>
      <c r="X140" s="9">
        <v>0.9</v>
      </c>
      <c r="Y140" s="9">
        <v>0.9</v>
      </c>
      <c r="Z140" s="9">
        <v>0.9</v>
      </c>
      <c r="AA140" s="9">
        <v>0.9</v>
      </c>
    </row>
    <row r="141" spans="4:27">
      <c r="D141" s="8"/>
      <c r="G141" s="8"/>
      <c r="J141" s="8"/>
      <c r="L141" s="1" t="s">
        <v>870</v>
      </c>
      <c r="M141" s="1" t="s">
        <v>1773</v>
      </c>
      <c r="N141" s="1" t="s">
        <v>1787</v>
      </c>
      <c r="O141" s="1" t="str">
        <f t="shared" si="2"/>
        <v>Gross Profit_HL_Rent out</v>
      </c>
      <c r="P141" s="6">
        <v>1</v>
      </c>
      <c r="Q141" s="6">
        <v>100000000</v>
      </c>
      <c r="R141" s="6">
        <v>240</v>
      </c>
      <c r="S141" s="6">
        <v>240</v>
      </c>
      <c r="T141" s="9">
        <v>0.6</v>
      </c>
      <c r="U141" s="9">
        <v>0.625</v>
      </c>
      <c r="V141" s="9">
        <v>0.65</v>
      </c>
      <c r="W141" s="9">
        <v>0.7</v>
      </c>
      <c r="X141" s="9">
        <v>0.9</v>
      </c>
      <c r="Y141" s="9">
        <v>0.9</v>
      </c>
      <c r="Z141" s="9">
        <v>0.9</v>
      </c>
      <c r="AA141" s="9">
        <v>0.9</v>
      </c>
    </row>
    <row r="142" spans="4:27">
      <c r="D142" s="8"/>
      <c r="G142" s="8"/>
      <c r="J142" s="8"/>
      <c r="L142" s="1" t="s">
        <v>870</v>
      </c>
      <c r="M142" s="1" t="s">
        <v>1777</v>
      </c>
      <c r="N142" s="1" t="s">
        <v>1787</v>
      </c>
      <c r="O142" s="1" t="str">
        <f t="shared" si="2"/>
        <v>Gross Profit_HLGPLIns_Rent out</v>
      </c>
      <c r="P142" s="6">
        <v>1</v>
      </c>
      <c r="Q142" s="6">
        <v>100000000</v>
      </c>
      <c r="R142" s="6">
        <v>240</v>
      </c>
      <c r="S142" s="6">
        <v>240</v>
      </c>
      <c r="T142" s="9">
        <v>0.6</v>
      </c>
      <c r="U142" s="9">
        <v>0.625</v>
      </c>
      <c r="V142" s="9">
        <v>0.65</v>
      </c>
      <c r="W142" s="9">
        <v>0.7</v>
      </c>
      <c r="X142" s="9">
        <v>0.9</v>
      </c>
      <c r="Y142" s="9">
        <v>0.9</v>
      </c>
      <c r="Z142" s="9">
        <v>0.9</v>
      </c>
      <c r="AA142" s="9">
        <v>0.9</v>
      </c>
    </row>
    <row r="143" spans="4:27">
      <c r="D143" s="8"/>
      <c r="G143" s="8"/>
      <c r="J143" s="8"/>
      <c r="L143" s="1" t="s">
        <v>870</v>
      </c>
      <c r="M143" s="1" t="s">
        <v>1780</v>
      </c>
      <c r="N143" s="1" t="s">
        <v>1787</v>
      </c>
      <c r="O143" s="1" t="str">
        <f t="shared" si="2"/>
        <v>Gross Profit_HLGPL_Rent out</v>
      </c>
      <c r="P143" s="6">
        <v>1</v>
      </c>
      <c r="Q143" s="6">
        <v>100000000</v>
      </c>
      <c r="R143" s="6">
        <v>240</v>
      </c>
      <c r="S143" s="6">
        <v>240</v>
      </c>
      <c r="T143" s="9">
        <v>0.6</v>
      </c>
      <c r="U143" s="9">
        <v>0.625</v>
      </c>
      <c r="V143" s="9">
        <v>0.65</v>
      </c>
      <c r="W143" s="9">
        <v>0.7</v>
      </c>
      <c r="X143" s="9">
        <v>0.9</v>
      </c>
      <c r="Y143" s="9">
        <v>0.9</v>
      </c>
      <c r="Z143" s="9">
        <v>0.9</v>
      </c>
      <c r="AA143" s="9">
        <v>0.9</v>
      </c>
    </row>
    <row r="144" spans="4:27">
      <c r="D144" s="8"/>
      <c r="G144" s="8"/>
      <c r="J144" s="8"/>
      <c r="L144" s="1" t="s">
        <v>870</v>
      </c>
      <c r="M144" s="1" t="s">
        <v>1783</v>
      </c>
      <c r="N144" s="1" t="s">
        <v>1787</v>
      </c>
      <c r="O144" s="1" t="str">
        <f t="shared" si="2"/>
        <v>Gross Profit_HLIns_Rent out</v>
      </c>
      <c r="P144" s="6">
        <v>1</v>
      </c>
      <c r="Q144" s="6">
        <v>100000000</v>
      </c>
      <c r="R144" s="6">
        <v>240</v>
      </c>
      <c r="S144" s="6">
        <v>240</v>
      </c>
      <c r="T144" s="9">
        <v>0.6</v>
      </c>
      <c r="U144" s="9">
        <v>0.625</v>
      </c>
      <c r="V144" s="9">
        <v>0.65</v>
      </c>
      <c r="W144" s="9">
        <v>0.7</v>
      </c>
      <c r="X144" s="9">
        <v>0.9</v>
      </c>
      <c r="Y144" s="9">
        <v>0.9</v>
      </c>
      <c r="Z144" s="9">
        <v>0.9</v>
      </c>
      <c r="AA144" s="9">
        <v>0.9</v>
      </c>
    </row>
    <row r="145" spans="4:27">
      <c r="D145" s="8"/>
      <c r="G145" s="8"/>
      <c r="J145" s="8"/>
      <c r="L145" s="1" t="s">
        <v>870</v>
      </c>
      <c r="M145" s="1" t="s">
        <v>1773</v>
      </c>
      <c r="N145" s="1" t="s">
        <v>1799</v>
      </c>
      <c r="O145" s="1" t="str">
        <f t="shared" si="2"/>
        <v>Gross Profit_HL_Vacant / Investment</v>
      </c>
      <c r="P145" s="6">
        <v>1</v>
      </c>
      <c r="Q145" s="6">
        <v>100000000</v>
      </c>
      <c r="R145" s="6">
        <v>240</v>
      </c>
      <c r="S145" s="6">
        <v>240</v>
      </c>
      <c r="T145" s="9">
        <v>0.6</v>
      </c>
      <c r="U145" s="9">
        <v>0.625</v>
      </c>
      <c r="V145" s="9">
        <v>0.65</v>
      </c>
      <c r="W145" s="9">
        <v>0.7</v>
      </c>
      <c r="X145" s="9">
        <v>0.85</v>
      </c>
      <c r="Y145" s="9">
        <v>0.85</v>
      </c>
      <c r="Z145" s="9">
        <v>0.85</v>
      </c>
      <c r="AA145" s="9">
        <v>0.85</v>
      </c>
    </row>
    <row r="146" spans="4:27" ht="25.5">
      <c r="D146" s="8"/>
      <c r="G146" s="8"/>
      <c r="J146" s="8"/>
      <c r="L146" s="1" t="s">
        <v>870</v>
      </c>
      <c r="M146" s="1" t="s">
        <v>1777</v>
      </c>
      <c r="N146" s="1" t="s">
        <v>1799</v>
      </c>
      <c r="O146" s="1" t="str">
        <f t="shared" si="2"/>
        <v>Gross Profit_HLGPLIns_Vacant / Investment</v>
      </c>
      <c r="P146" s="6">
        <v>1</v>
      </c>
      <c r="Q146" s="6">
        <v>100000000</v>
      </c>
      <c r="R146" s="6">
        <v>240</v>
      </c>
      <c r="S146" s="6">
        <v>240</v>
      </c>
      <c r="T146" s="9">
        <v>0.6</v>
      </c>
      <c r="U146" s="9">
        <v>0.625</v>
      </c>
      <c r="V146" s="9">
        <v>0.65</v>
      </c>
      <c r="W146" s="9">
        <v>0.7</v>
      </c>
      <c r="X146" s="9">
        <v>0.85</v>
      </c>
      <c r="Y146" s="9">
        <v>0.85</v>
      </c>
      <c r="Z146" s="9">
        <v>0.85</v>
      </c>
      <c r="AA146" s="9">
        <v>0.85</v>
      </c>
    </row>
    <row r="147" spans="4:27" ht="25.5">
      <c r="D147" s="8"/>
      <c r="G147" s="8"/>
      <c r="J147" s="8"/>
      <c r="L147" s="1" t="s">
        <v>870</v>
      </c>
      <c r="M147" s="1" t="s">
        <v>1780</v>
      </c>
      <c r="N147" s="1" t="s">
        <v>1799</v>
      </c>
      <c r="O147" s="1" t="str">
        <f t="shared" si="2"/>
        <v>Gross Profit_HLGPL_Vacant / Investment</v>
      </c>
      <c r="P147" s="6">
        <v>1</v>
      </c>
      <c r="Q147" s="6">
        <v>100000000</v>
      </c>
      <c r="R147" s="6">
        <v>240</v>
      </c>
      <c r="S147" s="6">
        <v>240</v>
      </c>
      <c r="T147" s="9">
        <v>0.6</v>
      </c>
      <c r="U147" s="9">
        <v>0.625</v>
      </c>
      <c r="V147" s="9">
        <v>0.65</v>
      </c>
      <c r="W147" s="9">
        <v>0.7</v>
      </c>
      <c r="X147" s="9">
        <v>0.85</v>
      </c>
      <c r="Y147" s="9">
        <v>0.85</v>
      </c>
      <c r="Z147" s="9">
        <v>0.85</v>
      </c>
      <c r="AA147" s="9">
        <v>0.85</v>
      </c>
    </row>
    <row r="148" spans="4:27" ht="25.5">
      <c r="D148" s="8"/>
      <c r="G148" s="8"/>
      <c r="J148" s="8"/>
      <c r="L148" s="1" t="s">
        <v>870</v>
      </c>
      <c r="M148" s="1" t="s">
        <v>1783</v>
      </c>
      <c r="N148" s="1" t="s">
        <v>1799</v>
      </c>
      <c r="O148" s="1" t="str">
        <f t="shared" si="2"/>
        <v>Gross Profit_HLIns_Vacant / Investment</v>
      </c>
      <c r="P148" s="6">
        <v>1</v>
      </c>
      <c r="Q148" s="6">
        <v>100000000</v>
      </c>
      <c r="R148" s="6">
        <v>240</v>
      </c>
      <c r="S148" s="6">
        <v>240</v>
      </c>
      <c r="T148" s="9">
        <v>0.6</v>
      </c>
      <c r="U148" s="9">
        <v>0.625</v>
      </c>
      <c r="V148" s="9">
        <v>0.65</v>
      </c>
      <c r="W148" s="9">
        <v>0.7</v>
      </c>
      <c r="X148" s="9">
        <v>0.85</v>
      </c>
      <c r="Y148" s="9">
        <v>0.85</v>
      </c>
      <c r="Z148" s="9">
        <v>0.85</v>
      </c>
      <c r="AA148" s="9">
        <v>0.85</v>
      </c>
    </row>
    <row r="149" spans="4:27">
      <c r="D149" s="8"/>
      <c r="G149" s="8"/>
      <c r="J149" s="8"/>
      <c r="L149" s="1" t="s">
        <v>870</v>
      </c>
      <c r="M149" s="1" t="s">
        <v>1812</v>
      </c>
      <c r="N149" s="1" t="s">
        <v>1774</v>
      </c>
      <c r="O149" s="1" t="str">
        <f t="shared" si="2"/>
        <v>Gross Profit_LAP_Self-occupation</v>
      </c>
      <c r="P149" s="6">
        <v>1</v>
      </c>
      <c r="Q149" s="6">
        <v>75000000</v>
      </c>
      <c r="R149" s="6">
        <v>180</v>
      </c>
      <c r="S149" s="6">
        <v>180</v>
      </c>
      <c r="T149" s="9">
        <v>0.6</v>
      </c>
      <c r="U149" s="9">
        <v>0.625</v>
      </c>
      <c r="V149" s="9">
        <v>0.65</v>
      </c>
      <c r="W149" s="9">
        <v>0.7</v>
      </c>
      <c r="X149" s="9">
        <v>0.7</v>
      </c>
      <c r="Y149" s="9">
        <v>0.71</v>
      </c>
      <c r="Z149" s="9">
        <v>0.73</v>
      </c>
      <c r="AA149" s="9">
        <v>0.75</v>
      </c>
    </row>
    <row r="150" spans="4:27" ht="25.5">
      <c r="D150" s="8"/>
      <c r="G150" s="8"/>
      <c r="J150" s="8"/>
      <c r="L150" s="1" t="s">
        <v>870</v>
      </c>
      <c r="M150" s="1" t="s">
        <v>1816</v>
      </c>
      <c r="N150" s="1" t="s">
        <v>1774</v>
      </c>
      <c r="O150" s="1" t="str">
        <f t="shared" si="2"/>
        <v>Gross Profit_LAPGPLIns_Self-occupation</v>
      </c>
      <c r="P150" s="6">
        <v>1</v>
      </c>
      <c r="Q150" s="6">
        <v>75000000</v>
      </c>
      <c r="R150" s="6">
        <v>180</v>
      </c>
      <c r="S150" s="6">
        <v>180</v>
      </c>
      <c r="T150" s="9">
        <v>0.6</v>
      </c>
      <c r="U150" s="9">
        <v>0.625</v>
      </c>
      <c r="V150" s="9">
        <v>0.65</v>
      </c>
      <c r="W150" s="9">
        <v>0.7</v>
      </c>
      <c r="X150" s="9">
        <v>0.7</v>
      </c>
      <c r="Y150" s="9">
        <v>0.71</v>
      </c>
      <c r="Z150" s="9">
        <v>0.73</v>
      </c>
      <c r="AA150" s="9">
        <v>0.75</v>
      </c>
    </row>
    <row r="151" spans="4:27">
      <c r="D151" s="8"/>
      <c r="G151" s="8"/>
      <c r="J151" s="8"/>
      <c r="L151" s="1" t="s">
        <v>870</v>
      </c>
      <c r="M151" s="1" t="s">
        <v>1821</v>
      </c>
      <c r="N151" s="1" t="s">
        <v>1774</v>
      </c>
      <c r="O151" s="1" t="str">
        <f t="shared" si="2"/>
        <v>Gross Profit_LAPGPL_Self-occupation</v>
      </c>
      <c r="P151" s="6">
        <v>1</v>
      </c>
      <c r="Q151" s="6">
        <v>75000000</v>
      </c>
      <c r="R151" s="6">
        <v>180</v>
      </c>
      <c r="S151" s="6">
        <v>180</v>
      </c>
      <c r="T151" s="9">
        <v>0.6</v>
      </c>
      <c r="U151" s="9">
        <v>0.625</v>
      </c>
      <c r="V151" s="9">
        <v>0.65</v>
      </c>
      <c r="W151" s="9">
        <v>0.7</v>
      </c>
      <c r="X151" s="9">
        <v>0.7</v>
      </c>
      <c r="Y151" s="9">
        <v>0.71</v>
      </c>
      <c r="Z151" s="9">
        <v>0.73</v>
      </c>
      <c r="AA151" s="9">
        <v>0.75</v>
      </c>
    </row>
    <row r="152" spans="4:27">
      <c r="D152" s="8"/>
      <c r="G152" s="8"/>
      <c r="J152" s="8"/>
      <c r="L152" s="1" t="s">
        <v>870</v>
      </c>
      <c r="M152" s="1" t="s">
        <v>1824</v>
      </c>
      <c r="N152" s="1" t="s">
        <v>1774</v>
      </c>
      <c r="O152" s="1" t="str">
        <f t="shared" si="2"/>
        <v>Gross Profit_LAPIns_Self-occupation</v>
      </c>
      <c r="P152" s="6">
        <v>1</v>
      </c>
      <c r="Q152" s="6">
        <v>75000000</v>
      </c>
      <c r="R152" s="6">
        <v>180</v>
      </c>
      <c r="S152" s="6">
        <v>180</v>
      </c>
      <c r="T152" s="9">
        <v>0.6</v>
      </c>
      <c r="U152" s="9">
        <v>0.625</v>
      </c>
      <c r="V152" s="9">
        <v>0.65</v>
      </c>
      <c r="W152" s="9">
        <v>0.7</v>
      </c>
      <c r="X152" s="9">
        <v>0.7</v>
      </c>
      <c r="Y152" s="9">
        <v>0.71</v>
      </c>
      <c r="Z152" s="9">
        <v>0.73</v>
      </c>
      <c r="AA152" s="9">
        <v>0.75</v>
      </c>
    </row>
    <row r="153" spans="4:27">
      <c r="D153" s="8"/>
      <c r="G153" s="8"/>
      <c r="J153" s="8"/>
      <c r="L153" s="1" t="s">
        <v>870</v>
      </c>
      <c r="M153" s="1" t="s">
        <v>1812</v>
      </c>
      <c r="N153" s="1" t="s">
        <v>1787</v>
      </c>
      <c r="O153" s="1" t="str">
        <f t="shared" si="2"/>
        <v>Gross Profit_LAP_Rent out</v>
      </c>
      <c r="P153" s="6">
        <v>1</v>
      </c>
      <c r="Q153" s="6">
        <v>75000000</v>
      </c>
      <c r="R153" s="6">
        <v>180</v>
      </c>
      <c r="S153" s="6">
        <v>180</v>
      </c>
      <c r="T153" s="9">
        <v>0.6</v>
      </c>
      <c r="U153" s="9">
        <v>0.625</v>
      </c>
      <c r="V153" s="9">
        <v>0.65</v>
      </c>
      <c r="W153" s="9">
        <v>0.7</v>
      </c>
      <c r="X153" s="9">
        <v>0.7</v>
      </c>
      <c r="Y153" s="9">
        <v>0.71</v>
      </c>
      <c r="Z153" s="9">
        <v>0.73</v>
      </c>
      <c r="AA153" s="9">
        <v>0.75</v>
      </c>
    </row>
    <row r="154" spans="4:27">
      <c r="D154" s="8"/>
      <c r="G154" s="8"/>
      <c r="J154" s="8"/>
      <c r="L154" s="1" t="s">
        <v>870</v>
      </c>
      <c r="M154" s="1" t="s">
        <v>1816</v>
      </c>
      <c r="N154" s="1" t="s">
        <v>1787</v>
      </c>
      <c r="O154" s="1" t="str">
        <f t="shared" si="2"/>
        <v>Gross Profit_LAPGPLIns_Rent out</v>
      </c>
      <c r="P154" s="6">
        <v>1</v>
      </c>
      <c r="Q154" s="6">
        <v>75000000</v>
      </c>
      <c r="R154" s="6">
        <v>180</v>
      </c>
      <c r="S154" s="6">
        <v>180</v>
      </c>
      <c r="T154" s="9">
        <v>0.6</v>
      </c>
      <c r="U154" s="9">
        <v>0.625</v>
      </c>
      <c r="V154" s="9">
        <v>0.65</v>
      </c>
      <c r="W154" s="9">
        <v>0.7</v>
      </c>
      <c r="X154" s="9">
        <v>0.7</v>
      </c>
      <c r="Y154" s="9">
        <v>0.71</v>
      </c>
      <c r="Z154" s="9">
        <v>0.73</v>
      </c>
      <c r="AA154" s="9">
        <v>0.75</v>
      </c>
    </row>
    <row r="155" spans="4:27">
      <c r="D155" s="8"/>
      <c r="G155" s="8"/>
      <c r="J155" s="8"/>
      <c r="L155" s="1" t="s">
        <v>870</v>
      </c>
      <c r="M155" s="1" t="s">
        <v>1821</v>
      </c>
      <c r="N155" s="1" t="s">
        <v>1787</v>
      </c>
      <c r="O155" s="1" t="str">
        <f t="shared" si="2"/>
        <v>Gross Profit_LAPGPL_Rent out</v>
      </c>
      <c r="P155" s="6">
        <v>1</v>
      </c>
      <c r="Q155" s="6">
        <v>75000000</v>
      </c>
      <c r="R155" s="6">
        <v>180</v>
      </c>
      <c r="S155" s="6">
        <v>180</v>
      </c>
      <c r="T155" s="9">
        <v>0.6</v>
      </c>
      <c r="U155" s="9">
        <v>0.625</v>
      </c>
      <c r="V155" s="9">
        <v>0.65</v>
      </c>
      <c r="W155" s="9">
        <v>0.7</v>
      </c>
      <c r="X155" s="9">
        <v>0.7</v>
      </c>
      <c r="Y155" s="9">
        <v>0.71</v>
      </c>
      <c r="Z155" s="9">
        <v>0.73</v>
      </c>
      <c r="AA155" s="9">
        <v>0.75</v>
      </c>
    </row>
    <row r="156" spans="4:27">
      <c r="D156" s="8"/>
      <c r="G156" s="8"/>
      <c r="J156" s="8"/>
      <c r="L156" s="1" t="s">
        <v>870</v>
      </c>
      <c r="M156" s="1" t="s">
        <v>1824</v>
      </c>
      <c r="N156" s="1" t="s">
        <v>1787</v>
      </c>
      <c r="O156" s="1" t="str">
        <f t="shared" si="2"/>
        <v>Gross Profit_LAPIns_Rent out</v>
      </c>
      <c r="P156" s="6">
        <v>1</v>
      </c>
      <c r="Q156" s="6">
        <v>75000000</v>
      </c>
      <c r="R156" s="6">
        <v>180</v>
      </c>
      <c r="S156" s="6">
        <v>180</v>
      </c>
      <c r="T156" s="9">
        <v>0.6</v>
      </c>
      <c r="U156" s="9">
        <v>0.625</v>
      </c>
      <c r="V156" s="9">
        <v>0.65</v>
      </c>
      <c r="W156" s="9">
        <v>0.7</v>
      </c>
      <c r="X156" s="9">
        <v>0.7</v>
      </c>
      <c r="Y156" s="9">
        <v>0.71</v>
      </c>
      <c r="Z156" s="9">
        <v>0.73</v>
      </c>
      <c r="AA156" s="9">
        <v>0.75</v>
      </c>
    </row>
    <row r="157" spans="4:27">
      <c r="D157" s="8"/>
      <c r="G157" s="8"/>
      <c r="J157" s="8"/>
      <c r="L157" s="1" t="s">
        <v>870</v>
      </c>
      <c r="M157" s="1" t="s">
        <v>1812</v>
      </c>
      <c r="N157" s="1" t="s">
        <v>1799</v>
      </c>
      <c r="O157" s="1" t="str">
        <f t="shared" si="2"/>
        <v>Gross Profit_LAP_Vacant / Investment</v>
      </c>
      <c r="P157" s="6">
        <v>1</v>
      </c>
      <c r="Q157" s="6">
        <v>75000000</v>
      </c>
      <c r="R157" s="6">
        <v>180</v>
      </c>
      <c r="S157" s="6">
        <v>180</v>
      </c>
      <c r="T157" s="9">
        <v>0.6</v>
      </c>
      <c r="U157" s="9">
        <v>0.625</v>
      </c>
      <c r="V157" s="9">
        <v>0.65</v>
      </c>
      <c r="W157" s="9">
        <v>0.7</v>
      </c>
      <c r="X157" s="9">
        <v>0.65</v>
      </c>
      <c r="Y157" s="9">
        <v>0.66</v>
      </c>
      <c r="Z157" s="9">
        <v>0.68</v>
      </c>
      <c r="AA157" s="9">
        <v>0.7</v>
      </c>
    </row>
    <row r="158" spans="4:27" ht="25.5">
      <c r="D158" s="8"/>
      <c r="G158" s="8"/>
      <c r="J158" s="8"/>
      <c r="L158" s="1" t="s">
        <v>870</v>
      </c>
      <c r="M158" s="1" t="s">
        <v>1816</v>
      </c>
      <c r="N158" s="1" t="s">
        <v>1799</v>
      </c>
      <c r="O158" s="1" t="str">
        <f t="shared" si="2"/>
        <v>Gross Profit_LAPGPLIns_Vacant / Investment</v>
      </c>
      <c r="P158" s="6">
        <v>1</v>
      </c>
      <c r="Q158" s="6">
        <v>75000000</v>
      </c>
      <c r="R158" s="6">
        <v>180</v>
      </c>
      <c r="S158" s="6">
        <v>180</v>
      </c>
      <c r="T158" s="9">
        <v>0.6</v>
      </c>
      <c r="U158" s="9">
        <v>0.625</v>
      </c>
      <c r="V158" s="9">
        <v>0.65</v>
      </c>
      <c r="W158" s="9">
        <v>0.7</v>
      </c>
      <c r="X158" s="9">
        <v>0.65</v>
      </c>
      <c r="Y158" s="9">
        <v>0.66</v>
      </c>
      <c r="Z158" s="9">
        <v>0.68</v>
      </c>
      <c r="AA158" s="9">
        <v>0.7</v>
      </c>
    </row>
    <row r="159" spans="4:27" ht="25.5">
      <c r="D159" s="8"/>
      <c r="G159" s="8"/>
      <c r="J159" s="8"/>
      <c r="L159" s="1" t="s">
        <v>870</v>
      </c>
      <c r="M159" s="1" t="s">
        <v>1821</v>
      </c>
      <c r="N159" s="1" t="s">
        <v>1799</v>
      </c>
      <c r="O159" s="1" t="str">
        <f t="shared" si="2"/>
        <v>Gross Profit_LAPGPL_Vacant / Investment</v>
      </c>
      <c r="P159" s="6">
        <v>1</v>
      </c>
      <c r="Q159" s="6">
        <v>75000000</v>
      </c>
      <c r="R159" s="6">
        <v>180</v>
      </c>
      <c r="S159" s="6">
        <v>180</v>
      </c>
      <c r="T159" s="9">
        <v>0.6</v>
      </c>
      <c r="U159" s="9">
        <v>0.625</v>
      </c>
      <c r="V159" s="9">
        <v>0.65</v>
      </c>
      <c r="W159" s="9">
        <v>0.7</v>
      </c>
      <c r="X159" s="9">
        <v>0.65</v>
      </c>
      <c r="Y159" s="9">
        <v>0.66</v>
      </c>
      <c r="Z159" s="9">
        <v>0.68</v>
      </c>
      <c r="AA159" s="9">
        <v>0.7</v>
      </c>
    </row>
    <row r="160" spans="4:27" ht="25.5">
      <c r="D160" s="8"/>
      <c r="G160" s="8"/>
      <c r="J160" s="8"/>
      <c r="L160" s="1" t="s">
        <v>870</v>
      </c>
      <c r="M160" s="1" t="s">
        <v>1824</v>
      </c>
      <c r="N160" s="1" t="s">
        <v>1799</v>
      </c>
      <c r="O160" s="1" t="str">
        <f t="shared" si="2"/>
        <v>Gross Profit_LAPIns_Vacant / Investment</v>
      </c>
      <c r="P160" s="6">
        <v>1</v>
      </c>
      <c r="Q160" s="6">
        <v>75000000</v>
      </c>
      <c r="R160" s="6">
        <v>180</v>
      </c>
      <c r="S160" s="6">
        <v>180</v>
      </c>
      <c r="T160" s="9">
        <v>0.6</v>
      </c>
      <c r="U160" s="9">
        <v>0.625</v>
      </c>
      <c r="V160" s="9">
        <v>0.65</v>
      </c>
      <c r="W160" s="9">
        <v>0.7</v>
      </c>
      <c r="X160" s="9">
        <v>0.65</v>
      </c>
      <c r="Y160" s="9">
        <v>0.66</v>
      </c>
      <c r="Z160" s="9">
        <v>0.68</v>
      </c>
      <c r="AA160" s="9">
        <v>0.7</v>
      </c>
    </row>
    <row r="161" spans="4:27">
      <c r="D161" s="8"/>
      <c r="G161" s="8"/>
      <c r="J161" s="8"/>
      <c r="L161" s="1" t="s">
        <v>870</v>
      </c>
      <c r="M161" s="1" t="s">
        <v>1852</v>
      </c>
      <c r="N161" s="1" t="s">
        <v>1774</v>
      </c>
      <c r="O161" s="1" t="str">
        <f t="shared" si="2"/>
        <v>Gross Profit_Indl_Self-occupation</v>
      </c>
      <c r="P161" s="6">
        <v>10000000</v>
      </c>
      <c r="Q161" s="6">
        <v>100000000</v>
      </c>
      <c r="R161" s="6">
        <v>0</v>
      </c>
      <c r="S161" s="6">
        <v>120</v>
      </c>
      <c r="T161" s="9">
        <v>0</v>
      </c>
      <c r="U161" s="9">
        <v>0</v>
      </c>
      <c r="V161" s="9">
        <v>0</v>
      </c>
      <c r="W161" s="9">
        <v>0.6</v>
      </c>
      <c r="X161" s="9">
        <v>0.5</v>
      </c>
      <c r="Y161" s="9">
        <v>0</v>
      </c>
      <c r="Z161" s="9">
        <v>0</v>
      </c>
      <c r="AA161" s="9">
        <v>0.5</v>
      </c>
    </row>
    <row r="162" spans="4:27" ht="25.5">
      <c r="D162" s="8"/>
      <c r="G162" s="8"/>
      <c r="J162" s="8"/>
      <c r="L162" s="1" t="s">
        <v>870</v>
      </c>
      <c r="M162" s="1" t="s">
        <v>1856</v>
      </c>
      <c r="N162" s="1" t="s">
        <v>1774</v>
      </c>
      <c r="O162" s="1" t="str">
        <f t="shared" si="2"/>
        <v>Gross Profit_IndlGPLIns_Self-occupation</v>
      </c>
      <c r="P162" s="6">
        <v>10000000</v>
      </c>
      <c r="Q162" s="6">
        <v>100000000</v>
      </c>
      <c r="R162" s="6">
        <v>0</v>
      </c>
      <c r="S162" s="6">
        <v>120</v>
      </c>
      <c r="T162" s="9">
        <v>0</v>
      </c>
      <c r="U162" s="9">
        <v>0</v>
      </c>
      <c r="V162" s="9">
        <v>0</v>
      </c>
      <c r="W162" s="9">
        <v>0.6</v>
      </c>
      <c r="X162" s="9">
        <v>0.55000000000000004</v>
      </c>
      <c r="Y162" s="9">
        <v>0</v>
      </c>
      <c r="Z162" s="9">
        <v>0</v>
      </c>
      <c r="AA162" s="9">
        <v>0.55000000000000004</v>
      </c>
    </row>
    <row r="163" spans="4:27">
      <c r="D163" s="8"/>
      <c r="G163" s="8"/>
      <c r="J163" s="8"/>
      <c r="L163" s="1" t="s">
        <v>870</v>
      </c>
      <c r="M163" s="1" t="s">
        <v>1860</v>
      </c>
      <c r="N163" s="1" t="s">
        <v>1774</v>
      </c>
      <c r="O163" s="1" t="str">
        <f t="shared" si="2"/>
        <v>Gross Profit_IndlGPL_Self-occupation</v>
      </c>
      <c r="P163" s="6">
        <v>10000000</v>
      </c>
      <c r="Q163" s="6">
        <v>100000000</v>
      </c>
      <c r="R163" s="6">
        <v>0</v>
      </c>
      <c r="S163" s="6">
        <v>120</v>
      </c>
      <c r="T163" s="9">
        <v>0</v>
      </c>
      <c r="U163" s="9">
        <v>0</v>
      </c>
      <c r="V163" s="9">
        <v>0</v>
      </c>
      <c r="W163" s="9">
        <v>0.6</v>
      </c>
      <c r="X163" s="9">
        <v>0.55000000000000004</v>
      </c>
      <c r="Y163" s="9">
        <v>0</v>
      </c>
      <c r="Z163" s="9">
        <v>0</v>
      </c>
      <c r="AA163" s="9">
        <v>0.55000000000000004</v>
      </c>
    </row>
    <row r="164" spans="4:27">
      <c r="D164" s="8"/>
      <c r="G164" s="8"/>
      <c r="J164" s="8"/>
      <c r="L164" s="1" t="s">
        <v>870</v>
      </c>
      <c r="M164" s="1" t="s">
        <v>1864</v>
      </c>
      <c r="N164" s="1" t="s">
        <v>1774</v>
      </c>
      <c r="O164" s="1" t="str">
        <f t="shared" si="2"/>
        <v>Gross Profit_IndlIns_Self-occupation</v>
      </c>
      <c r="P164" s="6">
        <v>10000000</v>
      </c>
      <c r="Q164" s="6">
        <v>100000000</v>
      </c>
      <c r="R164" s="6">
        <v>0</v>
      </c>
      <c r="S164" s="6">
        <v>120</v>
      </c>
      <c r="T164" s="9">
        <v>0</v>
      </c>
      <c r="U164" s="9">
        <v>0</v>
      </c>
      <c r="V164" s="9">
        <v>0</v>
      </c>
      <c r="W164" s="9">
        <v>0.6</v>
      </c>
      <c r="X164" s="9">
        <v>0.5</v>
      </c>
      <c r="Y164" s="9">
        <v>0</v>
      </c>
      <c r="Z164" s="9">
        <v>0</v>
      </c>
      <c r="AA164" s="9">
        <v>0.5</v>
      </c>
    </row>
    <row r="165" spans="4:27">
      <c r="D165" s="8"/>
      <c r="G165" s="8"/>
      <c r="J165" s="8"/>
      <c r="L165" s="1" t="s">
        <v>870</v>
      </c>
      <c r="M165" s="1" t="s">
        <v>1852</v>
      </c>
      <c r="N165" s="1" t="s">
        <v>1787</v>
      </c>
      <c r="O165" s="1" t="str">
        <f t="shared" si="2"/>
        <v>Gross Profit_Indl_Rent out</v>
      </c>
      <c r="P165" s="6">
        <v>10000000</v>
      </c>
      <c r="Q165" s="6">
        <v>100000000</v>
      </c>
      <c r="R165" s="6">
        <v>0</v>
      </c>
      <c r="S165" s="6">
        <v>120</v>
      </c>
      <c r="T165" s="9">
        <v>0</v>
      </c>
      <c r="U165" s="9">
        <v>0</v>
      </c>
      <c r="V165" s="9">
        <v>0</v>
      </c>
      <c r="W165" s="9">
        <v>0.6</v>
      </c>
      <c r="X165" s="9">
        <v>0.5</v>
      </c>
      <c r="Y165" s="9">
        <v>0</v>
      </c>
      <c r="Z165" s="9">
        <v>0</v>
      </c>
      <c r="AA165" s="9">
        <v>0.5</v>
      </c>
    </row>
    <row r="166" spans="4:27">
      <c r="D166" s="8"/>
      <c r="G166" s="8"/>
      <c r="J166" s="8"/>
      <c r="L166" s="1" t="s">
        <v>870</v>
      </c>
      <c r="M166" s="1" t="s">
        <v>1856</v>
      </c>
      <c r="N166" s="1" t="s">
        <v>1787</v>
      </c>
      <c r="O166" s="1" t="str">
        <f t="shared" si="2"/>
        <v>Gross Profit_IndlGPLIns_Rent out</v>
      </c>
      <c r="P166" s="6">
        <v>10000000</v>
      </c>
      <c r="Q166" s="6">
        <v>100000000</v>
      </c>
      <c r="R166" s="6">
        <v>0</v>
      </c>
      <c r="S166" s="6">
        <v>120</v>
      </c>
      <c r="T166" s="9">
        <v>0</v>
      </c>
      <c r="U166" s="9">
        <v>0</v>
      </c>
      <c r="V166" s="9">
        <v>0</v>
      </c>
      <c r="W166" s="9">
        <v>0.6</v>
      </c>
      <c r="X166" s="9">
        <v>0.55000000000000004</v>
      </c>
      <c r="Y166" s="9">
        <v>0</v>
      </c>
      <c r="Z166" s="9">
        <v>0</v>
      </c>
      <c r="AA166" s="9">
        <v>0.55000000000000004</v>
      </c>
    </row>
    <row r="167" spans="4:27">
      <c r="D167" s="8"/>
      <c r="G167" s="8"/>
      <c r="J167" s="8"/>
      <c r="L167" s="1" t="s">
        <v>870</v>
      </c>
      <c r="M167" s="1" t="s">
        <v>1860</v>
      </c>
      <c r="N167" s="1" t="s">
        <v>1787</v>
      </c>
      <c r="O167" s="1" t="str">
        <f t="shared" si="2"/>
        <v>Gross Profit_IndlGPL_Rent out</v>
      </c>
      <c r="P167" s="6">
        <v>10000000</v>
      </c>
      <c r="Q167" s="6">
        <v>100000000</v>
      </c>
      <c r="R167" s="6">
        <v>0</v>
      </c>
      <c r="S167" s="6">
        <v>120</v>
      </c>
      <c r="T167" s="9">
        <v>0</v>
      </c>
      <c r="U167" s="9">
        <v>0</v>
      </c>
      <c r="V167" s="9">
        <v>0</v>
      </c>
      <c r="W167" s="9">
        <v>0.6</v>
      </c>
      <c r="X167" s="9">
        <v>0.55000000000000004</v>
      </c>
      <c r="Y167" s="9">
        <v>0</v>
      </c>
      <c r="Z167" s="9">
        <v>0</v>
      </c>
      <c r="AA167" s="9">
        <v>0.55000000000000004</v>
      </c>
    </row>
    <row r="168" spans="4:27">
      <c r="D168" s="8"/>
      <c r="G168" s="8"/>
      <c r="J168" s="8"/>
      <c r="L168" s="1" t="s">
        <v>870</v>
      </c>
      <c r="M168" s="1" t="s">
        <v>1864</v>
      </c>
      <c r="N168" s="1" t="s">
        <v>1787</v>
      </c>
      <c r="O168" s="1" t="str">
        <f t="shared" si="2"/>
        <v>Gross Profit_IndlIns_Rent out</v>
      </c>
      <c r="P168" s="6">
        <v>10000000</v>
      </c>
      <c r="Q168" s="6">
        <v>100000000</v>
      </c>
      <c r="R168" s="6">
        <v>0</v>
      </c>
      <c r="S168" s="6">
        <v>120</v>
      </c>
      <c r="T168" s="9">
        <v>0</v>
      </c>
      <c r="U168" s="9">
        <v>0</v>
      </c>
      <c r="V168" s="9">
        <v>0</v>
      </c>
      <c r="W168" s="9">
        <v>0.6</v>
      </c>
      <c r="X168" s="9">
        <v>0.5</v>
      </c>
      <c r="Y168" s="9">
        <v>0</v>
      </c>
      <c r="Z168" s="9">
        <v>0</v>
      </c>
      <c r="AA168" s="9">
        <v>0.5</v>
      </c>
    </row>
    <row r="169" spans="4:27">
      <c r="D169" s="8"/>
      <c r="G169" s="8"/>
      <c r="J169" s="8"/>
      <c r="L169" s="1" t="s">
        <v>870</v>
      </c>
      <c r="M169" s="1" t="s">
        <v>1852</v>
      </c>
      <c r="N169" s="1" t="s">
        <v>1799</v>
      </c>
      <c r="O169" s="1" t="str">
        <f t="shared" si="2"/>
        <v>Gross Profit_Indl_Vacant / Investment</v>
      </c>
      <c r="P169" s="6">
        <v>10000000</v>
      </c>
      <c r="Q169" s="6">
        <v>100000000</v>
      </c>
      <c r="R169" s="6">
        <v>0</v>
      </c>
      <c r="S169" s="6">
        <v>120</v>
      </c>
      <c r="T169" s="9">
        <v>0</v>
      </c>
      <c r="U169" s="9">
        <v>0</v>
      </c>
      <c r="V169" s="9">
        <v>0</v>
      </c>
      <c r="W169" s="9">
        <v>0.6</v>
      </c>
      <c r="X169" s="9">
        <v>0.45</v>
      </c>
      <c r="Y169" s="9">
        <v>0</v>
      </c>
      <c r="Z169" s="9">
        <v>0</v>
      </c>
      <c r="AA169" s="9">
        <v>0.45</v>
      </c>
    </row>
    <row r="170" spans="4:27" ht="25.5">
      <c r="D170" s="8"/>
      <c r="G170" s="8"/>
      <c r="J170" s="8"/>
      <c r="L170" s="1" t="s">
        <v>870</v>
      </c>
      <c r="M170" s="1" t="s">
        <v>1856</v>
      </c>
      <c r="N170" s="1" t="s">
        <v>1799</v>
      </c>
      <c r="O170" s="1" t="str">
        <f t="shared" si="2"/>
        <v>Gross Profit_IndlGPLIns_Vacant / Investment</v>
      </c>
      <c r="P170" s="6">
        <v>1</v>
      </c>
      <c r="Q170" s="6">
        <v>0</v>
      </c>
      <c r="R170" s="6">
        <v>0</v>
      </c>
      <c r="S170" s="6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</row>
    <row r="171" spans="4:27" ht="25.5">
      <c r="D171" s="8"/>
      <c r="G171" s="8"/>
      <c r="J171" s="8"/>
      <c r="L171" s="1" t="s">
        <v>870</v>
      </c>
      <c r="M171" s="1" t="s">
        <v>1860</v>
      </c>
      <c r="N171" s="1" t="s">
        <v>1799</v>
      </c>
      <c r="O171" s="1" t="str">
        <f t="shared" si="2"/>
        <v>Gross Profit_IndlGPL_Vacant / Investment</v>
      </c>
      <c r="P171" s="6">
        <v>1</v>
      </c>
      <c r="Q171" s="6">
        <v>0</v>
      </c>
      <c r="R171" s="6">
        <v>0</v>
      </c>
      <c r="S171" s="6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</row>
    <row r="172" spans="4:27" ht="25.5">
      <c r="D172" s="8"/>
      <c r="G172" s="8"/>
      <c r="J172" s="8"/>
      <c r="L172" s="1" t="s">
        <v>870</v>
      </c>
      <c r="M172" s="1" t="s">
        <v>1864</v>
      </c>
      <c r="N172" s="1" t="s">
        <v>1799</v>
      </c>
      <c r="O172" s="1" t="str">
        <f t="shared" si="2"/>
        <v>Gross Profit_IndlIns_Vacant / Investment</v>
      </c>
      <c r="P172" s="6">
        <v>10000000</v>
      </c>
      <c r="Q172" s="6">
        <v>100000000</v>
      </c>
      <c r="R172" s="6">
        <v>0</v>
      </c>
      <c r="S172" s="6">
        <v>120</v>
      </c>
      <c r="T172" s="9">
        <v>0</v>
      </c>
      <c r="U172" s="9">
        <v>0</v>
      </c>
      <c r="V172" s="9">
        <v>0</v>
      </c>
      <c r="W172" s="9">
        <v>0.6</v>
      </c>
      <c r="X172" s="9">
        <v>0.45</v>
      </c>
      <c r="Y172" s="9">
        <v>0</v>
      </c>
      <c r="Z172" s="9">
        <v>0</v>
      </c>
      <c r="AA172" s="9">
        <v>0.45</v>
      </c>
    </row>
    <row r="173" spans="4:27">
      <c r="D173" s="8"/>
      <c r="G173" s="8"/>
      <c r="J173" s="8"/>
      <c r="L173" s="1" t="s">
        <v>870</v>
      </c>
      <c r="M173" s="1" t="s">
        <v>1890</v>
      </c>
      <c r="N173" s="1" t="s">
        <v>1774</v>
      </c>
      <c r="O173" s="1" t="str">
        <f t="shared" si="2"/>
        <v>Gross Profit_GPL_Self-occupation</v>
      </c>
      <c r="P173" s="6">
        <v>1</v>
      </c>
      <c r="Q173" s="6">
        <v>4000000</v>
      </c>
      <c r="R173" s="6">
        <v>84</v>
      </c>
      <c r="S173" s="6">
        <v>120</v>
      </c>
      <c r="T173" s="9">
        <v>0.6</v>
      </c>
      <c r="U173" s="9">
        <v>0.625</v>
      </c>
      <c r="V173" s="9">
        <v>0.65</v>
      </c>
      <c r="W173" s="9">
        <v>0.7</v>
      </c>
      <c r="X173" s="9">
        <v>0.1</v>
      </c>
      <c r="Y173" s="9">
        <v>0.1</v>
      </c>
      <c r="Z173" s="9">
        <v>0.1</v>
      </c>
      <c r="AA173" s="9">
        <v>0.1</v>
      </c>
    </row>
    <row r="174" spans="4:27">
      <c r="D174" s="8"/>
      <c r="G174" s="8"/>
      <c r="J174" s="8"/>
      <c r="L174" s="1" t="s">
        <v>870</v>
      </c>
      <c r="M174" s="1" t="s">
        <v>1893</v>
      </c>
      <c r="N174" s="1" t="s">
        <v>1774</v>
      </c>
      <c r="O174" s="1" t="str">
        <f t="shared" si="2"/>
        <v>Gross Profit_GPLIns_Self-occupation</v>
      </c>
      <c r="P174" s="6">
        <v>1</v>
      </c>
      <c r="Q174" s="6">
        <v>4000000</v>
      </c>
      <c r="R174" s="6">
        <v>84</v>
      </c>
      <c r="S174" s="6">
        <v>120</v>
      </c>
      <c r="T174" s="9">
        <v>0.6</v>
      </c>
      <c r="U174" s="9">
        <v>0.625</v>
      </c>
      <c r="V174" s="9">
        <v>0.65</v>
      </c>
      <c r="W174" s="9">
        <v>0.7</v>
      </c>
      <c r="X174" s="9">
        <v>0.1</v>
      </c>
      <c r="Y174" s="9">
        <v>0.1</v>
      </c>
      <c r="Z174" s="9">
        <v>0.1</v>
      </c>
      <c r="AA174" s="9">
        <v>0.1</v>
      </c>
    </row>
    <row r="175" spans="4:27">
      <c r="D175" s="8"/>
      <c r="G175" s="8"/>
      <c r="J175" s="8"/>
      <c r="L175" s="1" t="s">
        <v>870</v>
      </c>
      <c r="M175" s="1" t="s">
        <v>1897</v>
      </c>
      <c r="N175" s="1" t="s">
        <v>1774</v>
      </c>
      <c r="O175" s="1" t="str">
        <f t="shared" si="2"/>
        <v>Gross Profit_Ins_Self-occupation</v>
      </c>
      <c r="P175" s="6">
        <v>1</v>
      </c>
      <c r="Q175" s="6">
        <v>25000000</v>
      </c>
      <c r="R175" s="6">
        <v>240</v>
      </c>
      <c r="S175" s="6">
        <v>240</v>
      </c>
      <c r="T175" s="9">
        <v>0.6</v>
      </c>
      <c r="U175" s="9">
        <v>0.625</v>
      </c>
      <c r="V175" s="9">
        <v>0.65</v>
      </c>
      <c r="W175" s="9">
        <v>0.7</v>
      </c>
      <c r="X175" s="9">
        <v>0.05</v>
      </c>
      <c r="Y175" s="9">
        <v>0.05</v>
      </c>
      <c r="Z175" s="9">
        <v>0.05</v>
      </c>
      <c r="AA175" s="9">
        <v>0.05</v>
      </c>
    </row>
    <row r="176" spans="4:27">
      <c r="D176" s="8"/>
      <c r="G176" s="8"/>
      <c r="J176" s="8"/>
      <c r="L176" s="1" t="s">
        <v>870</v>
      </c>
      <c r="M176" s="1" t="s">
        <v>1890</v>
      </c>
      <c r="N176" s="1" t="s">
        <v>1787</v>
      </c>
      <c r="O176" s="1" t="str">
        <f t="shared" si="2"/>
        <v>Gross Profit_GPL_Rent out</v>
      </c>
      <c r="P176" s="6">
        <v>1</v>
      </c>
      <c r="Q176" s="6">
        <v>4000000</v>
      </c>
      <c r="R176" s="6">
        <v>84</v>
      </c>
      <c r="S176" s="6">
        <v>120</v>
      </c>
      <c r="T176" s="9">
        <v>0.6</v>
      </c>
      <c r="U176" s="9">
        <v>0.625</v>
      </c>
      <c r="V176" s="9">
        <v>0.65</v>
      </c>
      <c r="W176" s="9">
        <v>0.7</v>
      </c>
      <c r="X176" s="9">
        <v>0.1</v>
      </c>
      <c r="Y176" s="9">
        <v>0.1</v>
      </c>
      <c r="Z176" s="9">
        <v>0.1</v>
      </c>
      <c r="AA176" s="9">
        <v>0.1</v>
      </c>
    </row>
    <row r="177" spans="4:27">
      <c r="D177" s="8"/>
      <c r="G177" s="8"/>
      <c r="J177" s="8"/>
      <c r="L177" s="1" t="s">
        <v>870</v>
      </c>
      <c r="M177" s="1" t="s">
        <v>1893</v>
      </c>
      <c r="N177" s="1" t="s">
        <v>1787</v>
      </c>
      <c r="O177" s="1" t="str">
        <f t="shared" si="2"/>
        <v>Gross Profit_GPLIns_Rent out</v>
      </c>
      <c r="P177" s="6">
        <v>1</v>
      </c>
      <c r="Q177" s="6">
        <v>4000000</v>
      </c>
      <c r="R177" s="6">
        <v>84</v>
      </c>
      <c r="S177" s="6">
        <v>120</v>
      </c>
      <c r="T177" s="9">
        <v>0.6</v>
      </c>
      <c r="U177" s="9">
        <v>0.625</v>
      </c>
      <c r="V177" s="9">
        <v>0.65</v>
      </c>
      <c r="W177" s="9">
        <v>0.7</v>
      </c>
      <c r="X177" s="9">
        <v>0.1</v>
      </c>
      <c r="Y177" s="9">
        <v>0.1</v>
      </c>
      <c r="Z177" s="9">
        <v>0.1</v>
      </c>
      <c r="AA177" s="9">
        <v>0.1</v>
      </c>
    </row>
    <row r="178" spans="4:27">
      <c r="D178" s="8"/>
      <c r="G178" s="8"/>
      <c r="J178" s="8"/>
      <c r="L178" s="1" t="s">
        <v>870</v>
      </c>
      <c r="M178" s="1" t="s">
        <v>1897</v>
      </c>
      <c r="N178" s="1" t="s">
        <v>1787</v>
      </c>
      <c r="O178" s="1" t="str">
        <f t="shared" si="2"/>
        <v>Gross Profit_Ins_Rent out</v>
      </c>
      <c r="P178" s="6">
        <v>1</v>
      </c>
      <c r="Q178" s="6">
        <v>25000000</v>
      </c>
      <c r="R178" s="6">
        <v>240</v>
      </c>
      <c r="S178" s="6">
        <v>240</v>
      </c>
      <c r="T178" s="9">
        <v>0.6</v>
      </c>
      <c r="U178" s="9">
        <v>0.625</v>
      </c>
      <c r="V178" s="9">
        <v>0.65</v>
      </c>
      <c r="W178" s="9">
        <v>0.7</v>
      </c>
      <c r="X178" s="9">
        <v>0.05</v>
      </c>
      <c r="Y178" s="9">
        <v>0.05</v>
      </c>
      <c r="Z178" s="9">
        <v>0.05</v>
      </c>
      <c r="AA178" s="9">
        <v>0.05</v>
      </c>
    </row>
    <row r="179" spans="4:27">
      <c r="D179" s="8"/>
      <c r="G179" s="8"/>
      <c r="J179" s="8"/>
      <c r="L179" s="1" t="s">
        <v>870</v>
      </c>
      <c r="M179" s="1" t="s">
        <v>1890</v>
      </c>
      <c r="N179" s="1" t="s">
        <v>1799</v>
      </c>
      <c r="O179" s="1" t="str">
        <f t="shared" si="2"/>
        <v>Gross Profit_GPL_Vacant / Investment</v>
      </c>
      <c r="P179" s="6">
        <v>1</v>
      </c>
      <c r="Q179" s="6">
        <v>4000000</v>
      </c>
      <c r="R179" s="6">
        <v>84</v>
      </c>
      <c r="S179" s="6">
        <v>120</v>
      </c>
      <c r="T179" s="9">
        <v>0.6</v>
      </c>
      <c r="U179" s="9">
        <v>0.625</v>
      </c>
      <c r="V179" s="9">
        <v>0.65</v>
      </c>
      <c r="W179" s="9">
        <v>0.7</v>
      </c>
      <c r="X179" s="9">
        <v>0.1</v>
      </c>
      <c r="Y179" s="9">
        <v>0.1</v>
      </c>
      <c r="Z179" s="9">
        <v>0.1</v>
      </c>
      <c r="AA179" s="9">
        <v>0.1</v>
      </c>
    </row>
    <row r="180" spans="4:27" ht="25.5">
      <c r="D180" s="8"/>
      <c r="G180" s="8"/>
      <c r="J180" s="8"/>
      <c r="L180" s="1" t="s">
        <v>870</v>
      </c>
      <c r="M180" s="1" t="s">
        <v>1893</v>
      </c>
      <c r="N180" s="1" t="s">
        <v>1799</v>
      </c>
      <c r="O180" s="1" t="str">
        <f t="shared" si="2"/>
        <v>Gross Profit_GPLIns_Vacant / Investment</v>
      </c>
      <c r="P180" s="6">
        <v>1</v>
      </c>
      <c r="Q180" s="6">
        <v>4000000</v>
      </c>
      <c r="R180" s="6">
        <v>84</v>
      </c>
      <c r="S180" s="6">
        <v>120</v>
      </c>
      <c r="T180" s="9">
        <v>0.6</v>
      </c>
      <c r="U180" s="9">
        <v>0.625</v>
      </c>
      <c r="V180" s="9">
        <v>0.65</v>
      </c>
      <c r="W180" s="9">
        <v>0.7</v>
      </c>
      <c r="X180" s="9">
        <v>0.1</v>
      </c>
      <c r="Y180" s="9">
        <v>0.1</v>
      </c>
      <c r="Z180" s="9">
        <v>0.1</v>
      </c>
      <c r="AA180" s="9">
        <v>0.1</v>
      </c>
    </row>
    <row r="181" spans="4:27">
      <c r="D181" s="8"/>
      <c r="G181" s="8"/>
      <c r="J181" s="8"/>
      <c r="L181" s="1" t="s">
        <v>870</v>
      </c>
      <c r="M181" s="1" t="s">
        <v>1897</v>
      </c>
      <c r="N181" s="1" t="s">
        <v>1799</v>
      </c>
      <c r="O181" s="1" t="str">
        <f t="shared" si="2"/>
        <v>Gross Profit_Ins_Vacant / Investment</v>
      </c>
      <c r="P181" s="6">
        <v>1</v>
      </c>
      <c r="Q181" s="6">
        <v>25000000</v>
      </c>
      <c r="R181" s="6">
        <v>240</v>
      </c>
      <c r="S181" s="6">
        <v>240</v>
      </c>
      <c r="T181" s="9">
        <v>0.6</v>
      </c>
      <c r="U181" s="9">
        <v>0.625</v>
      </c>
      <c r="V181" s="9">
        <v>0.65</v>
      </c>
      <c r="W181" s="9">
        <v>0.7</v>
      </c>
      <c r="X181" s="9">
        <v>0.05</v>
      </c>
      <c r="Y181" s="9">
        <v>0.05</v>
      </c>
      <c r="Z181" s="9">
        <v>0.05</v>
      </c>
      <c r="AA181" s="9">
        <v>0.05</v>
      </c>
    </row>
    <row r="182" spans="4:27">
      <c r="D182" s="8"/>
      <c r="G182" s="8"/>
      <c r="J182" s="8"/>
      <c r="L182" s="1" t="s">
        <v>1908</v>
      </c>
      <c r="M182" s="1" t="s">
        <v>1773</v>
      </c>
      <c r="N182" s="1" t="s">
        <v>1774</v>
      </c>
      <c r="O182" s="1" t="str">
        <f t="shared" si="2"/>
        <v>Projected EBITDA_HL_Self-occupation</v>
      </c>
      <c r="P182" s="6">
        <v>50000001</v>
      </c>
      <c r="Q182" s="6">
        <v>250000000</v>
      </c>
      <c r="R182" s="6">
        <v>240</v>
      </c>
      <c r="S182" s="6">
        <v>240</v>
      </c>
      <c r="T182" s="9">
        <v>0.8</v>
      </c>
      <c r="U182" s="9">
        <v>0.82499999999999996</v>
      </c>
      <c r="V182" s="9">
        <v>0.85</v>
      </c>
      <c r="W182" s="9">
        <v>0.9</v>
      </c>
      <c r="X182" s="9">
        <v>0.75</v>
      </c>
      <c r="Y182" s="9">
        <v>0.75</v>
      </c>
      <c r="Z182" s="9">
        <v>0.75</v>
      </c>
      <c r="AA182" s="9">
        <v>0.75</v>
      </c>
    </row>
    <row r="183" spans="4:27" ht="25.5">
      <c r="D183" s="8"/>
      <c r="G183" s="8"/>
      <c r="J183" s="8"/>
      <c r="L183" s="1" t="s">
        <v>1908</v>
      </c>
      <c r="M183" s="1" t="s">
        <v>1777</v>
      </c>
      <c r="N183" s="1" t="s">
        <v>1774</v>
      </c>
      <c r="O183" s="1" t="str">
        <f t="shared" si="2"/>
        <v>Projected EBITDA_HLGPLIns_Self-occupation</v>
      </c>
      <c r="P183" s="6">
        <v>50000001</v>
      </c>
      <c r="Q183" s="6">
        <v>250000000</v>
      </c>
      <c r="R183" s="6">
        <v>240</v>
      </c>
      <c r="S183" s="6">
        <v>240</v>
      </c>
      <c r="T183" s="9">
        <v>0.8</v>
      </c>
      <c r="U183" s="9">
        <v>0.82499999999999996</v>
      </c>
      <c r="V183" s="9">
        <v>0.85</v>
      </c>
      <c r="W183" s="9">
        <v>0.9</v>
      </c>
      <c r="X183" s="9">
        <v>0.75</v>
      </c>
      <c r="Y183" s="9">
        <v>0.75</v>
      </c>
      <c r="Z183" s="9">
        <v>0.75</v>
      </c>
      <c r="AA183" s="9">
        <v>0.75</v>
      </c>
    </row>
    <row r="184" spans="4:27" ht="25.5">
      <c r="D184" s="8"/>
      <c r="G184" s="8"/>
      <c r="J184" s="8"/>
      <c r="L184" s="1" t="s">
        <v>1908</v>
      </c>
      <c r="M184" s="1" t="s">
        <v>1780</v>
      </c>
      <c r="N184" s="1" t="s">
        <v>1774</v>
      </c>
      <c r="O184" s="1" t="str">
        <f t="shared" si="2"/>
        <v>Projected EBITDA_HLGPL_Self-occupation</v>
      </c>
      <c r="P184" s="6">
        <v>50000001</v>
      </c>
      <c r="Q184" s="6">
        <v>250000000</v>
      </c>
      <c r="R184" s="6">
        <v>240</v>
      </c>
      <c r="S184" s="6">
        <v>240</v>
      </c>
      <c r="T184" s="9">
        <v>0.8</v>
      </c>
      <c r="U184" s="9">
        <v>0.82499999999999996</v>
      </c>
      <c r="V184" s="9">
        <v>0.85</v>
      </c>
      <c r="W184" s="9">
        <v>0.9</v>
      </c>
      <c r="X184" s="9">
        <v>0.75</v>
      </c>
      <c r="Y184" s="9">
        <v>0.75</v>
      </c>
      <c r="Z184" s="9">
        <v>0.75</v>
      </c>
      <c r="AA184" s="9">
        <v>0.75</v>
      </c>
    </row>
    <row r="185" spans="4:27" ht="25.5">
      <c r="D185" s="8"/>
      <c r="G185" s="8"/>
      <c r="J185" s="8"/>
      <c r="L185" s="1" t="s">
        <v>1908</v>
      </c>
      <c r="M185" s="1" t="s">
        <v>1783</v>
      </c>
      <c r="N185" s="1" t="s">
        <v>1774</v>
      </c>
      <c r="O185" s="1" t="str">
        <f t="shared" si="2"/>
        <v>Projected EBITDA_HLIns_Self-occupation</v>
      </c>
      <c r="P185" s="6">
        <v>50000001</v>
      </c>
      <c r="Q185" s="6">
        <v>250000000</v>
      </c>
      <c r="R185" s="6">
        <v>240</v>
      </c>
      <c r="S185" s="6">
        <v>240</v>
      </c>
      <c r="T185" s="9">
        <v>0.8</v>
      </c>
      <c r="U185" s="9">
        <v>0.82499999999999996</v>
      </c>
      <c r="V185" s="9">
        <v>0.85</v>
      </c>
      <c r="W185" s="9">
        <v>0.9</v>
      </c>
      <c r="X185" s="9">
        <v>0.75</v>
      </c>
      <c r="Y185" s="9">
        <v>0.75</v>
      </c>
      <c r="Z185" s="9">
        <v>0.75</v>
      </c>
      <c r="AA185" s="9">
        <v>0.75</v>
      </c>
    </row>
    <row r="186" spans="4:27">
      <c r="D186" s="8"/>
      <c r="G186" s="8"/>
      <c r="J186" s="8"/>
      <c r="L186" s="1" t="s">
        <v>1908</v>
      </c>
      <c r="M186" s="1" t="s">
        <v>1773</v>
      </c>
      <c r="N186" s="1" t="s">
        <v>1787</v>
      </c>
      <c r="O186" s="1" t="str">
        <f t="shared" si="2"/>
        <v>Projected EBITDA_HL_Rent out</v>
      </c>
      <c r="P186" s="6">
        <v>50000001</v>
      </c>
      <c r="Q186" s="6">
        <v>250000000</v>
      </c>
      <c r="R186" s="6">
        <v>240</v>
      </c>
      <c r="S186" s="6">
        <v>240</v>
      </c>
      <c r="T186" s="9">
        <v>0.8</v>
      </c>
      <c r="U186" s="9">
        <v>0.82499999999999996</v>
      </c>
      <c r="V186" s="9">
        <v>0.85</v>
      </c>
      <c r="W186" s="9">
        <v>0.9</v>
      </c>
      <c r="X186" s="9">
        <v>0.75</v>
      </c>
      <c r="Y186" s="9">
        <v>0.75</v>
      </c>
      <c r="Z186" s="9">
        <v>0.75</v>
      </c>
      <c r="AA186" s="9">
        <v>0.75</v>
      </c>
    </row>
    <row r="187" spans="4:27">
      <c r="D187" s="8"/>
      <c r="G187" s="8"/>
      <c r="J187" s="8"/>
      <c r="L187" s="1" t="s">
        <v>1908</v>
      </c>
      <c r="M187" s="1" t="s">
        <v>1777</v>
      </c>
      <c r="N187" s="1" t="s">
        <v>1787</v>
      </c>
      <c r="O187" s="1" t="str">
        <f t="shared" si="2"/>
        <v>Projected EBITDA_HLGPLIns_Rent out</v>
      </c>
      <c r="P187" s="6">
        <v>50000001</v>
      </c>
      <c r="Q187" s="6">
        <v>250000000</v>
      </c>
      <c r="R187" s="6">
        <v>240</v>
      </c>
      <c r="S187" s="6">
        <v>240</v>
      </c>
      <c r="T187" s="9">
        <v>0.8</v>
      </c>
      <c r="U187" s="9">
        <v>0.82499999999999996</v>
      </c>
      <c r="V187" s="9">
        <v>0.85</v>
      </c>
      <c r="W187" s="9">
        <v>0.9</v>
      </c>
      <c r="X187" s="9">
        <v>0.75</v>
      </c>
      <c r="Y187" s="9">
        <v>0.75</v>
      </c>
      <c r="Z187" s="9">
        <v>0.75</v>
      </c>
      <c r="AA187" s="9">
        <v>0.75</v>
      </c>
    </row>
    <row r="188" spans="4:27">
      <c r="D188" s="8"/>
      <c r="G188" s="8"/>
      <c r="J188" s="8"/>
      <c r="L188" s="1" t="s">
        <v>1908</v>
      </c>
      <c r="M188" s="1" t="s">
        <v>1780</v>
      </c>
      <c r="N188" s="1" t="s">
        <v>1787</v>
      </c>
      <c r="O188" s="1" t="str">
        <f t="shared" si="2"/>
        <v>Projected EBITDA_HLGPL_Rent out</v>
      </c>
      <c r="P188" s="6">
        <v>50000001</v>
      </c>
      <c r="Q188" s="6">
        <v>250000000</v>
      </c>
      <c r="R188" s="6">
        <v>240</v>
      </c>
      <c r="S188" s="6">
        <v>240</v>
      </c>
      <c r="T188" s="9">
        <v>0.8</v>
      </c>
      <c r="U188" s="9">
        <v>0.82499999999999996</v>
      </c>
      <c r="V188" s="9">
        <v>0.85</v>
      </c>
      <c r="W188" s="9">
        <v>0.9</v>
      </c>
      <c r="X188" s="9">
        <v>0.75</v>
      </c>
      <c r="Y188" s="9">
        <v>0.75</v>
      </c>
      <c r="Z188" s="9">
        <v>0.75</v>
      </c>
      <c r="AA188" s="9">
        <v>0.75</v>
      </c>
    </row>
    <row r="189" spans="4:27">
      <c r="D189" s="8"/>
      <c r="G189" s="8"/>
      <c r="J189" s="8"/>
      <c r="L189" s="1" t="s">
        <v>1908</v>
      </c>
      <c r="M189" s="1" t="s">
        <v>1783</v>
      </c>
      <c r="N189" s="1" t="s">
        <v>1787</v>
      </c>
      <c r="O189" s="1" t="str">
        <f t="shared" si="2"/>
        <v>Projected EBITDA_HLIns_Rent out</v>
      </c>
      <c r="P189" s="6">
        <v>50000001</v>
      </c>
      <c r="Q189" s="6">
        <v>250000000</v>
      </c>
      <c r="R189" s="6">
        <v>240</v>
      </c>
      <c r="S189" s="6">
        <v>240</v>
      </c>
      <c r="T189" s="9">
        <v>0.8</v>
      </c>
      <c r="U189" s="9">
        <v>0.82499999999999996</v>
      </c>
      <c r="V189" s="9">
        <v>0.85</v>
      </c>
      <c r="W189" s="9">
        <v>0.9</v>
      </c>
      <c r="X189" s="9">
        <v>0.75</v>
      </c>
      <c r="Y189" s="9">
        <v>0.75</v>
      </c>
      <c r="Z189" s="9">
        <v>0.75</v>
      </c>
      <c r="AA189" s="9">
        <v>0.75</v>
      </c>
    </row>
    <row r="190" spans="4:27" ht="25.5">
      <c r="D190" s="8"/>
      <c r="G190" s="8"/>
      <c r="J190" s="8"/>
      <c r="L190" s="1" t="s">
        <v>1908</v>
      </c>
      <c r="M190" s="1" t="s">
        <v>1773</v>
      </c>
      <c r="N190" s="1" t="s">
        <v>1799</v>
      </c>
      <c r="O190" s="1" t="str">
        <f t="shared" si="2"/>
        <v>Projected EBITDA_HL_Vacant / Investment</v>
      </c>
      <c r="P190" s="6">
        <v>50000001</v>
      </c>
      <c r="Q190" s="6">
        <v>250000000</v>
      </c>
      <c r="R190" s="6">
        <v>240</v>
      </c>
      <c r="S190" s="6">
        <v>240</v>
      </c>
      <c r="T190" s="9">
        <v>0.8</v>
      </c>
      <c r="U190" s="9">
        <v>0.82499999999999996</v>
      </c>
      <c r="V190" s="9">
        <v>0.85</v>
      </c>
      <c r="W190" s="9">
        <v>0.9</v>
      </c>
      <c r="X190" s="9">
        <v>0.7</v>
      </c>
      <c r="Y190" s="9">
        <v>0.7</v>
      </c>
      <c r="Z190" s="9">
        <v>0.7</v>
      </c>
      <c r="AA190" s="9">
        <v>0.7</v>
      </c>
    </row>
    <row r="191" spans="4:27" ht="25.5">
      <c r="D191" s="8"/>
      <c r="G191" s="8"/>
      <c r="J191" s="8"/>
      <c r="L191" s="1" t="s">
        <v>1908</v>
      </c>
      <c r="M191" s="1" t="s">
        <v>1777</v>
      </c>
      <c r="N191" s="1" t="s">
        <v>1799</v>
      </c>
      <c r="O191" s="1" t="str">
        <f t="shared" si="2"/>
        <v>Projected EBITDA_HLGPLIns_Vacant / Investment</v>
      </c>
      <c r="P191" s="6">
        <v>50000001</v>
      </c>
      <c r="Q191" s="6">
        <v>250000000</v>
      </c>
      <c r="R191" s="6">
        <v>240</v>
      </c>
      <c r="S191" s="6">
        <v>240</v>
      </c>
      <c r="T191" s="9">
        <v>0.8</v>
      </c>
      <c r="U191" s="9">
        <v>0.82499999999999996</v>
      </c>
      <c r="V191" s="9">
        <v>0.85</v>
      </c>
      <c r="W191" s="9">
        <v>0.9</v>
      </c>
      <c r="X191" s="9">
        <v>0.7</v>
      </c>
      <c r="Y191" s="9">
        <v>0.7</v>
      </c>
      <c r="Z191" s="9">
        <v>0.7</v>
      </c>
      <c r="AA191" s="9">
        <v>0.7</v>
      </c>
    </row>
    <row r="192" spans="4:27" ht="25.5">
      <c r="D192" s="8"/>
      <c r="G192" s="8"/>
      <c r="J192" s="8"/>
      <c r="L192" s="1" t="s">
        <v>1908</v>
      </c>
      <c r="M192" s="1" t="s">
        <v>1780</v>
      </c>
      <c r="N192" s="1" t="s">
        <v>1799</v>
      </c>
      <c r="O192" s="1" t="str">
        <f t="shared" si="2"/>
        <v>Projected EBITDA_HLGPL_Vacant / Investment</v>
      </c>
      <c r="P192" s="6">
        <v>50000001</v>
      </c>
      <c r="Q192" s="6">
        <v>250000000</v>
      </c>
      <c r="R192" s="6">
        <v>240</v>
      </c>
      <c r="S192" s="6">
        <v>240</v>
      </c>
      <c r="T192" s="9">
        <v>0.8</v>
      </c>
      <c r="U192" s="9">
        <v>0.82499999999999996</v>
      </c>
      <c r="V192" s="9">
        <v>0.85</v>
      </c>
      <c r="W192" s="9">
        <v>0.9</v>
      </c>
      <c r="X192" s="9">
        <v>0.7</v>
      </c>
      <c r="Y192" s="9">
        <v>0.7</v>
      </c>
      <c r="Z192" s="9">
        <v>0.7</v>
      </c>
      <c r="AA192" s="9">
        <v>0.7</v>
      </c>
    </row>
    <row r="193" spans="4:27" ht="25.5">
      <c r="D193" s="8"/>
      <c r="G193" s="8"/>
      <c r="J193" s="8"/>
      <c r="L193" s="1" t="s">
        <v>1908</v>
      </c>
      <c r="M193" s="1" t="s">
        <v>1783</v>
      </c>
      <c r="N193" s="1" t="s">
        <v>1799</v>
      </c>
      <c r="O193" s="1" t="str">
        <f t="shared" si="2"/>
        <v>Projected EBITDA_HLIns_Vacant / Investment</v>
      </c>
      <c r="P193" s="6">
        <v>50000001</v>
      </c>
      <c r="Q193" s="6">
        <v>250000000</v>
      </c>
      <c r="R193" s="6">
        <v>240</v>
      </c>
      <c r="S193" s="6">
        <v>240</v>
      </c>
      <c r="T193" s="9">
        <v>0.8</v>
      </c>
      <c r="U193" s="9">
        <v>0.82499999999999996</v>
      </c>
      <c r="V193" s="9">
        <v>0.85</v>
      </c>
      <c r="W193" s="9">
        <v>0.9</v>
      </c>
      <c r="X193" s="9">
        <v>0.7</v>
      </c>
      <c r="Y193" s="9">
        <v>0.7</v>
      </c>
      <c r="Z193" s="9">
        <v>0.7</v>
      </c>
      <c r="AA193" s="9">
        <v>0.7</v>
      </c>
    </row>
    <row r="194" spans="4:27">
      <c r="D194" s="8"/>
      <c r="G194" s="8"/>
      <c r="J194" s="8"/>
      <c r="L194" s="1" t="s">
        <v>1908</v>
      </c>
      <c r="M194" s="1" t="s">
        <v>1812</v>
      </c>
      <c r="N194" s="1" t="s">
        <v>1774</v>
      </c>
      <c r="O194" s="1" t="str">
        <f t="shared" si="2"/>
        <v>Projected EBITDA_LAP_Self-occupation</v>
      </c>
      <c r="P194" s="6">
        <v>100000001</v>
      </c>
      <c r="Q194" s="6">
        <v>250000000</v>
      </c>
      <c r="R194" s="6">
        <v>180</v>
      </c>
      <c r="S194" s="6">
        <v>180</v>
      </c>
      <c r="T194" s="9">
        <v>0.8</v>
      </c>
      <c r="U194" s="9">
        <v>0.82499999999999996</v>
      </c>
      <c r="V194" s="9">
        <v>0.85</v>
      </c>
      <c r="W194" s="9">
        <v>0.9</v>
      </c>
      <c r="X194" s="9">
        <v>0.7</v>
      </c>
      <c r="Y194" s="9">
        <v>0.71</v>
      </c>
      <c r="Z194" s="9">
        <v>0.73</v>
      </c>
      <c r="AA194" s="9">
        <v>0.75</v>
      </c>
    </row>
    <row r="195" spans="4:27" ht="25.5">
      <c r="D195" s="8"/>
      <c r="G195" s="8"/>
      <c r="J195" s="8"/>
      <c r="L195" s="1" t="s">
        <v>1908</v>
      </c>
      <c r="M195" s="1" t="s">
        <v>1816</v>
      </c>
      <c r="N195" s="1" t="s">
        <v>1774</v>
      </c>
      <c r="O195" s="1" t="str">
        <f t="shared" ref="O195:O258" si="3">CONCATENATE(L195,"_",M195,"_",N195)</f>
        <v>Projected EBITDA_LAPGPLIns_Self-occupation</v>
      </c>
      <c r="P195" s="6">
        <v>100000001</v>
      </c>
      <c r="Q195" s="6">
        <v>250000000</v>
      </c>
      <c r="R195" s="6">
        <v>180</v>
      </c>
      <c r="S195" s="6">
        <v>180</v>
      </c>
      <c r="T195" s="9">
        <v>0.8</v>
      </c>
      <c r="U195" s="9">
        <v>0.82499999999999996</v>
      </c>
      <c r="V195" s="9">
        <v>0.85</v>
      </c>
      <c r="W195" s="9">
        <v>0.9</v>
      </c>
      <c r="X195" s="9">
        <v>0.7</v>
      </c>
      <c r="Y195" s="9">
        <v>0.71</v>
      </c>
      <c r="Z195" s="9">
        <v>0.73</v>
      </c>
      <c r="AA195" s="9">
        <v>0.75</v>
      </c>
    </row>
    <row r="196" spans="4:27" ht="25.5">
      <c r="D196" s="8"/>
      <c r="G196" s="8"/>
      <c r="J196" s="8"/>
      <c r="L196" s="1" t="s">
        <v>1908</v>
      </c>
      <c r="M196" s="1" t="s">
        <v>1821</v>
      </c>
      <c r="N196" s="1" t="s">
        <v>1774</v>
      </c>
      <c r="O196" s="1" t="str">
        <f t="shared" si="3"/>
        <v>Projected EBITDA_LAPGPL_Self-occupation</v>
      </c>
      <c r="P196" s="6">
        <v>100000001</v>
      </c>
      <c r="Q196" s="6">
        <v>250000000</v>
      </c>
      <c r="R196" s="6">
        <v>180</v>
      </c>
      <c r="S196" s="6">
        <v>180</v>
      </c>
      <c r="T196" s="9">
        <v>0.8</v>
      </c>
      <c r="U196" s="9">
        <v>0.82499999999999996</v>
      </c>
      <c r="V196" s="9">
        <v>0.85</v>
      </c>
      <c r="W196" s="9">
        <v>0.9</v>
      </c>
      <c r="X196" s="9">
        <v>0.7</v>
      </c>
      <c r="Y196" s="9">
        <v>0.71</v>
      </c>
      <c r="Z196" s="9">
        <v>0.73</v>
      </c>
      <c r="AA196" s="9">
        <v>0.75</v>
      </c>
    </row>
    <row r="197" spans="4:27" ht="25.5">
      <c r="D197" s="8"/>
      <c r="G197" s="8"/>
      <c r="J197" s="8"/>
      <c r="L197" s="1" t="s">
        <v>1908</v>
      </c>
      <c r="M197" s="1" t="s">
        <v>1824</v>
      </c>
      <c r="N197" s="1" t="s">
        <v>1774</v>
      </c>
      <c r="O197" s="1" t="str">
        <f t="shared" si="3"/>
        <v>Projected EBITDA_LAPIns_Self-occupation</v>
      </c>
      <c r="P197" s="6">
        <v>100000001</v>
      </c>
      <c r="Q197" s="6">
        <v>250000000</v>
      </c>
      <c r="R197" s="6">
        <v>180</v>
      </c>
      <c r="S197" s="6">
        <v>180</v>
      </c>
      <c r="T197" s="9">
        <v>0.8</v>
      </c>
      <c r="U197" s="9">
        <v>0.82499999999999996</v>
      </c>
      <c r="V197" s="9">
        <v>0.85</v>
      </c>
      <c r="W197" s="9">
        <v>0.9</v>
      </c>
      <c r="X197" s="9">
        <v>0.7</v>
      </c>
      <c r="Y197" s="9">
        <v>0.71</v>
      </c>
      <c r="Z197" s="9">
        <v>0.73</v>
      </c>
      <c r="AA197" s="9">
        <v>0.75</v>
      </c>
    </row>
    <row r="198" spans="4:27">
      <c r="D198" s="8"/>
      <c r="G198" s="8"/>
      <c r="J198" s="8"/>
      <c r="L198" s="1" t="s">
        <v>1908</v>
      </c>
      <c r="M198" s="1" t="s">
        <v>1812</v>
      </c>
      <c r="N198" s="1" t="s">
        <v>1787</v>
      </c>
      <c r="O198" s="1" t="str">
        <f t="shared" si="3"/>
        <v>Projected EBITDA_LAP_Rent out</v>
      </c>
      <c r="P198" s="6">
        <v>100000001</v>
      </c>
      <c r="Q198" s="6">
        <v>250000000</v>
      </c>
      <c r="R198" s="6">
        <v>180</v>
      </c>
      <c r="S198" s="6">
        <v>180</v>
      </c>
      <c r="T198" s="9">
        <v>0.8</v>
      </c>
      <c r="U198" s="9">
        <v>0.82499999999999996</v>
      </c>
      <c r="V198" s="9">
        <v>0.85</v>
      </c>
      <c r="W198" s="9">
        <v>0.9</v>
      </c>
      <c r="X198" s="9">
        <v>0.7</v>
      </c>
      <c r="Y198" s="9">
        <v>0.71</v>
      </c>
      <c r="Z198" s="9">
        <v>0.73</v>
      </c>
      <c r="AA198" s="9">
        <v>0.75</v>
      </c>
    </row>
    <row r="199" spans="4:27">
      <c r="D199" s="8"/>
      <c r="G199" s="8"/>
      <c r="J199" s="8"/>
      <c r="L199" s="1" t="s">
        <v>1908</v>
      </c>
      <c r="M199" s="1" t="s">
        <v>1816</v>
      </c>
      <c r="N199" s="1" t="s">
        <v>1787</v>
      </c>
      <c r="O199" s="1" t="str">
        <f t="shared" si="3"/>
        <v>Projected EBITDA_LAPGPLIns_Rent out</v>
      </c>
      <c r="P199" s="6">
        <v>100000001</v>
      </c>
      <c r="Q199" s="6">
        <v>250000000</v>
      </c>
      <c r="R199" s="6">
        <v>180</v>
      </c>
      <c r="S199" s="6">
        <v>180</v>
      </c>
      <c r="T199" s="9">
        <v>0.8</v>
      </c>
      <c r="U199" s="9">
        <v>0.82499999999999996</v>
      </c>
      <c r="V199" s="9">
        <v>0.85</v>
      </c>
      <c r="W199" s="9">
        <v>0.9</v>
      </c>
      <c r="X199" s="9">
        <v>0.7</v>
      </c>
      <c r="Y199" s="9">
        <v>0.71</v>
      </c>
      <c r="Z199" s="9">
        <v>0.73</v>
      </c>
      <c r="AA199" s="9">
        <v>0.75</v>
      </c>
    </row>
    <row r="200" spans="4:27">
      <c r="D200" s="8"/>
      <c r="G200" s="8"/>
      <c r="J200" s="8"/>
      <c r="L200" s="1" t="s">
        <v>1908</v>
      </c>
      <c r="M200" s="1" t="s">
        <v>1821</v>
      </c>
      <c r="N200" s="1" t="s">
        <v>1787</v>
      </c>
      <c r="O200" s="1" t="str">
        <f t="shared" si="3"/>
        <v>Projected EBITDA_LAPGPL_Rent out</v>
      </c>
      <c r="P200" s="6">
        <v>100000001</v>
      </c>
      <c r="Q200" s="6">
        <v>250000000</v>
      </c>
      <c r="R200" s="6">
        <v>180</v>
      </c>
      <c r="S200" s="6">
        <v>180</v>
      </c>
      <c r="T200" s="9">
        <v>0.8</v>
      </c>
      <c r="U200" s="9">
        <v>0.82499999999999996</v>
      </c>
      <c r="V200" s="9">
        <v>0.85</v>
      </c>
      <c r="W200" s="9">
        <v>0.9</v>
      </c>
      <c r="X200" s="9">
        <v>0.7</v>
      </c>
      <c r="Y200" s="9">
        <v>0.71</v>
      </c>
      <c r="Z200" s="9">
        <v>0.73</v>
      </c>
      <c r="AA200" s="9">
        <v>0.75</v>
      </c>
    </row>
    <row r="201" spans="4:27">
      <c r="D201" s="8"/>
      <c r="G201" s="8"/>
      <c r="J201" s="8"/>
      <c r="L201" s="1" t="s">
        <v>1908</v>
      </c>
      <c r="M201" s="1" t="s">
        <v>1824</v>
      </c>
      <c r="N201" s="1" t="s">
        <v>1787</v>
      </c>
      <c r="O201" s="1" t="str">
        <f t="shared" si="3"/>
        <v>Projected EBITDA_LAPIns_Rent out</v>
      </c>
      <c r="P201" s="6">
        <v>100000001</v>
      </c>
      <c r="Q201" s="6">
        <v>250000000</v>
      </c>
      <c r="R201" s="6">
        <v>180</v>
      </c>
      <c r="S201" s="6">
        <v>180</v>
      </c>
      <c r="T201" s="9">
        <v>0.8</v>
      </c>
      <c r="U201" s="9">
        <v>0.82499999999999996</v>
      </c>
      <c r="V201" s="9">
        <v>0.85</v>
      </c>
      <c r="W201" s="9">
        <v>0.9</v>
      </c>
      <c r="X201" s="9">
        <v>0.7</v>
      </c>
      <c r="Y201" s="9">
        <v>0.71</v>
      </c>
      <c r="Z201" s="9">
        <v>0.73</v>
      </c>
      <c r="AA201" s="9">
        <v>0.75</v>
      </c>
    </row>
    <row r="202" spans="4:27" ht="25.5">
      <c r="D202" s="8"/>
      <c r="G202" s="8"/>
      <c r="J202" s="8"/>
      <c r="L202" s="1" t="s">
        <v>1908</v>
      </c>
      <c r="M202" s="1" t="s">
        <v>1812</v>
      </c>
      <c r="N202" s="1" t="s">
        <v>1799</v>
      </c>
      <c r="O202" s="1" t="str">
        <f t="shared" si="3"/>
        <v>Projected EBITDA_LAP_Vacant / Investment</v>
      </c>
      <c r="P202" s="6">
        <v>100000001</v>
      </c>
      <c r="Q202" s="6">
        <v>250000000</v>
      </c>
      <c r="R202" s="6">
        <v>180</v>
      </c>
      <c r="S202" s="6">
        <v>180</v>
      </c>
      <c r="T202" s="9">
        <v>0.8</v>
      </c>
      <c r="U202" s="9">
        <v>0.82499999999999996</v>
      </c>
      <c r="V202" s="9">
        <v>0.85</v>
      </c>
      <c r="W202" s="9">
        <v>0.9</v>
      </c>
      <c r="X202" s="9">
        <v>0.65</v>
      </c>
      <c r="Y202" s="9">
        <v>0.66</v>
      </c>
      <c r="Z202" s="9">
        <v>0.68</v>
      </c>
      <c r="AA202" s="9">
        <v>0.7</v>
      </c>
    </row>
    <row r="203" spans="4:27" ht="25.5">
      <c r="D203" s="8"/>
      <c r="G203" s="8"/>
      <c r="J203" s="8"/>
      <c r="L203" s="1" t="s">
        <v>1908</v>
      </c>
      <c r="M203" s="1" t="s">
        <v>1816</v>
      </c>
      <c r="N203" s="1" t="s">
        <v>1799</v>
      </c>
      <c r="O203" s="1" t="str">
        <f t="shared" si="3"/>
        <v>Projected EBITDA_LAPGPLIns_Vacant / Investment</v>
      </c>
      <c r="P203" s="6">
        <v>100000001</v>
      </c>
      <c r="Q203" s="6">
        <v>250000000</v>
      </c>
      <c r="R203" s="6">
        <v>180</v>
      </c>
      <c r="S203" s="6">
        <v>180</v>
      </c>
      <c r="T203" s="9">
        <v>0.8</v>
      </c>
      <c r="U203" s="9">
        <v>0.82499999999999996</v>
      </c>
      <c r="V203" s="9">
        <v>0.85</v>
      </c>
      <c r="W203" s="9">
        <v>0.9</v>
      </c>
      <c r="X203" s="9">
        <v>0.65</v>
      </c>
      <c r="Y203" s="9">
        <v>0.66</v>
      </c>
      <c r="Z203" s="9">
        <v>0.68</v>
      </c>
      <c r="AA203" s="9">
        <v>0.7</v>
      </c>
    </row>
    <row r="204" spans="4:27" ht="25.5">
      <c r="D204" s="8"/>
      <c r="G204" s="8"/>
      <c r="J204" s="8"/>
      <c r="L204" s="1" t="s">
        <v>1908</v>
      </c>
      <c r="M204" s="1" t="s">
        <v>1821</v>
      </c>
      <c r="N204" s="1" t="s">
        <v>1799</v>
      </c>
      <c r="O204" s="1" t="str">
        <f t="shared" si="3"/>
        <v>Projected EBITDA_LAPGPL_Vacant / Investment</v>
      </c>
      <c r="P204" s="6">
        <v>100000001</v>
      </c>
      <c r="Q204" s="6">
        <v>250000000</v>
      </c>
      <c r="R204" s="6">
        <v>180</v>
      </c>
      <c r="S204" s="6">
        <v>180</v>
      </c>
      <c r="T204" s="9">
        <v>0.8</v>
      </c>
      <c r="U204" s="9">
        <v>0.82499999999999996</v>
      </c>
      <c r="V204" s="9">
        <v>0.85</v>
      </c>
      <c r="W204" s="9">
        <v>0.9</v>
      </c>
      <c r="X204" s="9">
        <v>0.65</v>
      </c>
      <c r="Y204" s="9">
        <v>0.66</v>
      </c>
      <c r="Z204" s="9">
        <v>0.68</v>
      </c>
      <c r="AA204" s="9">
        <v>0.7</v>
      </c>
    </row>
    <row r="205" spans="4:27" ht="25.5">
      <c r="D205" s="8"/>
      <c r="G205" s="8"/>
      <c r="J205" s="8"/>
      <c r="L205" s="1" t="s">
        <v>1908</v>
      </c>
      <c r="M205" s="1" t="s">
        <v>1824</v>
      </c>
      <c r="N205" s="1" t="s">
        <v>1799</v>
      </c>
      <c r="O205" s="1" t="str">
        <f t="shared" si="3"/>
        <v>Projected EBITDA_LAPIns_Vacant / Investment</v>
      </c>
      <c r="P205" s="6">
        <v>100000001</v>
      </c>
      <c r="Q205" s="6">
        <v>250000000</v>
      </c>
      <c r="R205" s="6">
        <v>180</v>
      </c>
      <c r="S205" s="6">
        <v>180</v>
      </c>
      <c r="T205" s="9">
        <v>0.8</v>
      </c>
      <c r="U205" s="9">
        <v>0.82499999999999996</v>
      </c>
      <c r="V205" s="9">
        <v>0.85</v>
      </c>
      <c r="W205" s="9">
        <v>0.9</v>
      </c>
      <c r="X205" s="9">
        <v>0.65</v>
      </c>
      <c r="Y205" s="9">
        <v>0.66</v>
      </c>
      <c r="Z205" s="9">
        <v>0.68</v>
      </c>
      <c r="AA205" s="9">
        <v>0.7</v>
      </c>
    </row>
    <row r="206" spans="4:27">
      <c r="D206" s="8"/>
      <c r="G206" s="8"/>
      <c r="J206" s="8"/>
      <c r="L206" s="1" t="s">
        <v>1908</v>
      </c>
      <c r="M206" s="1" t="s">
        <v>1852</v>
      </c>
      <c r="N206" s="1" t="s">
        <v>1774</v>
      </c>
      <c r="O206" s="1" t="str">
        <f t="shared" si="3"/>
        <v>Projected EBITDA_Indl_Self-occupation</v>
      </c>
      <c r="P206" s="6">
        <v>0</v>
      </c>
      <c r="Q206" s="6">
        <v>0</v>
      </c>
      <c r="R206" s="6">
        <v>0</v>
      </c>
      <c r="S206" s="6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</row>
    <row r="207" spans="4:27" ht="25.5">
      <c r="D207" s="8"/>
      <c r="G207" s="8"/>
      <c r="J207" s="8"/>
      <c r="L207" s="1" t="s">
        <v>1908</v>
      </c>
      <c r="M207" s="1" t="s">
        <v>1856</v>
      </c>
      <c r="N207" s="1" t="s">
        <v>1774</v>
      </c>
      <c r="O207" s="1" t="str">
        <f t="shared" si="3"/>
        <v>Projected EBITDA_IndlGPLIns_Self-occupation</v>
      </c>
      <c r="P207" s="6">
        <v>0</v>
      </c>
      <c r="Q207" s="6">
        <v>0</v>
      </c>
      <c r="R207" s="6">
        <v>0</v>
      </c>
      <c r="S207" s="6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</row>
    <row r="208" spans="4:27" ht="25.5">
      <c r="D208" s="8"/>
      <c r="G208" s="8"/>
      <c r="J208" s="8"/>
      <c r="L208" s="1" t="s">
        <v>1908</v>
      </c>
      <c r="M208" s="1" t="s">
        <v>1860</v>
      </c>
      <c r="N208" s="1" t="s">
        <v>1774</v>
      </c>
      <c r="O208" s="1" t="str">
        <f t="shared" si="3"/>
        <v>Projected EBITDA_IndlGPL_Self-occupation</v>
      </c>
      <c r="P208" s="6">
        <v>0</v>
      </c>
      <c r="Q208" s="6">
        <v>0</v>
      </c>
      <c r="R208" s="6">
        <v>0</v>
      </c>
      <c r="S208" s="6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</row>
    <row r="209" spans="4:27" ht="25.5">
      <c r="D209" s="8"/>
      <c r="G209" s="8"/>
      <c r="J209" s="8"/>
      <c r="L209" s="1" t="s">
        <v>1908</v>
      </c>
      <c r="M209" s="1" t="s">
        <v>1864</v>
      </c>
      <c r="N209" s="1" t="s">
        <v>1774</v>
      </c>
      <c r="O209" s="1" t="str">
        <f t="shared" si="3"/>
        <v>Projected EBITDA_IndlIns_Self-occupation</v>
      </c>
      <c r="P209" s="6">
        <v>0</v>
      </c>
      <c r="Q209" s="6">
        <v>0</v>
      </c>
      <c r="R209" s="6">
        <v>0</v>
      </c>
      <c r="S209" s="6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</row>
    <row r="210" spans="4:27">
      <c r="D210" s="8"/>
      <c r="G210" s="8"/>
      <c r="J210" s="8"/>
      <c r="L210" s="1" t="s">
        <v>1908</v>
      </c>
      <c r="M210" s="1" t="s">
        <v>1852</v>
      </c>
      <c r="N210" s="1" t="s">
        <v>1787</v>
      </c>
      <c r="O210" s="1" t="str">
        <f t="shared" si="3"/>
        <v>Projected EBITDA_Indl_Rent out</v>
      </c>
      <c r="P210" s="6">
        <v>0</v>
      </c>
      <c r="Q210" s="6">
        <v>0</v>
      </c>
      <c r="R210" s="6">
        <v>0</v>
      </c>
      <c r="S210" s="6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</row>
    <row r="211" spans="4:27">
      <c r="D211" s="8"/>
      <c r="G211" s="8"/>
      <c r="J211" s="8"/>
      <c r="L211" s="1" t="s">
        <v>1908</v>
      </c>
      <c r="M211" s="1" t="s">
        <v>1856</v>
      </c>
      <c r="N211" s="1" t="s">
        <v>1787</v>
      </c>
      <c r="O211" s="1" t="str">
        <f t="shared" si="3"/>
        <v>Projected EBITDA_IndlGPLIns_Rent out</v>
      </c>
      <c r="P211" s="6">
        <v>0</v>
      </c>
      <c r="Q211" s="6">
        <v>0</v>
      </c>
      <c r="R211" s="6">
        <v>0</v>
      </c>
      <c r="S211" s="6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</row>
    <row r="212" spans="4:27">
      <c r="D212" s="8"/>
      <c r="G212" s="8"/>
      <c r="J212" s="8"/>
      <c r="L212" s="1" t="s">
        <v>1908</v>
      </c>
      <c r="M212" s="1" t="s">
        <v>1860</v>
      </c>
      <c r="N212" s="1" t="s">
        <v>1787</v>
      </c>
      <c r="O212" s="1" t="str">
        <f t="shared" si="3"/>
        <v>Projected EBITDA_IndlGPL_Rent out</v>
      </c>
      <c r="P212" s="6">
        <v>0</v>
      </c>
      <c r="Q212" s="6">
        <v>0</v>
      </c>
      <c r="R212" s="6">
        <v>0</v>
      </c>
      <c r="S212" s="6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</row>
    <row r="213" spans="4:27">
      <c r="D213" s="8"/>
      <c r="G213" s="8"/>
      <c r="J213" s="8"/>
      <c r="L213" s="1" t="s">
        <v>1908</v>
      </c>
      <c r="M213" s="1" t="s">
        <v>1864</v>
      </c>
      <c r="N213" s="1" t="s">
        <v>1787</v>
      </c>
      <c r="O213" s="1" t="str">
        <f t="shared" si="3"/>
        <v>Projected EBITDA_IndlIns_Rent out</v>
      </c>
      <c r="P213" s="6">
        <v>0</v>
      </c>
      <c r="Q213" s="6">
        <v>0</v>
      </c>
      <c r="R213" s="6">
        <v>0</v>
      </c>
      <c r="S213" s="6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</row>
    <row r="214" spans="4:27" ht="25.5">
      <c r="D214" s="8"/>
      <c r="G214" s="8"/>
      <c r="J214" s="8"/>
      <c r="L214" s="1" t="s">
        <v>1908</v>
      </c>
      <c r="M214" s="1" t="s">
        <v>1852</v>
      </c>
      <c r="N214" s="1" t="s">
        <v>1799</v>
      </c>
      <c r="O214" s="1" t="str">
        <f t="shared" si="3"/>
        <v>Projected EBITDA_Indl_Vacant / Investment</v>
      </c>
      <c r="P214" s="6">
        <v>0</v>
      </c>
      <c r="Q214" s="6">
        <v>0</v>
      </c>
      <c r="R214" s="6">
        <v>0</v>
      </c>
      <c r="S214" s="6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</row>
    <row r="215" spans="4:27" ht="25.5">
      <c r="D215" s="8"/>
      <c r="G215" s="8"/>
      <c r="J215" s="8"/>
      <c r="L215" s="1" t="s">
        <v>1908</v>
      </c>
      <c r="M215" s="1" t="s">
        <v>1856</v>
      </c>
      <c r="N215" s="1" t="s">
        <v>1799</v>
      </c>
      <c r="O215" s="1" t="str">
        <f t="shared" si="3"/>
        <v>Projected EBITDA_IndlGPLIns_Vacant / Investment</v>
      </c>
      <c r="P215" s="6">
        <v>0</v>
      </c>
      <c r="Q215" s="6">
        <v>0</v>
      </c>
      <c r="R215" s="6">
        <v>0</v>
      </c>
      <c r="S215" s="6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</row>
    <row r="216" spans="4:27" ht="25.5">
      <c r="D216" s="8"/>
      <c r="G216" s="8"/>
      <c r="J216" s="8"/>
      <c r="L216" s="1" t="s">
        <v>1908</v>
      </c>
      <c r="M216" s="1" t="s">
        <v>1860</v>
      </c>
      <c r="N216" s="1" t="s">
        <v>1799</v>
      </c>
      <c r="O216" s="1" t="str">
        <f t="shared" si="3"/>
        <v>Projected EBITDA_IndlGPL_Vacant / Investment</v>
      </c>
      <c r="P216" s="6">
        <v>0</v>
      </c>
      <c r="Q216" s="6">
        <v>0</v>
      </c>
      <c r="R216" s="6">
        <v>0</v>
      </c>
      <c r="S216" s="6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</row>
    <row r="217" spans="4:27" ht="25.5">
      <c r="D217" s="8"/>
      <c r="G217" s="8"/>
      <c r="J217" s="8"/>
      <c r="L217" s="1" t="s">
        <v>1908</v>
      </c>
      <c r="M217" s="1" t="s">
        <v>1864</v>
      </c>
      <c r="N217" s="1" t="s">
        <v>1799</v>
      </c>
      <c r="O217" s="1" t="str">
        <f t="shared" si="3"/>
        <v>Projected EBITDA_IndlIns_Vacant / Investment</v>
      </c>
      <c r="P217" s="6">
        <v>0</v>
      </c>
      <c r="Q217" s="6">
        <v>0</v>
      </c>
      <c r="R217" s="6">
        <v>0</v>
      </c>
      <c r="S217" s="6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</row>
    <row r="218" spans="4:27">
      <c r="D218" s="8"/>
      <c r="G218" s="8"/>
      <c r="J218" s="8"/>
      <c r="L218" s="1" t="s">
        <v>1908</v>
      </c>
      <c r="M218" s="1" t="s">
        <v>1890</v>
      </c>
      <c r="N218" s="1" t="s">
        <v>1774</v>
      </c>
      <c r="O218" s="1" t="str">
        <f t="shared" si="3"/>
        <v>Projected EBITDA_GPL_Self-occupation</v>
      </c>
      <c r="P218" s="6">
        <v>1</v>
      </c>
      <c r="Q218" s="6">
        <v>4000000</v>
      </c>
      <c r="R218" s="6">
        <v>84</v>
      </c>
      <c r="S218" s="6">
        <v>120</v>
      </c>
      <c r="T218" s="9">
        <v>0.8</v>
      </c>
      <c r="U218" s="9">
        <v>0.82499999999999996</v>
      </c>
      <c r="V218" s="9">
        <v>0.85</v>
      </c>
      <c r="W218" s="9">
        <v>0.9</v>
      </c>
      <c r="X218" s="9">
        <v>0.1</v>
      </c>
      <c r="Y218" s="9">
        <v>0.1</v>
      </c>
      <c r="Z218" s="9">
        <v>0.1</v>
      </c>
      <c r="AA218" s="9">
        <v>0.1</v>
      </c>
    </row>
    <row r="219" spans="4:27" ht="25.5">
      <c r="D219" s="8"/>
      <c r="G219" s="8"/>
      <c r="J219" s="8"/>
      <c r="L219" s="1" t="s">
        <v>1908</v>
      </c>
      <c r="M219" s="1" t="s">
        <v>1893</v>
      </c>
      <c r="N219" s="1" t="s">
        <v>1774</v>
      </c>
      <c r="O219" s="1" t="str">
        <f t="shared" si="3"/>
        <v>Projected EBITDA_GPLIns_Self-occupation</v>
      </c>
      <c r="P219" s="6">
        <v>1</v>
      </c>
      <c r="Q219" s="6">
        <v>4000000</v>
      </c>
      <c r="R219" s="6">
        <v>84</v>
      </c>
      <c r="S219" s="6">
        <v>120</v>
      </c>
      <c r="T219" s="9">
        <v>0.8</v>
      </c>
      <c r="U219" s="9">
        <v>0.82499999999999996</v>
      </c>
      <c r="V219" s="9">
        <v>0.85</v>
      </c>
      <c r="W219" s="9">
        <v>0.9</v>
      </c>
      <c r="X219" s="9">
        <v>0.1</v>
      </c>
      <c r="Y219" s="9">
        <v>0.1</v>
      </c>
      <c r="Z219" s="9">
        <v>0.1</v>
      </c>
      <c r="AA219" s="9">
        <v>0.1</v>
      </c>
    </row>
    <row r="220" spans="4:27">
      <c r="D220" s="8"/>
      <c r="G220" s="8"/>
      <c r="J220" s="8"/>
      <c r="L220" s="1" t="s">
        <v>1908</v>
      </c>
      <c r="M220" s="1" t="s">
        <v>1897</v>
      </c>
      <c r="N220" s="1" t="s">
        <v>1774</v>
      </c>
      <c r="O220" s="1" t="str">
        <f t="shared" si="3"/>
        <v>Projected EBITDA_Ins_Self-occupation</v>
      </c>
      <c r="P220" s="6">
        <v>1</v>
      </c>
      <c r="Q220" s="6">
        <v>25000000</v>
      </c>
      <c r="R220" s="6">
        <v>240</v>
      </c>
      <c r="S220" s="6">
        <v>240</v>
      </c>
      <c r="T220" s="9">
        <v>0.8</v>
      </c>
      <c r="U220" s="9">
        <v>0.82499999999999996</v>
      </c>
      <c r="V220" s="9">
        <v>0.85</v>
      </c>
      <c r="W220" s="9">
        <v>0.9</v>
      </c>
      <c r="X220" s="9">
        <v>0.05</v>
      </c>
      <c r="Y220" s="9">
        <v>0.05</v>
      </c>
      <c r="Z220" s="9">
        <v>0.05</v>
      </c>
      <c r="AA220" s="9">
        <v>0.05</v>
      </c>
    </row>
    <row r="221" spans="4:27">
      <c r="D221" s="8"/>
      <c r="G221" s="8"/>
      <c r="J221" s="8"/>
      <c r="L221" s="1" t="s">
        <v>1908</v>
      </c>
      <c r="M221" s="1" t="s">
        <v>1890</v>
      </c>
      <c r="N221" s="1" t="s">
        <v>1787</v>
      </c>
      <c r="O221" s="1" t="str">
        <f t="shared" si="3"/>
        <v>Projected EBITDA_GPL_Rent out</v>
      </c>
      <c r="P221" s="6">
        <v>1</v>
      </c>
      <c r="Q221" s="6">
        <v>4000000</v>
      </c>
      <c r="R221" s="6">
        <v>84</v>
      </c>
      <c r="S221" s="6">
        <v>120</v>
      </c>
      <c r="T221" s="9">
        <v>0.8</v>
      </c>
      <c r="U221" s="9">
        <v>0.82499999999999996</v>
      </c>
      <c r="V221" s="9">
        <v>0.85</v>
      </c>
      <c r="W221" s="9">
        <v>0.9</v>
      </c>
      <c r="X221" s="9">
        <v>0.1</v>
      </c>
      <c r="Y221" s="9">
        <v>0.1</v>
      </c>
      <c r="Z221" s="9">
        <v>0.1</v>
      </c>
      <c r="AA221" s="9">
        <v>0.1</v>
      </c>
    </row>
    <row r="222" spans="4:27">
      <c r="D222" s="8"/>
      <c r="G222" s="8"/>
      <c r="J222" s="8"/>
      <c r="L222" s="1" t="s">
        <v>1908</v>
      </c>
      <c r="M222" s="1" t="s">
        <v>1893</v>
      </c>
      <c r="N222" s="1" t="s">
        <v>1787</v>
      </c>
      <c r="O222" s="1" t="str">
        <f t="shared" si="3"/>
        <v>Projected EBITDA_GPLIns_Rent out</v>
      </c>
      <c r="P222" s="6">
        <v>1</v>
      </c>
      <c r="Q222" s="6">
        <v>4000000</v>
      </c>
      <c r="R222" s="6">
        <v>84</v>
      </c>
      <c r="S222" s="6">
        <v>120</v>
      </c>
      <c r="T222" s="9">
        <v>0.8</v>
      </c>
      <c r="U222" s="9">
        <v>0.82499999999999996</v>
      </c>
      <c r="V222" s="9">
        <v>0.85</v>
      </c>
      <c r="W222" s="9">
        <v>0.9</v>
      </c>
      <c r="X222" s="9">
        <v>0.1</v>
      </c>
      <c r="Y222" s="9">
        <v>0.1</v>
      </c>
      <c r="Z222" s="9">
        <v>0.1</v>
      </c>
      <c r="AA222" s="9">
        <v>0.1</v>
      </c>
    </row>
    <row r="223" spans="4:27">
      <c r="D223" s="8"/>
      <c r="G223" s="8"/>
      <c r="J223" s="8"/>
      <c r="L223" s="1" t="s">
        <v>1908</v>
      </c>
      <c r="M223" s="1" t="s">
        <v>1897</v>
      </c>
      <c r="N223" s="1" t="s">
        <v>1787</v>
      </c>
      <c r="O223" s="1" t="str">
        <f t="shared" si="3"/>
        <v>Projected EBITDA_Ins_Rent out</v>
      </c>
      <c r="P223" s="6">
        <v>1</v>
      </c>
      <c r="Q223" s="6">
        <v>25000000</v>
      </c>
      <c r="R223" s="6">
        <v>240</v>
      </c>
      <c r="S223" s="6">
        <v>240</v>
      </c>
      <c r="T223" s="9">
        <v>0.8</v>
      </c>
      <c r="U223" s="9">
        <v>0.82499999999999996</v>
      </c>
      <c r="V223" s="9">
        <v>0.85</v>
      </c>
      <c r="W223" s="9">
        <v>0.9</v>
      </c>
      <c r="X223" s="9">
        <v>0.05</v>
      </c>
      <c r="Y223" s="9">
        <v>0.05</v>
      </c>
      <c r="Z223" s="9">
        <v>0.05</v>
      </c>
      <c r="AA223" s="9">
        <v>0.05</v>
      </c>
    </row>
    <row r="224" spans="4:27" ht="25.5">
      <c r="D224" s="8"/>
      <c r="G224" s="8"/>
      <c r="J224" s="8"/>
      <c r="L224" s="1" t="s">
        <v>1908</v>
      </c>
      <c r="M224" s="1" t="s">
        <v>1890</v>
      </c>
      <c r="N224" s="1" t="s">
        <v>1799</v>
      </c>
      <c r="O224" s="1" t="str">
        <f t="shared" si="3"/>
        <v>Projected EBITDA_GPL_Vacant / Investment</v>
      </c>
      <c r="P224" s="6">
        <v>1</v>
      </c>
      <c r="Q224" s="6">
        <v>4000000</v>
      </c>
      <c r="R224" s="6">
        <v>84</v>
      </c>
      <c r="S224" s="6">
        <v>120</v>
      </c>
      <c r="T224" s="9">
        <v>0.8</v>
      </c>
      <c r="U224" s="9">
        <v>0.82499999999999996</v>
      </c>
      <c r="V224" s="9">
        <v>0.85</v>
      </c>
      <c r="W224" s="9">
        <v>0.9</v>
      </c>
      <c r="X224" s="9">
        <v>0.1</v>
      </c>
      <c r="Y224" s="9">
        <v>0.1</v>
      </c>
      <c r="Z224" s="9">
        <v>0.1</v>
      </c>
      <c r="AA224" s="9">
        <v>0.1</v>
      </c>
    </row>
    <row r="225" spans="4:27" ht="25.5">
      <c r="D225" s="8"/>
      <c r="G225" s="8"/>
      <c r="J225" s="8"/>
      <c r="L225" s="1" t="s">
        <v>1908</v>
      </c>
      <c r="M225" s="1" t="s">
        <v>1893</v>
      </c>
      <c r="N225" s="1" t="s">
        <v>1799</v>
      </c>
      <c r="O225" s="1" t="str">
        <f t="shared" si="3"/>
        <v>Projected EBITDA_GPLIns_Vacant / Investment</v>
      </c>
      <c r="P225" s="6">
        <v>1</v>
      </c>
      <c r="Q225" s="6">
        <v>4000000</v>
      </c>
      <c r="R225" s="6">
        <v>84</v>
      </c>
      <c r="S225" s="6">
        <v>120</v>
      </c>
      <c r="T225" s="9">
        <v>0.8</v>
      </c>
      <c r="U225" s="9">
        <v>0.82499999999999996</v>
      </c>
      <c r="V225" s="9">
        <v>0.85</v>
      </c>
      <c r="W225" s="9">
        <v>0.9</v>
      </c>
      <c r="X225" s="9">
        <v>0.1</v>
      </c>
      <c r="Y225" s="9">
        <v>0.1</v>
      </c>
      <c r="Z225" s="9">
        <v>0.1</v>
      </c>
      <c r="AA225" s="9">
        <v>0.1</v>
      </c>
    </row>
    <row r="226" spans="4:27" ht="25.5">
      <c r="D226" s="8"/>
      <c r="G226" s="8"/>
      <c r="J226" s="8"/>
      <c r="L226" s="1" t="s">
        <v>1908</v>
      </c>
      <c r="M226" s="1" t="s">
        <v>1897</v>
      </c>
      <c r="N226" s="1" t="s">
        <v>1799</v>
      </c>
      <c r="O226" s="1" t="str">
        <f t="shared" si="3"/>
        <v>Projected EBITDA_Ins_Vacant / Investment</v>
      </c>
      <c r="P226" s="6">
        <v>1</v>
      </c>
      <c r="Q226" s="6">
        <v>25000000</v>
      </c>
      <c r="R226" s="6">
        <v>240</v>
      </c>
      <c r="S226" s="6">
        <v>240</v>
      </c>
      <c r="T226" s="9">
        <v>0.8</v>
      </c>
      <c r="U226" s="9">
        <v>0.82499999999999996</v>
      </c>
      <c r="V226" s="9">
        <v>0.85</v>
      </c>
      <c r="W226" s="9">
        <v>0.9</v>
      </c>
      <c r="X226" s="9">
        <v>0.05</v>
      </c>
      <c r="Y226" s="9">
        <v>0.05</v>
      </c>
      <c r="Z226" s="9">
        <v>0.05</v>
      </c>
      <c r="AA226" s="9">
        <v>0.05</v>
      </c>
    </row>
    <row r="227" spans="4:27" ht="25.5">
      <c r="D227" s="8"/>
      <c r="G227" s="8"/>
      <c r="J227" s="8"/>
      <c r="L227" s="1" t="s">
        <v>1911</v>
      </c>
      <c r="M227" s="1" t="s">
        <v>1773</v>
      </c>
      <c r="N227" s="1" t="s">
        <v>1774</v>
      </c>
      <c r="O227" s="1" t="str">
        <f t="shared" si="3"/>
        <v>Average Banking Program_HL_Self-occupation</v>
      </c>
      <c r="P227" s="6">
        <v>1</v>
      </c>
      <c r="Q227" s="6">
        <v>35000000</v>
      </c>
      <c r="R227" s="6">
        <v>240</v>
      </c>
      <c r="S227" s="6">
        <v>240</v>
      </c>
      <c r="T227" s="9">
        <v>1</v>
      </c>
      <c r="U227" s="9">
        <v>1</v>
      </c>
      <c r="V227" s="9">
        <v>1</v>
      </c>
      <c r="W227" s="9">
        <v>1</v>
      </c>
      <c r="X227" s="9">
        <v>0.9</v>
      </c>
      <c r="Y227" s="9">
        <v>0.9</v>
      </c>
      <c r="Z227" s="9">
        <v>0.9</v>
      </c>
      <c r="AA227" s="9">
        <v>0.9</v>
      </c>
    </row>
    <row r="228" spans="4:27" ht="25.5">
      <c r="D228" s="8"/>
      <c r="G228" s="8"/>
      <c r="J228" s="8"/>
      <c r="L228" s="1" t="s">
        <v>1911</v>
      </c>
      <c r="M228" s="1" t="s">
        <v>1777</v>
      </c>
      <c r="N228" s="1" t="s">
        <v>1774</v>
      </c>
      <c r="O228" s="1" t="str">
        <f t="shared" si="3"/>
        <v>Average Banking Program_HLGPLIns_Self-occupation</v>
      </c>
      <c r="P228" s="6">
        <v>1</v>
      </c>
      <c r="Q228" s="6">
        <v>35000000</v>
      </c>
      <c r="R228" s="6">
        <v>240</v>
      </c>
      <c r="S228" s="6">
        <v>240</v>
      </c>
      <c r="T228" s="9">
        <v>1</v>
      </c>
      <c r="U228" s="9">
        <v>1</v>
      </c>
      <c r="V228" s="9">
        <v>1</v>
      </c>
      <c r="W228" s="9">
        <v>1</v>
      </c>
      <c r="X228" s="9">
        <v>0.9</v>
      </c>
      <c r="Y228" s="9">
        <v>0.9</v>
      </c>
      <c r="Z228" s="9">
        <v>0.9</v>
      </c>
      <c r="AA228" s="9">
        <v>0.9</v>
      </c>
    </row>
    <row r="229" spans="4:27" ht="25.5">
      <c r="D229" s="8"/>
      <c r="G229" s="8"/>
      <c r="J229" s="8"/>
      <c r="L229" s="1" t="s">
        <v>1911</v>
      </c>
      <c r="M229" s="1" t="s">
        <v>1780</v>
      </c>
      <c r="N229" s="1" t="s">
        <v>1774</v>
      </c>
      <c r="O229" s="1" t="str">
        <f t="shared" si="3"/>
        <v>Average Banking Program_HLGPL_Self-occupation</v>
      </c>
      <c r="P229" s="6">
        <v>1</v>
      </c>
      <c r="Q229" s="6">
        <v>35000000</v>
      </c>
      <c r="R229" s="6">
        <v>240</v>
      </c>
      <c r="S229" s="6">
        <v>240</v>
      </c>
      <c r="T229" s="9">
        <v>1</v>
      </c>
      <c r="U229" s="9">
        <v>1</v>
      </c>
      <c r="V229" s="9">
        <v>1</v>
      </c>
      <c r="W229" s="9">
        <v>1</v>
      </c>
      <c r="X229" s="9">
        <v>0.9</v>
      </c>
      <c r="Y229" s="9">
        <v>0.9</v>
      </c>
      <c r="Z229" s="9">
        <v>0.9</v>
      </c>
      <c r="AA229" s="9">
        <v>0.9</v>
      </c>
    </row>
    <row r="230" spans="4:27" ht="25.5">
      <c r="D230" s="8"/>
      <c r="G230" s="8"/>
      <c r="J230" s="8"/>
      <c r="L230" s="1" t="s">
        <v>1911</v>
      </c>
      <c r="M230" s="1" t="s">
        <v>1783</v>
      </c>
      <c r="N230" s="1" t="s">
        <v>1774</v>
      </c>
      <c r="O230" s="1" t="str">
        <f t="shared" si="3"/>
        <v>Average Banking Program_HLIns_Self-occupation</v>
      </c>
      <c r="P230" s="6">
        <v>1</v>
      </c>
      <c r="Q230" s="6">
        <v>35000000</v>
      </c>
      <c r="R230" s="6">
        <v>240</v>
      </c>
      <c r="S230" s="6">
        <v>240</v>
      </c>
      <c r="T230" s="9">
        <v>1</v>
      </c>
      <c r="U230" s="9">
        <v>1</v>
      </c>
      <c r="V230" s="9">
        <v>1</v>
      </c>
      <c r="W230" s="9">
        <v>1</v>
      </c>
      <c r="X230" s="9">
        <v>0.9</v>
      </c>
      <c r="Y230" s="9">
        <v>0.9</v>
      </c>
      <c r="Z230" s="9">
        <v>0.9</v>
      </c>
      <c r="AA230" s="9">
        <v>0.9</v>
      </c>
    </row>
    <row r="231" spans="4:27">
      <c r="D231" s="8"/>
      <c r="G231" s="8"/>
      <c r="J231" s="8"/>
      <c r="L231" s="1" t="s">
        <v>1911</v>
      </c>
      <c r="M231" s="1" t="s">
        <v>1773</v>
      </c>
      <c r="N231" s="1" t="s">
        <v>1787</v>
      </c>
      <c r="O231" s="1" t="str">
        <f t="shared" si="3"/>
        <v>Average Banking Program_HL_Rent out</v>
      </c>
      <c r="P231" s="6">
        <v>1</v>
      </c>
      <c r="Q231" s="6">
        <v>35000000</v>
      </c>
      <c r="R231" s="6">
        <v>240</v>
      </c>
      <c r="S231" s="6">
        <v>240</v>
      </c>
      <c r="T231" s="9">
        <v>1</v>
      </c>
      <c r="U231" s="9">
        <v>1</v>
      </c>
      <c r="V231" s="9">
        <v>1</v>
      </c>
      <c r="W231" s="9">
        <v>1</v>
      </c>
      <c r="X231" s="9">
        <v>0.9</v>
      </c>
      <c r="Y231" s="9">
        <v>0.9</v>
      </c>
      <c r="Z231" s="9">
        <v>0.9</v>
      </c>
      <c r="AA231" s="9">
        <v>0.9</v>
      </c>
    </row>
    <row r="232" spans="4:27" ht="25.5">
      <c r="D232" s="8"/>
      <c r="G232" s="8"/>
      <c r="J232" s="8"/>
      <c r="L232" s="1" t="s">
        <v>1911</v>
      </c>
      <c r="M232" s="1" t="s">
        <v>1777</v>
      </c>
      <c r="N232" s="1" t="s">
        <v>1787</v>
      </c>
      <c r="O232" s="1" t="str">
        <f t="shared" si="3"/>
        <v>Average Banking Program_HLGPLIns_Rent out</v>
      </c>
      <c r="P232" s="6">
        <v>1</v>
      </c>
      <c r="Q232" s="6">
        <v>35000000</v>
      </c>
      <c r="R232" s="6">
        <v>240</v>
      </c>
      <c r="S232" s="6">
        <v>240</v>
      </c>
      <c r="T232" s="9">
        <v>1</v>
      </c>
      <c r="U232" s="9">
        <v>1</v>
      </c>
      <c r="V232" s="9">
        <v>1</v>
      </c>
      <c r="W232" s="9">
        <v>1</v>
      </c>
      <c r="X232" s="9">
        <v>0.9</v>
      </c>
      <c r="Y232" s="9">
        <v>0.9</v>
      </c>
      <c r="Z232" s="9">
        <v>0.9</v>
      </c>
      <c r="AA232" s="9">
        <v>0.9</v>
      </c>
    </row>
    <row r="233" spans="4:27" ht="25.5">
      <c r="D233" s="8"/>
      <c r="G233" s="8"/>
      <c r="J233" s="8"/>
      <c r="L233" s="1" t="s">
        <v>1911</v>
      </c>
      <c r="M233" s="1" t="s">
        <v>1780</v>
      </c>
      <c r="N233" s="1" t="s">
        <v>1787</v>
      </c>
      <c r="O233" s="1" t="str">
        <f t="shared" si="3"/>
        <v>Average Banking Program_HLGPL_Rent out</v>
      </c>
      <c r="P233" s="6">
        <v>1</v>
      </c>
      <c r="Q233" s="6">
        <v>35000000</v>
      </c>
      <c r="R233" s="6">
        <v>240</v>
      </c>
      <c r="S233" s="6">
        <v>240</v>
      </c>
      <c r="T233" s="9">
        <v>1</v>
      </c>
      <c r="U233" s="9">
        <v>1</v>
      </c>
      <c r="V233" s="9">
        <v>1</v>
      </c>
      <c r="W233" s="9">
        <v>1</v>
      </c>
      <c r="X233" s="9">
        <v>0.9</v>
      </c>
      <c r="Y233" s="9">
        <v>0.9</v>
      </c>
      <c r="Z233" s="9">
        <v>0.9</v>
      </c>
      <c r="AA233" s="9">
        <v>0.9</v>
      </c>
    </row>
    <row r="234" spans="4:27" ht="25.5">
      <c r="D234" s="8"/>
      <c r="G234" s="8"/>
      <c r="J234" s="8"/>
      <c r="L234" s="1" t="s">
        <v>1911</v>
      </c>
      <c r="M234" s="1" t="s">
        <v>1783</v>
      </c>
      <c r="N234" s="1" t="s">
        <v>1787</v>
      </c>
      <c r="O234" s="1" t="str">
        <f t="shared" si="3"/>
        <v>Average Banking Program_HLIns_Rent out</v>
      </c>
      <c r="P234" s="6">
        <v>1</v>
      </c>
      <c r="Q234" s="6">
        <v>35000000</v>
      </c>
      <c r="R234" s="6">
        <v>240</v>
      </c>
      <c r="S234" s="6">
        <v>240</v>
      </c>
      <c r="T234" s="9">
        <v>1</v>
      </c>
      <c r="U234" s="9">
        <v>1</v>
      </c>
      <c r="V234" s="9">
        <v>1</v>
      </c>
      <c r="W234" s="9">
        <v>1</v>
      </c>
      <c r="X234" s="9">
        <v>0.9</v>
      </c>
      <c r="Y234" s="9">
        <v>0.9</v>
      </c>
      <c r="Z234" s="9">
        <v>0.9</v>
      </c>
      <c r="AA234" s="9">
        <v>0.9</v>
      </c>
    </row>
    <row r="235" spans="4:27" ht="25.5">
      <c r="D235" s="8"/>
      <c r="G235" s="8"/>
      <c r="J235" s="8"/>
      <c r="L235" s="1" t="s">
        <v>1911</v>
      </c>
      <c r="M235" s="1" t="s">
        <v>1773</v>
      </c>
      <c r="N235" s="1" t="s">
        <v>1799</v>
      </c>
      <c r="O235" s="1" t="str">
        <f t="shared" si="3"/>
        <v>Average Banking Program_HL_Vacant / Investment</v>
      </c>
      <c r="P235" s="6">
        <v>1</v>
      </c>
      <c r="Q235" s="6">
        <v>35000000</v>
      </c>
      <c r="R235" s="6">
        <v>240</v>
      </c>
      <c r="S235" s="6">
        <v>240</v>
      </c>
      <c r="T235" s="9">
        <v>1</v>
      </c>
      <c r="U235" s="9">
        <v>1</v>
      </c>
      <c r="V235" s="9">
        <v>1</v>
      </c>
      <c r="W235" s="9">
        <v>1</v>
      </c>
      <c r="X235" s="9">
        <v>0.85</v>
      </c>
      <c r="Y235" s="9">
        <v>0.85</v>
      </c>
      <c r="Z235" s="9">
        <v>0.85</v>
      </c>
      <c r="AA235" s="9">
        <v>0.85</v>
      </c>
    </row>
    <row r="236" spans="4:27" ht="38.25">
      <c r="D236" s="8"/>
      <c r="G236" s="8"/>
      <c r="J236" s="8"/>
      <c r="L236" s="1" t="s">
        <v>1911</v>
      </c>
      <c r="M236" s="1" t="s">
        <v>1777</v>
      </c>
      <c r="N236" s="1" t="s">
        <v>1799</v>
      </c>
      <c r="O236" s="1" t="str">
        <f t="shared" si="3"/>
        <v>Average Banking Program_HLGPLIns_Vacant / Investment</v>
      </c>
      <c r="P236" s="6">
        <v>1</v>
      </c>
      <c r="Q236" s="6">
        <v>35000000</v>
      </c>
      <c r="R236" s="6">
        <v>240</v>
      </c>
      <c r="S236" s="6">
        <v>240</v>
      </c>
      <c r="T236" s="9">
        <v>1</v>
      </c>
      <c r="U236" s="9">
        <v>1</v>
      </c>
      <c r="V236" s="9">
        <v>1</v>
      </c>
      <c r="W236" s="9">
        <v>1</v>
      </c>
      <c r="X236" s="9">
        <v>0.85</v>
      </c>
      <c r="Y236" s="9">
        <v>0.85</v>
      </c>
      <c r="Z236" s="9">
        <v>0.85</v>
      </c>
      <c r="AA236" s="9">
        <v>0.85</v>
      </c>
    </row>
    <row r="237" spans="4:27" ht="25.5">
      <c r="D237" s="8"/>
      <c r="G237" s="8"/>
      <c r="J237" s="8"/>
      <c r="L237" s="1" t="s">
        <v>1911</v>
      </c>
      <c r="M237" s="1" t="s">
        <v>1780</v>
      </c>
      <c r="N237" s="1" t="s">
        <v>1799</v>
      </c>
      <c r="O237" s="1" t="str">
        <f t="shared" si="3"/>
        <v>Average Banking Program_HLGPL_Vacant / Investment</v>
      </c>
      <c r="P237" s="6">
        <v>1</v>
      </c>
      <c r="Q237" s="6">
        <v>35000000</v>
      </c>
      <c r="R237" s="6">
        <v>240</v>
      </c>
      <c r="S237" s="6">
        <v>240</v>
      </c>
      <c r="T237" s="9">
        <v>1</v>
      </c>
      <c r="U237" s="9">
        <v>1</v>
      </c>
      <c r="V237" s="9">
        <v>1</v>
      </c>
      <c r="W237" s="9">
        <v>1</v>
      </c>
      <c r="X237" s="9">
        <v>0.85</v>
      </c>
      <c r="Y237" s="9">
        <v>0.85</v>
      </c>
      <c r="Z237" s="9">
        <v>0.85</v>
      </c>
      <c r="AA237" s="9">
        <v>0.85</v>
      </c>
    </row>
    <row r="238" spans="4:27" ht="25.5">
      <c r="D238" s="8"/>
      <c r="G238" s="8"/>
      <c r="J238" s="8"/>
      <c r="L238" s="1" t="s">
        <v>1911</v>
      </c>
      <c r="M238" s="1" t="s">
        <v>1783</v>
      </c>
      <c r="N238" s="1" t="s">
        <v>1799</v>
      </c>
      <c r="O238" s="1" t="str">
        <f t="shared" si="3"/>
        <v>Average Banking Program_HLIns_Vacant / Investment</v>
      </c>
      <c r="P238" s="6">
        <v>1</v>
      </c>
      <c r="Q238" s="6">
        <v>35000000</v>
      </c>
      <c r="R238" s="6">
        <v>240</v>
      </c>
      <c r="S238" s="6">
        <v>240</v>
      </c>
      <c r="T238" s="9">
        <v>1</v>
      </c>
      <c r="U238" s="9">
        <v>1</v>
      </c>
      <c r="V238" s="9">
        <v>1</v>
      </c>
      <c r="W238" s="9">
        <v>1</v>
      </c>
      <c r="X238" s="9">
        <v>0.85</v>
      </c>
      <c r="Y238" s="9">
        <v>0.85</v>
      </c>
      <c r="Z238" s="9">
        <v>0.85</v>
      </c>
      <c r="AA238" s="9">
        <v>0.85</v>
      </c>
    </row>
    <row r="239" spans="4:27" ht="25.5">
      <c r="D239" s="8"/>
      <c r="G239" s="8"/>
      <c r="J239" s="8"/>
      <c r="L239" s="1" t="s">
        <v>1911</v>
      </c>
      <c r="M239" s="1" t="s">
        <v>1812</v>
      </c>
      <c r="N239" s="1" t="s">
        <v>1774</v>
      </c>
      <c r="O239" s="1" t="str">
        <f t="shared" si="3"/>
        <v>Average Banking Program_LAP_Self-occupation</v>
      </c>
      <c r="P239" s="6">
        <v>1</v>
      </c>
      <c r="Q239" s="6">
        <v>20000000</v>
      </c>
      <c r="R239" s="6">
        <v>180</v>
      </c>
      <c r="S239" s="6">
        <v>180</v>
      </c>
      <c r="T239" s="9">
        <v>1</v>
      </c>
      <c r="U239" s="9">
        <v>1</v>
      </c>
      <c r="V239" s="9">
        <v>1</v>
      </c>
      <c r="W239" s="9">
        <v>1</v>
      </c>
      <c r="X239" s="9">
        <v>0.65</v>
      </c>
      <c r="Y239" s="9">
        <v>0.65</v>
      </c>
      <c r="Z239" s="9">
        <v>0.68</v>
      </c>
      <c r="AA239" s="9">
        <v>0.7</v>
      </c>
    </row>
    <row r="240" spans="4:27" ht="25.5">
      <c r="D240" s="8"/>
      <c r="G240" s="8"/>
      <c r="J240" s="8"/>
      <c r="L240" s="1" t="s">
        <v>1911</v>
      </c>
      <c r="M240" s="1" t="s">
        <v>1816</v>
      </c>
      <c r="N240" s="1" t="s">
        <v>1774</v>
      </c>
      <c r="O240" s="1" t="str">
        <f t="shared" si="3"/>
        <v>Average Banking Program_LAPGPLIns_Self-occupation</v>
      </c>
      <c r="P240" s="6">
        <v>1</v>
      </c>
      <c r="Q240" s="6">
        <v>20000000</v>
      </c>
      <c r="R240" s="6">
        <v>180</v>
      </c>
      <c r="S240" s="6">
        <v>180</v>
      </c>
      <c r="T240" s="9">
        <v>1</v>
      </c>
      <c r="U240" s="9">
        <v>1</v>
      </c>
      <c r="V240" s="9">
        <v>1</v>
      </c>
      <c r="W240" s="9">
        <v>1</v>
      </c>
      <c r="X240" s="9">
        <v>0.65</v>
      </c>
      <c r="Y240" s="9">
        <v>0.65</v>
      </c>
      <c r="Z240" s="9">
        <v>0.68</v>
      </c>
      <c r="AA240" s="9">
        <v>0.7</v>
      </c>
    </row>
    <row r="241" spans="4:27" ht="25.5">
      <c r="D241" s="8"/>
      <c r="G241" s="8"/>
      <c r="J241" s="8"/>
      <c r="L241" s="1" t="s">
        <v>1911</v>
      </c>
      <c r="M241" s="1" t="s">
        <v>1821</v>
      </c>
      <c r="N241" s="1" t="s">
        <v>1774</v>
      </c>
      <c r="O241" s="1" t="str">
        <f t="shared" si="3"/>
        <v>Average Banking Program_LAPGPL_Self-occupation</v>
      </c>
      <c r="P241" s="6">
        <v>1</v>
      </c>
      <c r="Q241" s="6">
        <v>20000000</v>
      </c>
      <c r="R241" s="6">
        <v>180</v>
      </c>
      <c r="S241" s="6">
        <v>180</v>
      </c>
      <c r="T241" s="9">
        <v>1</v>
      </c>
      <c r="U241" s="9">
        <v>1</v>
      </c>
      <c r="V241" s="9">
        <v>1</v>
      </c>
      <c r="W241" s="9">
        <v>1</v>
      </c>
      <c r="X241" s="9">
        <v>0.65</v>
      </c>
      <c r="Y241" s="9">
        <v>0.65</v>
      </c>
      <c r="Z241" s="9">
        <v>0.68</v>
      </c>
      <c r="AA241" s="9">
        <v>0.7</v>
      </c>
    </row>
    <row r="242" spans="4:27" ht="25.5">
      <c r="D242" s="8"/>
      <c r="G242" s="8"/>
      <c r="J242" s="8"/>
      <c r="L242" s="1" t="s">
        <v>1911</v>
      </c>
      <c r="M242" s="1" t="s">
        <v>1824</v>
      </c>
      <c r="N242" s="1" t="s">
        <v>1774</v>
      </c>
      <c r="O242" s="1" t="str">
        <f t="shared" si="3"/>
        <v>Average Banking Program_LAPIns_Self-occupation</v>
      </c>
      <c r="P242" s="6">
        <v>1</v>
      </c>
      <c r="Q242" s="6">
        <v>20000000</v>
      </c>
      <c r="R242" s="6">
        <v>180</v>
      </c>
      <c r="S242" s="6">
        <v>180</v>
      </c>
      <c r="T242" s="9">
        <v>1</v>
      </c>
      <c r="U242" s="9">
        <v>1</v>
      </c>
      <c r="V242" s="9">
        <v>1</v>
      </c>
      <c r="W242" s="9">
        <v>1</v>
      </c>
      <c r="X242" s="9">
        <v>0.65</v>
      </c>
      <c r="Y242" s="9">
        <v>0.65</v>
      </c>
      <c r="Z242" s="9">
        <v>0.68</v>
      </c>
      <c r="AA242" s="9">
        <v>0.7</v>
      </c>
    </row>
    <row r="243" spans="4:27" ht="25.5">
      <c r="D243" s="8"/>
      <c r="G243" s="8"/>
      <c r="J243" s="8"/>
      <c r="L243" s="1" t="s">
        <v>1911</v>
      </c>
      <c r="M243" s="1" t="s">
        <v>1812</v>
      </c>
      <c r="N243" s="1" t="s">
        <v>1787</v>
      </c>
      <c r="O243" s="1" t="str">
        <f t="shared" si="3"/>
        <v>Average Banking Program_LAP_Rent out</v>
      </c>
      <c r="P243" s="6">
        <v>1</v>
      </c>
      <c r="Q243" s="6">
        <v>20000000</v>
      </c>
      <c r="R243" s="6">
        <v>180</v>
      </c>
      <c r="S243" s="6">
        <v>180</v>
      </c>
      <c r="T243" s="9">
        <v>1</v>
      </c>
      <c r="U243" s="9">
        <v>1</v>
      </c>
      <c r="V243" s="9">
        <v>1</v>
      </c>
      <c r="W243" s="9">
        <v>1</v>
      </c>
      <c r="X243" s="9">
        <v>0.65</v>
      </c>
      <c r="Y243" s="9">
        <v>0.65</v>
      </c>
      <c r="Z243" s="9">
        <v>0.68</v>
      </c>
      <c r="AA243" s="9">
        <v>0.7</v>
      </c>
    </row>
    <row r="244" spans="4:27" ht="25.5">
      <c r="D244" s="8"/>
      <c r="G244" s="8"/>
      <c r="J244" s="8"/>
      <c r="L244" s="1" t="s">
        <v>1911</v>
      </c>
      <c r="M244" s="1" t="s">
        <v>1816</v>
      </c>
      <c r="N244" s="1" t="s">
        <v>1787</v>
      </c>
      <c r="O244" s="1" t="str">
        <f t="shared" si="3"/>
        <v>Average Banking Program_LAPGPLIns_Rent out</v>
      </c>
      <c r="P244" s="6">
        <v>1</v>
      </c>
      <c r="Q244" s="6">
        <v>20000000</v>
      </c>
      <c r="R244" s="6">
        <v>180</v>
      </c>
      <c r="S244" s="6">
        <v>180</v>
      </c>
      <c r="T244" s="9">
        <v>1</v>
      </c>
      <c r="U244" s="9">
        <v>1</v>
      </c>
      <c r="V244" s="9">
        <v>1</v>
      </c>
      <c r="W244" s="9">
        <v>1</v>
      </c>
      <c r="X244" s="9">
        <v>0.65</v>
      </c>
      <c r="Y244" s="9">
        <v>0.65</v>
      </c>
      <c r="Z244" s="9">
        <v>0.68</v>
      </c>
      <c r="AA244" s="9">
        <v>0.7</v>
      </c>
    </row>
    <row r="245" spans="4:27" ht="25.5">
      <c r="D245" s="8"/>
      <c r="G245" s="8"/>
      <c r="J245" s="8"/>
      <c r="L245" s="1" t="s">
        <v>1911</v>
      </c>
      <c r="M245" s="1" t="s">
        <v>1821</v>
      </c>
      <c r="N245" s="1" t="s">
        <v>1787</v>
      </c>
      <c r="O245" s="1" t="str">
        <f t="shared" si="3"/>
        <v>Average Banking Program_LAPGPL_Rent out</v>
      </c>
      <c r="P245" s="6">
        <v>1</v>
      </c>
      <c r="Q245" s="6">
        <v>20000000</v>
      </c>
      <c r="R245" s="6">
        <v>180</v>
      </c>
      <c r="S245" s="6">
        <v>180</v>
      </c>
      <c r="T245" s="9">
        <v>1</v>
      </c>
      <c r="U245" s="9">
        <v>1</v>
      </c>
      <c r="V245" s="9">
        <v>1</v>
      </c>
      <c r="W245" s="9">
        <v>1</v>
      </c>
      <c r="X245" s="9">
        <v>0.65</v>
      </c>
      <c r="Y245" s="9">
        <v>0.65</v>
      </c>
      <c r="Z245" s="9">
        <v>0.68</v>
      </c>
      <c r="AA245" s="9">
        <v>0.7</v>
      </c>
    </row>
    <row r="246" spans="4:27" ht="25.5">
      <c r="D246" s="8"/>
      <c r="G246" s="8"/>
      <c r="J246" s="8"/>
      <c r="L246" s="1" t="s">
        <v>1911</v>
      </c>
      <c r="M246" s="1" t="s">
        <v>1824</v>
      </c>
      <c r="N246" s="1" t="s">
        <v>1787</v>
      </c>
      <c r="O246" s="1" t="str">
        <f t="shared" si="3"/>
        <v>Average Banking Program_LAPIns_Rent out</v>
      </c>
      <c r="P246" s="6">
        <v>1</v>
      </c>
      <c r="Q246" s="6">
        <v>20000000</v>
      </c>
      <c r="R246" s="6">
        <v>180</v>
      </c>
      <c r="S246" s="6">
        <v>180</v>
      </c>
      <c r="T246" s="9">
        <v>1</v>
      </c>
      <c r="U246" s="9">
        <v>1</v>
      </c>
      <c r="V246" s="9">
        <v>1</v>
      </c>
      <c r="W246" s="9">
        <v>1</v>
      </c>
      <c r="X246" s="9">
        <v>0.65</v>
      </c>
      <c r="Y246" s="9">
        <v>0.65</v>
      </c>
      <c r="Z246" s="9">
        <v>0.68</v>
      </c>
      <c r="AA246" s="9">
        <v>0.7</v>
      </c>
    </row>
    <row r="247" spans="4:27" ht="25.5">
      <c r="D247" s="8"/>
      <c r="G247" s="8"/>
      <c r="J247" s="8"/>
      <c r="L247" s="1" t="s">
        <v>1911</v>
      </c>
      <c r="M247" s="1" t="s">
        <v>1812</v>
      </c>
      <c r="N247" s="1" t="s">
        <v>1799</v>
      </c>
      <c r="O247" s="1" t="str">
        <f t="shared" si="3"/>
        <v>Average Banking Program_LAP_Vacant / Investment</v>
      </c>
      <c r="P247" s="6">
        <v>0</v>
      </c>
      <c r="Q247" s="6">
        <v>0</v>
      </c>
      <c r="R247" s="6">
        <v>0</v>
      </c>
      <c r="S247" s="6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</row>
    <row r="248" spans="4:27" ht="38.25">
      <c r="D248" s="8"/>
      <c r="G248" s="8"/>
      <c r="J248" s="8"/>
      <c r="L248" s="1" t="s">
        <v>1911</v>
      </c>
      <c r="M248" s="1" t="s">
        <v>1816</v>
      </c>
      <c r="N248" s="1" t="s">
        <v>1799</v>
      </c>
      <c r="O248" s="1" t="str">
        <f t="shared" si="3"/>
        <v>Average Banking Program_LAPGPLIns_Vacant / Investment</v>
      </c>
      <c r="P248" s="6">
        <v>0</v>
      </c>
      <c r="Q248" s="6">
        <v>0</v>
      </c>
      <c r="R248" s="6">
        <v>0</v>
      </c>
      <c r="S248" s="6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</row>
    <row r="249" spans="4:27" ht="25.5">
      <c r="D249" s="8"/>
      <c r="G249" s="8"/>
      <c r="J249" s="8"/>
      <c r="L249" s="1" t="s">
        <v>1911</v>
      </c>
      <c r="M249" s="1" t="s">
        <v>1821</v>
      </c>
      <c r="N249" s="1" t="s">
        <v>1799</v>
      </c>
      <c r="O249" s="1" t="str">
        <f t="shared" si="3"/>
        <v>Average Banking Program_LAPGPL_Vacant / Investment</v>
      </c>
      <c r="P249" s="6">
        <v>0</v>
      </c>
      <c r="Q249" s="6">
        <v>0</v>
      </c>
      <c r="R249" s="6">
        <v>0</v>
      </c>
      <c r="S249" s="6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</row>
    <row r="250" spans="4:27" ht="25.5">
      <c r="D250" s="8"/>
      <c r="G250" s="8"/>
      <c r="J250" s="8"/>
      <c r="L250" s="1" t="s">
        <v>1911</v>
      </c>
      <c r="M250" s="1" t="s">
        <v>1824</v>
      </c>
      <c r="N250" s="1" t="s">
        <v>1799</v>
      </c>
      <c r="O250" s="1" t="str">
        <f t="shared" si="3"/>
        <v>Average Banking Program_LAPIns_Vacant / Investment</v>
      </c>
      <c r="P250" s="6">
        <v>0</v>
      </c>
      <c r="Q250" s="6">
        <v>0</v>
      </c>
      <c r="R250" s="6">
        <v>0</v>
      </c>
      <c r="S250" s="6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</row>
    <row r="251" spans="4:27" ht="25.5">
      <c r="D251" s="8"/>
      <c r="G251" s="8"/>
      <c r="J251" s="8"/>
      <c r="L251" s="1" t="s">
        <v>1911</v>
      </c>
      <c r="M251" s="1" t="s">
        <v>1852</v>
      </c>
      <c r="N251" s="1" t="s">
        <v>1774</v>
      </c>
      <c r="O251" s="1" t="str">
        <f t="shared" si="3"/>
        <v>Average Banking Program_Indl_Self-occupation</v>
      </c>
      <c r="P251" s="6">
        <v>0</v>
      </c>
      <c r="Q251" s="6">
        <v>0</v>
      </c>
      <c r="R251" s="6">
        <v>0</v>
      </c>
      <c r="S251" s="6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</row>
    <row r="252" spans="4:27" ht="25.5">
      <c r="L252" s="1" t="s">
        <v>1911</v>
      </c>
      <c r="M252" s="1" t="s">
        <v>1856</v>
      </c>
      <c r="N252" s="1" t="s">
        <v>1774</v>
      </c>
      <c r="O252" s="1" t="str">
        <f t="shared" si="3"/>
        <v>Average Banking Program_IndlGPLIns_Self-occupation</v>
      </c>
      <c r="P252" s="6">
        <v>0</v>
      </c>
      <c r="Q252" s="6">
        <v>0</v>
      </c>
      <c r="R252" s="6">
        <v>0</v>
      </c>
      <c r="S252" s="6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</row>
    <row r="253" spans="4:27" ht="25.5">
      <c r="L253" s="1" t="s">
        <v>1911</v>
      </c>
      <c r="M253" s="1" t="s">
        <v>1860</v>
      </c>
      <c r="N253" s="1" t="s">
        <v>1774</v>
      </c>
      <c r="O253" s="1" t="str">
        <f t="shared" si="3"/>
        <v>Average Banking Program_IndlGPL_Self-occupation</v>
      </c>
      <c r="P253" s="6">
        <v>0</v>
      </c>
      <c r="Q253" s="6">
        <v>0</v>
      </c>
      <c r="R253" s="6">
        <v>0</v>
      </c>
      <c r="S253" s="6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</row>
    <row r="254" spans="4:27" ht="25.5">
      <c r="L254" s="1" t="s">
        <v>1911</v>
      </c>
      <c r="M254" s="1" t="s">
        <v>1864</v>
      </c>
      <c r="N254" s="1" t="s">
        <v>1774</v>
      </c>
      <c r="O254" s="1" t="str">
        <f t="shared" si="3"/>
        <v>Average Banking Program_IndlIns_Self-occupation</v>
      </c>
      <c r="P254" s="6">
        <v>0</v>
      </c>
      <c r="Q254" s="6">
        <v>0</v>
      </c>
      <c r="R254" s="6">
        <v>0</v>
      </c>
      <c r="S254" s="6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</row>
    <row r="255" spans="4:27" ht="25.5">
      <c r="L255" s="1" t="s">
        <v>1911</v>
      </c>
      <c r="M255" s="1" t="s">
        <v>1852</v>
      </c>
      <c r="N255" s="1" t="s">
        <v>1787</v>
      </c>
      <c r="O255" s="1" t="str">
        <f t="shared" si="3"/>
        <v>Average Banking Program_Indl_Rent out</v>
      </c>
      <c r="P255" s="6">
        <v>0</v>
      </c>
      <c r="Q255" s="6">
        <v>0</v>
      </c>
      <c r="R255" s="6">
        <v>0</v>
      </c>
      <c r="S255" s="6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</row>
    <row r="256" spans="4:27" ht="25.5">
      <c r="L256" s="1" t="s">
        <v>1911</v>
      </c>
      <c r="M256" s="1" t="s">
        <v>1856</v>
      </c>
      <c r="N256" s="1" t="s">
        <v>1787</v>
      </c>
      <c r="O256" s="1" t="str">
        <f t="shared" si="3"/>
        <v>Average Banking Program_IndlGPLIns_Rent out</v>
      </c>
      <c r="P256" s="6">
        <v>0</v>
      </c>
      <c r="Q256" s="6">
        <v>0</v>
      </c>
      <c r="R256" s="6">
        <v>0</v>
      </c>
      <c r="S256" s="6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</row>
    <row r="257" spans="12:27" ht="25.5">
      <c r="L257" s="1" t="s">
        <v>1911</v>
      </c>
      <c r="M257" s="1" t="s">
        <v>1860</v>
      </c>
      <c r="N257" s="1" t="s">
        <v>1787</v>
      </c>
      <c r="O257" s="1" t="str">
        <f t="shared" si="3"/>
        <v>Average Banking Program_IndlGPL_Rent out</v>
      </c>
      <c r="P257" s="6">
        <v>0</v>
      </c>
      <c r="Q257" s="6">
        <v>0</v>
      </c>
      <c r="R257" s="6">
        <v>0</v>
      </c>
      <c r="S257" s="6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</row>
    <row r="258" spans="12:27" ht="25.5">
      <c r="L258" s="1" t="s">
        <v>1911</v>
      </c>
      <c r="M258" s="1" t="s">
        <v>1864</v>
      </c>
      <c r="N258" s="1" t="s">
        <v>1787</v>
      </c>
      <c r="O258" s="1" t="str">
        <f t="shared" si="3"/>
        <v>Average Banking Program_IndlIns_Rent out</v>
      </c>
      <c r="P258" s="6">
        <v>0</v>
      </c>
      <c r="Q258" s="6">
        <v>0</v>
      </c>
      <c r="R258" s="6">
        <v>0</v>
      </c>
      <c r="S258" s="6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</row>
    <row r="259" spans="12:27" ht="25.5">
      <c r="L259" s="1" t="s">
        <v>1911</v>
      </c>
      <c r="M259" s="1" t="s">
        <v>1852</v>
      </c>
      <c r="N259" s="1" t="s">
        <v>1799</v>
      </c>
      <c r="O259" s="1" t="str">
        <f t="shared" ref="O259:O322" si="4">CONCATENATE(L259,"_",M259,"_",N259)</f>
        <v>Average Banking Program_Indl_Vacant / Investment</v>
      </c>
      <c r="P259" s="6">
        <v>0</v>
      </c>
      <c r="Q259" s="6">
        <v>0</v>
      </c>
      <c r="R259" s="6">
        <v>0</v>
      </c>
      <c r="S259" s="6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</row>
    <row r="260" spans="12:27" ht="38.25">
      <c r="L260" s="1" t="s">
        <v>1911</v>
      </c>
      <c r="M260" s="1" t="s">
        <v>1856</v>
      </c>
      <c r="N260" s="1" t="s">
        <v>1799</v>
      </c>
      <c r="O260" s="1" t="str">
        <f t="shared" si="4"/>
        <v>Average Banking Program_IndlGPLIns_Vacant / Investment</v>
      </c>
      <c r="P260" s="6">
        <v>0</v>
      </c>
      <c r="Q260" s="6">
        <v>0</v>
      </c>
      <c r="R260" s="6">
        <v>0</v>
      </c>
      <c r="S260" s="6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</row>
    <row r="261" spans="12:27" ht="25.5">
      <c r="L261" s="1" t="s">
        <v>1911</v>
      </c>
      <c r="M261" s="1" t="s">
        <v>1860</v>
      </c>
      <c r="N261" s="1" t="s">
        <v>1799</v>
      </c>
      <c r="O261" s="1" t="str">
        <f t="shared" si="4"/>
        <v>Average Banking Program_IndlGPL_Vacant / Investment</v>
      </c>
      <c r="P261" s="6">
        <v>0</v>
      </c>
      <c r="Q261" s="6">
        <v>0</v>
      </c>
      <c r="R261" s="6">
        <v>0</v>
      </c>
      <c r="S261" s="6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</row>
    <row r="262" spans="12:27" ht="25.5">
      <c r="L262" s="1" t="s">
        <v>1911</v>
      </c>
      <c r="M262" s="1" t="s">
        <v>1864</v>
      </c>
      <c r="N262" s="1" t="s">
        <v>1799</v>
      </c>
      <c r="O262" s="1" t="str">
        <f t="shared" si="4"/>
        <v>Average Banking Program_IndlIns_Vacant / Investment</v>
      </c>
      <c r="P262" s="6">
        <v>0</v>
      </c>
      <c r="Q262" s="6">
        <v>0</v>
      </c>
      <c r="R262" s="6">
        <v>0</v>
      </c>
      <c r="S262" s="6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</row>
    <row r="263" spans="12:27" ht="25.5">
      <c r="L263" s="1" t="s">
        <v>1911</v>
      </c>
      <c r="M263" s="1" t="s">
        <v>1890</v>
      </c>
      <c r="N263" s="1" t="s">
        <v>1774</v>
      </c>
      <c r="O263" s="1" t="str">
        <f t="shared" si="4"/>
        <v>Average Banking Program_GPL_Self-occupation</v>
      </c>
      <c r="P263" s="6">
        <v>1</v>
      </c>
      <c r="Q263" s="6">
        <v>4000000</v>
      </c>
      <c r="R263" s="6">
        <v>0</v>
      </c>
      <c r="S263" s="6">
        <v>120</v>
      </c>
      <c r="T263" s="9">
        <v>0</v>
      </c>
      <c r="U263" s="9">
        <v>0</v>
      </c>
      <c r="V263" s="9">
        <v>0</v>
      </c>
      <c r="W263" s="9">
        <v>1</v>
      </c>
      <c r="X263" s="9">
        <v>0.1</v>
      </c>
      <c r="Y263" s="9">
        <v>0</v>
      </c>
      <c r="Z263" s="9">
        <v>0</v>
      </c>
      <c r="AA263" s="9">
        <v>0.1</v>
      </c>
    </row>
    <row r="264" spans="12:27" ht="25.5">
      <c r="L264" s="1" t="s">
        <v>1911</v>
      </c>
      <c r="M264" s="1" t="s">
        <v>1893</v>
      </c>
      <c r="N264" s="1" t="s">
        <v>1774</v>
      </c>
      <c r="O264" s="1" t="str">
        <f t="shared" si="4"/>
        <v>Average Banking Program_GPLIns_Self-occupation</v>
      </c>
      <c r="P264" s="6">
        <v>1</v>
      </c>
      <c r="Q264" s="6">
        <v>4000000</v>
      </c>
      <c r="R264" s="6">
        <v>0</v>
      </c>
      <c r="S264" s="6">
        <v>120</v>
      </c>
      <c r="T264" s="9">
        <v>0</v>
      </c>
      <c r="U264" s="9">
        <v>0</v>
      </c>
      <c r="V264" s="9">
        <v>0</v>
      </c>
      <c r="W264" s="9">
        <v>1</v>
      </c>
      <c r="X264" s="9">
        <v>0.1</v>
      </c>
      <c r="Y264" s="9">
        <v>0</v>
      </c>
      <c r="Z264" s="9">
        <v>0</v>
      </c>
      <c r="AA264" s="9">
        <v>0.1</v>
      </c>
    </row>
    <row r="265" spans="12:27" ht="25.5">
      <c r="L265" s="1" t="s">
        <v>1911</v>
      </c>
      <c r="M265" s="1" t="s">
        <v>1897</v>
      </c>
      <c r="N265" s="1" t="s">
        <v>1774</v>
      </c>
      <c r="O265" s="1" t="str">
        <f t="shared" si="4"/>
        <v>Average Banking Program_Ins_Self-occupation</v>
      </c>
      <c r="P265" s="6">
        <v>1</v>
      </c>
      <c r="Q265" s="6">
        <v>10000000</v>
      </c>
      <c r="R265" s="6">
        <v>240</v>
      </c>
      <c r="S265" s="6">
        <v>240</v>
      </c>
      <c r="T265" s="9">
        <v>1</v>
      </c>
      <c r="U265" s="9">
        <v>1</v>
      </c>
      <c r="V265" s="9">
        <v>1</v>
      </c>
      <c r="W265" s="9">
        <v>1</v>
      </c>
      <c r="X265" s="9">
        <v>0.05</v>
      </c>
      <c r="Y265" s="9">
        <v>0.05</v>
      </c>
      <c r="Z265" s="9">
        <v>0.05</v>
      </c>
      <c r="AA265" s="9">
        <v>0.05</v>
      </c>
    </row>
    <row r="266" spans="12:27" ht="25.5">
      <c r="L266" s="1" t="s">
        <v>1911</v>
      </c>
      <c r="M266" s="1" t="s">
        <v>1890</v>
      </c>
      <c r="N266" s="1" t="s">
        <v>1787</v>
      </c>
      <c r="O266" s="1" t="str">
        <f t="shared" si="4"/>
        <v>Average Banking Program_GPL_Rent out</v>
      </c>
      <c r="P266" s="6">
        <v>1</v>
      </c>
      <c r="Q266" s="6">
        <v>4000000</v>
      </c>
      <c r="R266" s="6">
        <v>0</v>
      </c>
      <c r="S266" s="6">
        <v>120</v>
      </c>
      <c r="T266" s="9">
        <v>0</v>
      </c>
      <c r="U266" s="9">
        <v>0</v>
      </c>
      <c r="V266" s="9">
        <v>0</v>
      </c>
      <c r="W266" s="9">
        <v>1</v>
      </c>
      <c r="X266" s="9">
        <v>0.1</v>
      </c>
      <c r="Y266" s="9">
        <v>0</v>
      </c>
      <c r="Z266" s="9">
        <v>0</v>
      </c>
      <c r="AA266" s="9">
        <v>0.1</v>
      </c>
    </row>
    <row r="267" spans="12:27" ht="25.5">
      <c r="L267" s="1" t="s">
        <v>1911</v>
      </c>
      <c r="M267" s="1" t="s">
        <v>1893</v>
      </c>
      <c r="N267" s="1" t="s">
        <v>1787</v>
      </c>
      <c r="O267" s="1" t="str">
        <f t="shared" si="4"/>
        <v>Average Banking Program_GPLIns_Rent out</v>
      </c>
      <c r="P267" s="6">
        <v>1</v>
      </c>
      <c r="Q267" s="6">
        <v>4000000</v>
      </c>
      <c r="R267" s="6">
        <v>0</v>
      </c>
      <c r="S267" s="6">
        <v>120</v>
      </c>
      <c r="T267" s="9">
        <v>0</v>
      </c>
      <c r="U267" s="9">
        <v>0</v>
      </c>
      <c r="V267" s="9">
        <v>0</v>
      </c>
      <c r="W267" s="9">
        <v>1</v>
      </c>
      <c r="X267" s="9">
        <v>0.1</v>
      </c>
      <c r="Y267" s="9">
        <v>0</v>
      </c>
      <c r="Z267" s="9">
        <v>0</v>
      </c>
      <c r="AA267" s="9">
        <v>0.1</v>
      </c>
    </row>
    <row r="268" spans="12:27">
      <c r="L268" s="1" t="s">
        <v>1911</v>
      </c>
      <c r="M268" s="1" t="s">
        <v>1897</v>
      </c>
      <c r="N268" s="1" t="s">
        <v>1787</v>
      </c>
      <c r="O268" s="1" t="str">
        <f t="shared" si="4"/>
        <v>Average Banking Program_Ins_Rent out</v>
      </c>
      <c r="P268" s="6">
        <v>1</v>
      </c>
      <c r="Q268" s="6">
        <v>10000000</v>
      </c>
      <c r="R268" s="6">
        <v>240</v>
      </c>
      <c r="S268" s="6">
        <v>240</v>
      </c>
      <c r="T268" s="9">
        <v>1</v>
      </c>
      <c r="U268" s="9">
        <v>1</v>
      </c>
      <c r="V268" s="9">
        <v>1</v>
      </c>
      <c r="W268" s="9">
        <v>1</v>
      </c>
      <c r="X268" s="9">
        <v>0.05</v>
      </c>
      <c r="Y268" s="9">
        <v>0.05</v>
      </c>
      <c r="Z268" s="9">
        <v>0.05</v>
      </c>
      <c r="AA268" s="9">
        <v>0.05</v>
      </c>
    </row>
    <row r="269" spans="12:27" ht="25.5">
      <c r="L269" s="1" t="s">
        <v>1911</v>
      </c>
      <c r="M269" s="1" t="s">
        <v>1890</v>
      </c>
      <c r="N269" s="1" t="s">
        <v>1799</v>
      </c>
      <c r="O269" s="1" t="str">
        <f t="shared" si="4"/>
        <v>Average Banking Program_GPL_Vacant / Investment</v>
      </c>
      <c r="P269" s="6">
        <v>0</v>
      </c>
      <c r="Q269" s="6">
        <v>0</v>
      </c>
      <c r="R269" s="6">
        <v>0</v>
      </c>
      <c r="S269" s="6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</row>
    <row r="270" spans="12:27" ht="25.5">
      <c r="L270" s="1" t="s">
        <v>1911</v>
      </c>
      <c r="M270" s="1" t="s">
        <v>1893</v>
      </c>
      <c r="N270" s="1" t="s">
        <v>1799</v>
      </c>
      <c r="O270" s="1" t="str">
        <f t="shared" si="4"/>
        <v>Average Banking Program_GPLIns_Vacant / Investment</v>
      </c>
      <c r="P270" s="6">
        <v>0</v>
      </c>
      <c r="Q270" s="6">
        <v>0</v>
      </c>
      <c r="R270" s="6">
        <v>0</v>
      </c>
      <c r="S270" s="6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</row>
    <row r="271" spans="12:27" ht="25.5">
      <c r="L271" s="1" t="s">
        <v>1911</v>
      </c>
      <c r="M271" s="1" t="s">
        <v>1897</v>
      </c>
      <c r="N271" s="1" t="s">
        <v>1799</v>
      </c>
      <c r="O271" s="1" t="str">
        <f t="shared" si="4"/>
        <v>Average Banking Program_Ins_Vacant / Investment</v>
      </c>
      <c r="P271" s="6">
        <v>0</v>
      </c>
      <c r="Q271" s="6">
        <v>0</v>
      </c>
      <c r="R271" s="6">
        <v>0</v>
      </c>
      <c r="S271" s="6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</row>
    <row r="272" spans="12:27" ht="25.5">
      <c r="L272" s="1" t="s">
        <v>1914</v>
      </c>
      <c r="M272" s="1" t="s">
        <v>1773</v>
      </c>
      <c r="N272" s="1" t="s">
        <v>1774</v>
      </c>
      <c r="O272" s="1" t="str">
        <f t="shared" si="4"/>
        <v>Mortgage Takeover_HL_Self-occupation</v>
      </c>
      <c r="P272" s="6">
        <v>0</v>
      </c>
      <c r="Q272" s="6">
        <v>0</v>
      </c>
      <c r="R272" s="6">
        <v>0</v>
      </c>
      <c r="S272" s="6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</row>
    <row r="273" spans="12:27" ht="25.5">
      <c r="L273" s="1" t="s">
        <v>1914</v>
      </c>
      <c r="M273" s="1" t="s">
        <v>1777</v>
      </c>
      <c r="N273" s="1" t="s">
        <v>1774</v>
      </c>
      <c r="O273" s="1" t="str">
        <f t="shared" si="4"/>
        <v>Mortgage Takeover_HLGPLIns_Self-occupation</v>
      </c>
      <c r="P273" s="6">
        <v>0</v>
      </c>
      <c r="Q273" s="6">
        <v>0</v>
      </c>
      <c r="R273" s="6">
        <v>0</v>
      </c>
      <c r="S273" s="6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</row>
    <row r="274" spans="12:27" ht="25.5">
      <c r="L274" s="1" t="s">
        <v>1914</v>
      </c>
      <c r="M274" s="1" t="s">
        <v>1780</v>
      </c>
      <c r="N274" s="1" t="s">
        <v>1774</v>
      </c>
      <c r="O274" s="1" t="str">
        <f t="shared" si="4"/>
        <v>Mortgage Takeover_HLGPL_Self-occupation</v>
      </c>
      <c r="P274" s="6">
        <v>0</v>
      </c>
      <c r="Q274" s="6">
        <v>0</v>
      </c>
      <c r="R274" s="6">
        <v>0</v>
      </c>
      <c r="S274" s="6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</row>
    <row r="275" spans="12:27" ht="25.5">
      <c r="L275" s="1" t="s">
        <v>1914</v>
      </c>
      <c r="M275" s="1" t="s">
        <v>1783</v>
      </c>
      <c r="N275" s="1" t="s">
        <v>1774</v>
      </c>
      <c r="O275" s="1" t="str">
        <f t="shared" si="4"/>
        <v>Mortgage Takeover_HLIns_Self-occupation</v>
      </c>
      <c r="P275" s="6">
        <v>0</v>
      </c>
      <c r="Q275" s="6">
        <v>0</v>
      </c>
      <c r="R275" s="6">
        <v>0</v>
      </c>
      <c r="S275" s="6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</row>
    <row r="276" spans="12:27">
      <c r="L276" s="1" t="s">
        <v>1914</v>
      </c>
      <c r="M276" s="1" t="s">
        <v>1773</v>
      </c>
      <c r="N276" s="1" t="s">
        <v>1787</v>
      </c>
      <c r="O276" s="1" t="str">
        <f t="shared" si="4"/>
        <v>Mortgage Takeover_HL_Rent out</v>
      </c>
      <c r="P276" s="6">
        <v>0</v>
      </c>
      <c r="Q276" s="6">
        <v>0</v>
      </c>
      <c r="R276" s="6">
        <v>0</v>
      </c>
      <c r="S276" s="6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</row>
    <row r="277" spans="12:27">
      <c r="L277" s="1" t="s">
        <v>1914</v>
      </c>
      <c r="M277" s="1" t="s">
        <v>1777</v>
      </c>
      <c r="N277" s="1" t="s">
        <v>1787</v>
      </c>
      <c r="O277" s="1" t="str">
        <f t="shared" si="4"/>
        <v>Mortgage Takeover_HLGPLIns_Rent out</v>
      </c>
      <c r="P277" s="6">
        <v>0</v>
      </c>
      <c r="Q277" s="6">
        <v>0</v>
      </c>
      <c r="R277" s="6">
        <v>0</v>
      </c>
      <c r="S277" s="6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</row>
    <row r="278" spans="12:27">
      <c r="L278" s="1" t="s">
        <v>1914</v>
      </c>
      <c r="M278" s="1" t="s">
        <v>1780</v>
      </c>
      <c r="N278" s="1" t="s">
        <v>1787</v>
      </c>
      <c r="O278" s="1" t="str">
        <f t="shared" si="4"/>
        <v>Mortgage Takeover_HLGPL_Rent out</v>
      </c>
      <c r="P278" s="6">
        <v>0</v>
      </c>
      <c r="Q278" s="6">
        <v>0</v>
      </c>
      <c r="R278" s="6">
        <v>0</v>
      </c>
      <c r="S278" s="6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</row>
    <row r="279" spans="12:27">
      <c r="L279" s="1" t="s">
        <v>1914</v>
      </c>
      <c r="M279" s="1" t="s">
        <v>1783</v>
      </c>
      <c r="N279" s="1" t="s">
        <v>1787</v>
      </c>
      <c r="O279" s="1" t="str">
        <f t="shared" si="4"/>
        <v>Mortgage Takeover_HLIns_Rent out</v>
      </c>
      <c r="P279" s="6">
        <v>0</v>
      </c>
      <c r="Q279" s="6">
        <v>0</v>
      </c>
      <c r="R279" s="6">
        <v>0</v>
      </c>
      <c r="S279" s="6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</row>
    <row r="280" spans="12:27" ht="25.5">
      <c r="L280" s="1" t="s">
        <v>1914</v>
      </c>
      <c r="M280" s="1" t="s">
        <v>1773</v>
      </c>
      <c r="N280" s="1" t="s">
        <v>1799</v>
      </c>
      <c r="O280" s="1" t="str">
        <f t="shared" si="4"/>
        <v>Mortgage Takeover_HL_Vacant / Investment</v>
      </c>
      <c r="P280" s="6">
        <v>0</v>
      </c>
      <c r="Q280" s="6">
        <v>0</v>
      </c>
      <c r="R280" s="6">
        <v>0</v>
      </c>
      <c r="S280" s="6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</row>
    <row r="281" spans="12:27" ht="25.5">
      <c r="L281" s="1" t="s">
        <v>1914</v>
      </c>
      <c r="M281" s="1" t="s">
        <v>1777</v>
      </c>
      <c r="N281" s="1" t="s">
        <v>1799</v>
      </c>
      <c r="O281" s="1" t="str">
        <f t="shared" si="4"/>
        <v>Mortgage Takeover_HLGPLIns_Vacant / Investment</v>
      </c>
      <c r="P281" s="6">
        <v>0</v>
      </c>
      <c r="Q281" s="6">
        <v>0</v>
      </c>
      <c r="R281" s="6">
        <v>0</v>
      </c>
      <c r="S281" s="6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</row>
    <row r="282" spans="12:27" ht="25.5">
      <c r="L282" s="1" t="s">
        <v>1914</v>
      </c>
      <c r="M282" s="1" t="s">
        <v>1780</v>
      </c>
      <c r="N282" s="1" t="s">
        <v>1799</v>
      </c>
      <c r="O282" s="1" t="str">
        <f t="shared" si="4"/>
        <v>Mortgage Takeover_HLGPL_Vacant / Investment</v>
      </c>
      <c r="P282" s="6">
        <v>0</v>
      </c>
      <c r="Q282" s="6">
        <v>0</v>
      </c>
      <c r="R282" s="6">
        <v>0</v>
      </c>
      <c r="S282" s="6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</row>
    <row r="283" spans="12:27" ht="25.5">
      <c r="L283" s="1" t="s">
        <v>1914</v>
      </c>
      <c r="M283" s="1" t="s">
        <v>1783</v>
      </c>
      <c r="N283" s="1" t="s">
        <v>1799</v>
      </c>
      <c r="O283" s="1" t="str">
        <f t="shared" si="4"/>
        <v>Mortgage Takeover_HLIns_Vacant / Investment</v>
      </c>
      <c r="P283" s="6">
        <v>0</v>
      </c>
      <c r="Q283" s="6">
        <v>0</v>
      </c>
      <c r="R283" s="6">
        <v>0</v>
      </c>
      <c r="S283" s="6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</row>
    <row r="284" spans="12:27" ht="25.5">
      <c r="L284" s="1" t="s">
        <v>1914</v>
      </c>
      <c r="M284" s="1" t="s">
        <v>1812</v>
      </c>
      <c r="N284" s="1" t="s">
        <v>1774</v>
      </c>
      <c r="O284" s="1" t="str">
        <f t="shared" si="4"/>
        <v>Mortgage Takeover_LAP_Self-occupation</v>
      </c>
      <c r="P284" s="6">
        <v>0</v>
      </c>
      <c r="Q284" s="6">
        <v>0</v>
      </c>
      <c r="R284" s="6">
        <v>0</v>
      </c>
      <c r="S284" s="6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</row>
    <row r="285" spans="12:27" ht="25.5">
      <c r="L285" s="1" t="s">
        <v>1914</v>
      </c>
      <c r="M285" s="1" t="s">
        <v>1816</v>
      </c>
      <c r="N285" s="1" t="s">
        <v>1774</v>
      </c>
      <c r="O285" s="1" t="str">
        <f t="shared" si="4"/>
        <v>Mortgage Takeover_LAPGPLIns_Self-occupation</v>
      </c>
      <c r="P285" s="6">
        <v>0</v>
      </c>
      <c r="Q285" s="6">
        <v>0</v>
      </c>
      <c r="R285" s="6">
        <v>0</v>
      </c>
      <c r="S285" s="6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</row>
    <row r="286" spans="12:27" ht="25.5">
      <c r="L286" s="1" t="s">
        <v>1914</v>
      </c>
      <c r="M286" s="1" t="s">
        <v>1821</v>
      </c>
      <c r="N286" s="1" t="s">
        <v>1774</v>
      </c>
      <c r="O286" s="1" t="str">
        <f t="shared" si="4"/>
        <v>Mortgage Takeover_LAPGPL_Self-occupation</v>
      </c>
      <c r="P286" s="6">
        <v>0</v>
      </c>
      <c r="Q286" s="6">
        <v>0</v>
      </c>
      <c r="R286" s="6">
        <v>0</v>
      </c>
      <c r="S286" s="6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</row>
    <row r="287" spans="12:27" ht="25.5">
      <c r="L287" s="1" t="s">
        <v>1914</v>
      </c>
      <c r="M287" s="1" t="s">
        <v>1824</v>
      </c>
      <c r="N287" s="1" t="s">
        <v>1774</v>
      </c>
      <c r="O287" s="1" t="str">
        <f t="shared" si="4"/>
        <v>Mortgage Takeover_LAPIns_Self-occupation</v>
      </c>
      <c r="P287" s="6">
        <v>0</v>
      </c>
      <c r="Q287" s="6">
        <v>0</v>
      </c>
      <c r="R287" s="6">
        <v>0</v>
      </c>
      <c r="S287" s="6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</row>
    <row r="288" spans="12:27">
      <c r="L288" s="1" t="s">
        <v>1914</v>
      </c>
      <c r="M288" s="1" t="s">
        <v>1812</v>
      </c>
      <c r="N288" s="1" t="s">
        <v>1787</v>
      </c>
      <c r="O288" s="1" t="str">
        <f t="shared" si="4"/>
        <v>Mortgage Takeover_LAP_Rent out</v>
      </c>
      <c r="P288" s="6">
        <v>0</v>
      </c>
      <c r="Q288" s="6">
        <v>0</v>
      </c>
      <c r="R288" s="6">
        <v>0</v>
      </c>
      <c r="S288" s="6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</row>
    <row r="289" spans="12:27" ht="25.5">
      <c r="L289" s="1" t="s">
        <v>1914</v>
      </c>
      <c r="M289" s="1" t="s">
        <v>1816</v>
      </c>
      <c r="N289" s="1" t="s">
        <v>1787</v>
      </c>
      <c r="O289" s="1" t="str">
        <f t="shared" si="4"/>
        <v>Mortgage Takeover_LAPGPLIns_Rent out</v>
      </c>
      <c r="P289" s="6">
        <v>0</v>
      </c>
      <c r="Q289" s="6">
        <v>0</v>
      </c>
      <c r="R289" s="6">
        <v>0</v>
      </c>
      <c r="S289" s="6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</row>
    <row r="290" spans="12:27">
      <c r="L290" s="1" t="s">
        <v>1914</v>
      </c>
      <c r="M290" s="1" t="s">
        <v>1821</v>
      </c>
      <c r="N290" s="1" t="s">
        <v>1787</v>
      </c>
      <c r="O290" s="1" t="str">
        <f t="shared" si="4"/>
        <v>Mortgage Takeover_LAPGPL_Rent out</v>
      </c>
      <c r="P290" s="6">
        <v>0</v>
      </c>
      <c r="Q290" s="6">
        <v>0</v>
      </c>
      <c r="R290" s="6">
        <v>0</v>
      </c>
      <c r="S290" s="6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</row>
    <row r="291" spans="12:27">
      <c r="L291" s="1" t="s">
        <v>1914</v>
      </c>
      <c r="M291" s="1" t="s">
        <v>1824</v>
      </c>
      <c r="N291" s="1" t="s">
        <v>1787</v>
      </c>
      <c r="O291" s="1" t="str">
        <f t="shared" si="4"/>
        <v>Mortgage Takeover_LAPIns_Rent out</v>
      </c>
      <c r="P291" s="6">
        <v>0</v>
      </c>
      <c r="Q291" s="6">
        <v>0</v>
      </c>
      <c r="R291" s="6">
        <v>0</v>
      </c>
      <c r="S291" s="6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</row>
    <row r="292" spans="12:27" ht="25.5">
      <c r="L292" s="1" t="s">
        <v>1914</v>
      </c>
      <c r="M292" s="1" t="s">
        <v>1812</v>
      </c>
      <c r="N292" s="1" t="s">
        <v>1799</v>
      </c>
      <c r="O292" s="1" t="str">
        <f t="shared" si="4"/>
        <v>Mortgage Takeover_LAP_Vacant / Investment</v>
      </c>
      <c r="P292" s="6">
        <v>0</v>
      </c>
      <c r="Q292" s="6">
        <v>0</v>
      </c>
      <c r="R292" s="6">
        <v>0</v>
      </c>
      <c r="S292" s="6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</row>
    <row r="293" spans="12:27" ht="25.5">
      <c r="L293" s="1" t="s">
        <v>1914</v>
      </c>
      <c r="M293" s="1" t="s">
        <v>1816</v>
      </c>
      <c r="N293" s="1" t="s">
        <v>1799</v>
      </c>
      <c r="O293" s="1" t="str">
        <f t="shared" si="4"/>
        <v>Mortgage Takeover_LAPGPLIns_Vacant / Investment</v>
      </c>
      <c r="P293" s="6">
        <v>0</v>
      </c>
      <c r="Q293" s="6">
        <v>0</v>
      </c>
      <c r="R293" s="6">
        <v>0</v>
      </c>
      <c r="S293" s="6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</row>
    <row r="294" spans="12:27" ht="25.5">
      <c r="L294" s="1" t="s">
        <v>1914</v>
      </c>
      <c r="M294" s="1" t="s">
        <v>1821</v>
      </c>
      <c r="N294" s="1" t="s">
        <v>1799</v>
      </c>
      <c r="O294" s="1" t="str">
        <f t="shared" si="4"/>
        <v>Mortgage Takeover_LAPGPL_Vacant / Investment</v>
      </c>
      <c r="P294" s="6">
        <v>0</v>
      </c>
      <c r="Q294" s="6">
        <v>0</v>
      </c>
      <c r="R294" s="6">
        <v>0</v>
      </c>
      <c r="S294" s="6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</row>
    <row r="295" spans="12:27" ht="25.5">
      <c r="L295" s="1" t="s">
        <v>1914</v>
      </c>
      <c r="M295" s="1" t="s">
        <v>1824</v>
      </c>
      <c r="N295" s="1" t="s">
        <v>1799</v>
      </c>
      <c r="O295" s="1" t="str">
        <f t="shared" si="4"/>
        <v>Mortgage Takeover_LAPIns_Vacant / Investment</v>
      </c>
      <c r="P295" s="6">
        <v>0</v>
      </c>
      <c r="Q295" s="6">
        <v>0</v>
      </c>
      <c r="R295" s="6">
        <v>0</v>
      </c>
      <c r="S295" s="6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</row>
    <row r="296" spans="12:27" ht="25.5">
      <c r="L296" s="1" t="s">
        <v>1914</v>
      </c>
      <c r="M296" s="1" t="s">
        <v>1852</v>
      </c>
      <c r="N296" s="1" t="s">
        <v>1774</v>
      </c>
      <c r="O296" s="1" t="str">
        <f t="shared" si="4"/>
        <v>Mortgage Takeover_Indl_Self-occupation</v>
      </c>
      <c r="P296" s="6">
        <v>0</v>
      </c>
      <c r="Q296" s="6">
        <v>0</v>
      </c>
      <c r="R296" s="6">
        <v>0</v>
      </c>
      <c r="S296" s="6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</row>
    <row r="297" spans="12:27" ht="25.5">
      <c r="L297" s="1" t="s">
        <v>1914</v>
      </c>
      <c r="M297" s="1" t="s">
        <v>1856</v>
      </c>
      <c r="N297" s="1" t="s">
        <v>1774</v>
      </c>
      <c r="O297" s="1" t="str">
        <f t="shared" si="4"/>
        <v>Mortgage Takeover_IndlGPLIns_Self-occupation</v>
      </c>
      <c r="P297" s="6">
        <v>0</v>
      </c>
      <c r="Q297" s="6">
        <v>0</v>
      </c>
      <c r="R297" s="6">
        <v>0</v>
      </c>
      <c r="S297" s="6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</row>
    <row r="298" spans="12:27" ht="25.5">
      <c r="L298" s="1" t="s">
        <v>1914</v>
      </c>
      <c r="M298" s="1" t="s">
        <v>1860</v>
      </c>
      <c r="N298" s="1" t="s">
        <v>1774</v>
      </c>
      <c r="O298" s="1" t="str">
        <f t="shared" si="4"/>
        <v>Mortgage Takeover_IndlGPL_Self-occupation</v>
      </c>
      <c r="P298" s="6">
        <v>0</v>
      </c>
      <c r="Q298" s="6">
        <v>0</v>
      </c>
      <c r="R298" s="6">
        <v>0</v>
      </c>
      <c r="S298" s="6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</row>
    <row r="299" spans="12:27" ht="25.5">
      <c r="L299" s="1" t="s">
        <v>1914</v>
      </c>
      <c r="M299" s="1" t="s">
        <v>1864</v>
      </c>
      <c r="N299" s="1" t="s">
        <v>1774</v>
      </c>
      <c r="O299" s="1" t="str">
        <f t="shared" si="4"/>
        <v>Mortgage Takeover_IndlIns_Self-occupation</v>
      </c>
      <c r="P299" s="6">
        <v>0</v>
      </c>
      <c r="Q299" s="6">
        <v>0</v>
      </c>
      <c r="R299" s="6">
        <v>0</v>
      </c>
      <c r="S299" s="6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</row>
    <row r="300" spans="12:27">
      <c r="L300" s="1" t="s">
        <v>1914</v>
      </c>
      <c r="M300" s="1" t="s">
        <v>1852</v>
      </c>
      <c r="N300" s="1" t="s">
        <v>1787</v>
      </c>
      <c r="O300" s="1" t="str">
        <f t="shared" si="4"/>
        <v>Mortgage Takeover_Indl_Rent out</v>
      </c>
      <c r="P300" s="6">
        <v>0</v>
      </c>
      <c r="Q300" s="6">
        <v>0</v>
      </c>
      <c r="R300" s="6">
        <v>0</v>
      </c>
      <c r="S300" s="6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</row>
    <row r="301" spans="12:27" ht="25.5">
      <c r="L301" s="1" t="s">
        <v>1914</v>
      </c>
      <c r="M301" s="1" t="s">
        <v>1856</v>
      </c>
      <c r="N301" s="1" t="s">
        <v>1787</v>
      </c>
      <c r="O301" s="1" t="str">
        <f t="shared" si="4"/>
        <v>Mortgage Takeover_IndlGPLIns_Rent out</v>
      </c>
      <c r="P301" s="6">
        <v>0</v>
      </c>
      <c r="Q301" s="6">
        <v>0</v>
      </c>
      <c r="R301" s="6">
        <v>0</v>
      </c>
      <c r="S301" s="6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</row>
    <row r="302" spans="12:27">
      <c r="L302" s="1" t="s">
        <v>1914</v>
      </c>
      <c r="M302" s="1" t="s">
        <v>1860</v>
      </c>
      <c r="N302" s="1" t="s">
        <v>1787</v>
      </c>
      <c r="O302" s="1" t="str">
        <f t="shared" si="4"/>
        <v>Mortgage Takeover_IndlGPL_Rent out</v>
      </c>
      <c r="P302" s="6">
        <v>0</v>
      </c>
      <c r="Q302" s="6">
        <v>0</v>
      </c>
      <c r="R302" s="6">
        <v>0</v>
      </c>
      <c r="S302" s="6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</row>
    <row r="303" spans="12:27">
      <c r="L303" s="1" t="s">
        <v>1914</v>
      </c>
      <c r="M303" s="1" t="s">
        <v>1864</v>
      </c>
      <c r="N303" s="1" t="s">
        <v>1787</v>
      </c>
      <c r="O303" s="1" t="str">
        <f t="shared" si="4"/>
        <v>Mortgage Takeover_IndlIns_Rent out</v>
      </c>
      <c r="P303" s="6">
        <v>0</v>
      </c>
      <c r="Q303" s="6">
        <v>0</v>
      </c>
      <c r="R303" s="6">
        <v>0</v>
      </c>
      <c r="S303" s="6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</row>
    <row r="304" spans="12:27" ht="25.5">
      <c r="L304" s="1" t="s">
        <v>1914</v>
      </c>
      <c r="M304" s="1" t="s">
        <v>1852</v>
      </c>
      <c r="N304" s="1" t="s">
        <v>1799</v>
      </c>
      <c r="O304" s="1" t="str">
        <f t="shared" si="4"/>
        <v>Mortgage Takeover_Indl_Vacant / Investment</v>
      </c>
      <c r="P304" s="6">
        <v>0</v>
      </c>
      <c r="Q304" s="6">
        <v>0</v>
      </c>
      <c r="R304" s="6">
        <v>0</v>
      </c>
      <c r="S304" s="6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</row>
    <row r="305" spans="12:27" ht="25.5">
      <c r="L305" s="1" t="s">
        <v>1914</v>
      </c>
      <c r="M305" s="1" t="s">
        <v>1856</v>
      </c>
      <c r="N305" s="1" t="s">
        <v>1799</v>
      </c>
      <c r="O305" s="1" t="str">
        <f t="shared" si="4"/>
        <v>Mortgage Takeover_IndlGPLIns_Vacant / Investment</v>
      </c>
      <c r="P305" s="6">
        <v>0</v>
      </c>
      <c r="Q305" s="6">
        <v>0</v>
      </c>
      <c r="R305" s="6">
        <v>0</v>
      </c>
      <c r="S305" s="6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</row>
    <row r="306" spans="12:27" ht="25.5">
      <c r="L306" s="1" t="s">
        <v>1914</v>
      </c>
      <c r="M306" s="1" t="s">
        <v>1860</v>
      </c>
      <c r="N306" s="1" t="s">
        <v>1799</v>
      </c>
      <c r="O306" s="1" t="str">
        <f t="shared" si="4"/>
        <v>Mortgage Takeover_IndlGPL_Vacant / Investment</v>
      </c>
      <c r="P306" s="6">
        <v>0</v>
      </c>
      <c r="Q306" s="6">
        <v>0</v>
      </c>
      <c r="R306" s="6">
        <v>0</v>
      </c>
      <c r="S306" s="6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</row>
    <row r="307" spans="12:27" ht="25.5">
      <c r="L307" s="1" t="s">
        <v>1914</v>
      </c>
      <c r="M307" s="1" t="s">
        <v>1864</v>
      </c>
      <c r="N307" s="1" t="s">
        <v>1799</v>
      </c>
      <c r="O307" s="1" t="str">
        <f t="shared" si="4"/>
        <v>Mortgage Takeover_IndlIns_Vacant / Investment</v>
      </c>
      <c r="P307" s="6">
        <v>0</v>
      </c>
      <c r="Q307" s="6">
        <v>0</v>
      </c>
      <c r="R307" s="6">
        <v>0</v>
      </c>
      <c r="S307" s="6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</row>
    <row r="308" spans="12:27" ht="25.5">
      <c r="L308" s="1" t="s">
        <v>1914</v>
      </c>
      <c r="M308" s="1" t="s">
        <v>1890</v>
      </c>
      <c r="N308" s="1" t="s">
        <v>1774</v>
      </c>
      <c r="O308" s="1" t="str">
        <f t="shared" si="4"/>
        <v>Mortgage Takeover_GPL_Self-occupation</v>
      </c>
      <c r="P308" s="6">
        <v>0</v>
      </c>
      <c r="Q308" s="6">
        <v>0</v>
      </c>
      <c r="R308" s="6">
        <v>0</v>
      </c>
      <c r="S308" s="6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</row>
    <row r="309" spans="12:27" ht="25.5">
      <c r="L309" s="1" t="s">
        <v>1914</v>
      </c>
      <c r="M309" s="1" t="s">
        <v>1893</v>
      </c>
      <c r="N309" s="1" t="s">
        <v>1774</v>
      </c>
      <c r="O309" s="1" t="str">
        <f t="shared" si="4"/>
        <v>Mortgage Takeover_GPLIns_Self-occupation</v>
      </c>
      <c r="P309" s="6">
        <v>0</v>
      </c>
      <c r="Q309" s="6">
        <v>0</v>
      </c>
      <c r="R309" s="6">
        <v>0</v>
      </c>
      <c r="S309" s="6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</row>
    <row r="310" spans="12:27" ht="25.5">
      <c r="L310" s="1" t="s">
        <v>1914</v>
      </c>
      <c r="M310" s="1" t="s">
        <v>1897</v>
      </c>
      <c r="N310" s="1" t="s">
        <v>1774</v>
      </c>
      <c r="O310" s="1" t="str">
        <f t="shared" si="4"/>
        <v>Mortgage Takeover_Ins_Self-occupation</v>
      </c>
      <c r="P310" s="6">
        <v>0</v>
      </c>
      <c r="Q310" s="6">
        <v>0</v>
      </c>
      <c r="R310" s="6">
        <v>0</v>
      </c>
      <c r="S310" s="6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</row>
    <row r="311" spans="12:27">
      <c r="L311" s="1" t="s">
        <v>1914</v>
      </c>
      <c r="M311" s="1" t="s">
        <v>1890</v>
      </c>
      <c r="N311" s="1" t="s">
        <v>1787</v>
      </c>
      <c r="O311" s="1" t="str">
        <f t="shared" si="4"/>
        <v>Mortgage Takeover_GPL_Rent out</v>
      </c>
      <c r="P311" s="6">
        <v>0</v>
      </c>
      <c r="Q311" s="6">
        <v>0</v>
      </c>
      <c r="R311" s="6">
        <v>0</v>
      </c>
      <c r="S311" s="6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</row>
    <row r="312" spans="12:27">
      <c r="L312" s="1" t="s">
        <v>1914</v>
      </c>
      <c r="M312" s="1" t="s">
        <v>1893</v>
      </c>
      <c r="N312" s="1" t="s">
        <v>1787</v>
      </c>
      <c r="O312" s="1" t="str">
        <f t="shared" si="4"/>
        <v>Mortgage Takeover_GPLIns_Rent out</v>
      </c>
      <c r="P312" s="6">
        <v>0</v>
      </c>
      <c r="Q312" s="6">
        <v>0</v>
      </c>
      <c r="R312" s="6">
        <v>0</v>
      </c>
      <c r="S312" s="6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</row>
    <row r="313" spans="12:27">
      <c r="L313" s="1" t="s">
        <v>1914</v>
      </c>
      <c r="M313" s="1" t="s">
        <v>1897</v>
      </c>
      <c r="N313" s="1" t="s">
        <v>1787</v>
      </c>
      <c r="O313" s="1" t="str">
        <f t="shared" si="4"/>
        <v>Mortgage Takeover_Ins_Rent out</v>
      </c>
      <c r="P313" s="6">
        <v>0</v>
      </c>
      <c r="Q313" s="6">
        <v>0</v>
      </c>
      <c r="R313" s="6">
        <v>0</v>
      </c>
      <c r="S313" s="6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</row>
    <row r="314" spans="12:27" ht="25.5">
      <c r="L314" s="1" t="s">
        <v>1914</v>
      </c>
      <c r="M314" s="1" t="s">
        <v>1890</v>
      </c>
      <c r="N314" s="1" t="s">
        <v>1799</v>
      </c>
      <c r="O314" s="1" t="str">
        <f t="shared" si="4"/>
        <v>Mortgage Takeover_GPL_Vacant / Investment</v>
      </c>
      <c r="P314" s="6">
        <v>0</v>
      </c>
      <c r="Q314" s="6">
        <v>0</v>
      </c>
      <c r="R314" s="6">
        <v>0</v>
      </c>
      <c r="S314" s="6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</row>
    <row r="315" spans="12:27" ht="25.5">
      <c r="L315" s="1" t="s">
        <v>1914</v>
      </c>
      <c r="M315" s="1" t="s">
        <v>1893</v>
      </c>
      <c r="N315" s="1" t="s">
        <v>1799</v>
      </c>
      <c r="O315" s="1" t="str">
        <f t="shared" si="4"/>
        <v>Mortgage Takeover_GPLIns_Vacant / Investment</v>
      </c>
      <c r="P315" s="6">
        <v>0</v>
      </c>
      <c r="Q315" s="6">
        <v>0</v>
      </c>
      <c r="R315" s="6">
        <v>0</v>
      </c>
      <c r="S315" s="6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</row>
    <row r="316" spans="12:27" ht="25.5">
      <c r="L316" s="1" t="s">
        <v>1914</v>
      </c>
      <c r="M316" s="1" t="s">
        <v>1897</v>
      </c>
      <c r="N316" s="1" t="s">
        <v>1799</v>
      </c>
      <c r="O316" s="1" t="str">
        <f t="shared" si="4"/>
        <v>Mortgage Takeover_Ins_Vacant / Investment</v>
      </c>
      <c r="P316" s="6">
        <v>0</v>
      </c>
      <c r="Q316" s="6">
        <v>0</v>
      </c>
      <c r="R316" s="6">
        <v>0</v>
      </c>
      <c r="S316" s="6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</row>
    <row r="317" spans="12:27">
      <c r="L317" s="1" t="s">
        <v>1917</v>
      </c>
      <c r="M317" s="1" t="s">
        <v>1773</v>
      </c>
      <c r="N317" s="1" t="s">
        <v>1774</v>
      </c>
      <c r="O317" s="1" t="str">
        <f t="shared" si="4"/>
        <v>Low LTV_HL_Self-occupation</v>
      </c>
      <c r="P317" s="6">
        <v>2500000</v>
      </c>
      <c r="Q317" s="6">
        <v>25000000</v>
      </c>
      <c r="R317" s="6">
        <v>240</v>
      </c>
      <c r="S317" s="6">
        <v>240</v>
      </c>
      <c r="T317" s="9">
        <v>1000</v>
      </c>
      <c r="U317" s="9">
        <v>1000</v>
      </c>
      <c r="V317" s="9">
        <v>1000</v>
      </c>
      <c r="W317" s="9">
        <v>1000</v>
      </c>
      <c r="X317" s="9">
        <v>0.9</v>
      </c>
      <c r="Y317" s="9">
        <v>0.9</v>
      </c>
      <c r="Z317" s="9">
        <v>0.9</v>
      </c>
      <c r="AA317" s="9">
        <v>0.9</v>
      </c>
    </row>
    <row r="318" spans="12:27">
      <c r="L318" s="1" t="s">
        <v>1917</v>
      </c>
      <c r="M318" s="1" t="s">
        <v>1777</v>
      </c>
      <c r="N318" s="1" t="s">
        <v>1774</v>
      </c>
      <c r="O318" s="1" t="str">
        <f t="shared" si="4"/>
        <v>Low LTV_HLGPLIns_Self-occupation</v>
      </c>
      <c r="P318" s="6">
        <v>2500000</v>
      </c>
      <c r="Q318" s="6">
        <v>25000000</v>
      </c>
      <c r="R318" s="6">
        <v>240</v>
      </c>
      <c r="S318" s="6">
        <v>240</v>
      </c>
      <c r="T318" s="9">
        <v>1000</v>
      </c>
      <c r="U318" s="9">
        <v>1000</v>
      </c>
      <c r="V318" s="9">
        <v>1000</v>
      </c>
      <c r="W318" s="9">
        <v>1000</v>
      </c>
      <c r="X318" s="9">
        <v>0.9</v>
      </c>
      <c r="Y318" s="9">
        <v>0.9</v>
      </c>
      <c r="Z318" s="9">
        <v>0.9</v>
      </c>
      <c r="AA318" s="9">
        <v>0.9</v>
      </c>
    </row>
    <row r="319" spans="12:27">
      <c r="L319" s="1" t="s">
        <v>1917</v>
      </c>
      <c r="M319" s="1" t="s">
        <v>1780</v>
      </c>
      <c r="N319" s="1" t="s">
        <v>1774</v>
      </c>
      <c r="O319" s="1" t="str">
        <f t="shared" si="4"/>
        <v>Low LTV_HLGPL_Self-occupation</v>
      </c>
      <c r="P319" s="6">
        <v>2500000</v>
      </c>
      <c r="Q319" s="6">
        <v>25000000</v>
      </c>
      <c r="R319" s="6">
        <v>240</v>
      </c>
      <c r="S319" s="6">
        <v>240</v>
      </c>
      <c r="T319" s="9">
        <v>1000</v>
      </c>
      <c r="U319" s="9">
        <v>1000</v>
      </c>
      <c r="V319" s="9">
        <v>1000</v>
      </c>
      <c r="W319" s="9">
        <v>1000</v>
      </c>
      <c r="X319" s="9">
        <v>0.9</v>
      </c>
      <c r="Y319" s="9">
        <v>0.9</v>
      </c>
      <c r="Z319" s="9">
        <v>0.9</v>
      </c>
      <c r="AA319" s="9">
        <v>0.9</v>
      </c>
    </row>
    <row r="320" spans="12:27">
      <c r="L320" s="1" t="s">
        <v>1917</v>
      </c>
      <c r="M320" s="1" t="s">
        <v>1783</v>
      </c>
      <c r="N320" s="1" t="s">
        <v>1774</v>
      </c>
      <c r="O320" s="1" t="str">
        <f t="shared" si="4"/>
        <v>Low LTV_HLIns_Self-occupation</v>
      </c>
      <c r="P320" s="6">
        <v>2500000</v>
      </c>
      <c r="Q320" s="6">
        <v>25000000</v>
      </c>
      <c r="R320" s="6">
        <v>240</v>
      </c>
      <c r="S320" s="6">
        <v>240</v>
      </c>
      <c r="T320" s="9">
        <v>1000</v>
      </c>
      <c r="U320" s="9">
        <v>1000</v>
      </c>
      <c r="V320" s="9">
        <v>1000</v>
      </c>
      <c r="W320" s="9">
        <v>1000</v>
      </c>
      <c r="X320" s="9">
        <v>0.9</v>
      </c>
      <c r="Y320" s="9">
        <v>0.9</v>
      </c>
      <c r="Z320" s="9">
        <v>0.9</v>
      </c>
      <c r="AA320" s="9">
        <v>0.9</v>
      </c>
    </row>
    <row r="321" spans="12:27">
      <c r="L321" s="1" t="s">
        <v>1917</v>
      </c>
      <c r="M321" s="1" t="s">
        <v>1773</v>
      </c>
      <c r="N321" s="1" t="s">
        <v>1787</v>
      </c>
      <c r="O321" s="1" t="str">
        <f t="shared" si="4"/>
        <v>Low LTV_HL_Rent out</v>
      </c>
      <c r="P321" s="6">
        <v>0</v>
      </c>
      <c r="Q321" s="6">
        <v>0</v>
      </c>
      <c r="R321" s="6">
        <v>0</v>
      </c>
      <c r="S321" s="6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</row>
    <row r="322" spans="12:27">
      <c r="L322" s="1" t="s">
        <v>1917</v>
      </c>
      <c r="M322" s="1" t="s">
        <v>1777</v>
      </c>
      <c r="N322" s="1" t="s">
        <v>1787</v>
      </c>
      <c r="O322" s="1" t="str">
        <f t="shared" si="4"/>
        <v>Low LTV_HLGPLIns_Rent out</v>
      </c>
      <c r="P322" s="6">
        <v>0</v>
      </c>
      <c r="Q322" s="6">
        <v>0</v>
      </c>
      <c r="R322" s="6">
        <v>0</v>
      </c>
      <c r="S322" s="6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</row>
    <row r="323" spans="12:27">
      <c r="L323" s="1" t="s">
        <v>1917</v>
      </c>
      <c r="M323" s="1" t="s">
        <v>1780</v>
      </c>
      <c r="N323" s="1" t="s">
        <v>1787</v>
      </c>
      <c r="O323" s="1" t="str">
        <f t="shared" ref="O323:O386" si="5">CONCATENATE(L323,"_",M323,"_",N323)</f>
        <v>Low LTV_HLGPL_Rent out</v>
      </c>
      <c r="P323" s="6">
        <v>0</v>
      </c>
      <c r="Q323" s="6">
        <v>0</v>
      </c>
      <c r="R323" s="6">
        <v>0</v>
      </c>
      <c r="S323" s="6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</row>
    <row r="324" spans="12:27">
      <c r="L324" s="1" t="s">
        <v>1917</v>
      </c>
      <c r="M324" s="1" t="s">
        <v>1783</v>
      </c>
      <c r="N324" s="1" t="s">
        <v>1787</v>
      </c>
      <c r="O324" s="1" t="str">
        <f t="shared" si="5"/>
        <v>Low LTV_HLIns_Rent out</v>
      </c>
      <c r="P324" s="6">
        <v>0</v>
      </c>
      <c r="Q324" s="6">
        <v>0</v>
      </c>
      <c r="R324" s="6">
        <v>0</v>
      </c>
      <c r="S324" s="6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</row>
    <row r="325" spans="12:27">
      <c r="L325" s="1" t="s">
        <v>1917</v>
      </c>
      <c r="M325" s="1" t="s">
        <v>1773</v>
      </c>
      <c r="N325" s="1" t="s">
        <v>1799</v>
      </c>
      <c r="O325" s="1" t="str">
        <f t="shared" si="5"/>
        <v>Low LTV_HL_Vacant / Investment</v>
      </c>
      <c r="P325" s="6">
        <v>0</v>
      </c>
      <c r="Q325" s="6">
        <v>0</v>
      </c>
      <c r="R325" s="6">
        <v>0</v>
      </c>
      <c r="S325" s="6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</row>
    <row r="326" spans="12:27">
      <c r="L326" s="1" t="s">
        <v>1917</v>
      </c>
      <c r="M326" s="1" t="s">
        <v>1777</v>
      </c>
      <c r="N326" s="1" t="s">
        <v>1799</v>
      </c>
      <c r="O326" s="1" t="str">
        <f t="shared" si="5"/>
        <v>Low LTV_HLGPLIns_Vacant / Investment</v>
      </c>
      <c r="P326" s="6">
        <v>0</v>
      </c>
      <c r="Q326" s="6">
        <v>0</v>
      </c>
      <c r="R326" s="6">
        <v>0</v>
      </c>
      <c r="S326" s="6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</row>
    <row r="327" spans="12:27">
      <c r="L327" s="1" t="s">
        <v>1917</v>
      </c>
      <c r="M327" s="1" t="s">
        <v>1780</v>
      </c>
      <c r="N327" s="1" t="s">
        <v>1799</v>
      </c>
      <c r="O327" s="1" t="str">
        <f t="shared" si="5"/>
        <v>Low LTV_HLGPL_Vacant / Investment</v>
      </c>
      <c r="P327" s="6">
        <v>0</v>
      </c>
      <c r="Q327" s="6">
        <v>0</v>
      </c>
      <c r="R327" s="6">
        <v>0</v>
      </c>
      <c r="S327" s="6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</row>
    <row r="328" spans="12:27">
      <c r="L328" s="1" t="s">
        <v>1917</v>
      </c>
      <c r="M328" s="1" t="s">
        <v>1783</v>
      </c>
      <c r="N328" s="1" t="s">
        <v>1799</v>
      </c>
      <c r="O328" s="1" t="str">
        <f t="shared" si="5"/>
        <v>Low LTV_HLIns_Vacant / Investment</v>
      </c>
      <c r="P328" s="6">
        <v>0</v>
      </c>
      <c r="Q328" s="6">
        <v>0</v>
      </c>
      <c r="R328" s="6">
        <v>0</v>
      </c>
      <c r="S328" s="6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</row>
    <row r="329" spans="12:27">
      <c r="L329" s="1" t="s">
        <v>1917</v>
      </c>
      <c r="M329" s="1" t="s">
        <v>1812</v>
      </c>
      <c r="N329" s="1" t="s">
        <v>1774</v>
      </c>
      <c r="O329" s="1" t="str">
        <f t="shared" si="5"/>
        <v>Low LTV_LAP_Self-occupation</v>
      </c>
      <c r="P329" s="6">
        <v>2500000</v>
      </c>
      <c r="Q329" s="6">
        <v>15000000</v>
      </c>
      <c r="R329" s="6">
        <v>180</v>
      </c>
      <c r="S329" s="6">
        <v>180</v>
      </c>
      <c r="T329" s="9">
        <v>1000</v>
      </c>
      <c r="U329" s="9">
        <v>1000</v>
      </c>
      <c r="V329" s="9">
        <v>1000</v>
      </c>
      <c r="W329" s="9">
        <v>1000</v>
      </c>
      <c r="X329" s="9">
        <v>0.35</v>
      </c>
      <c r="Y329" s="9">
        <v>0.35</v>
      </c>
      <c r="Z329" s="9">
        <v>0.38</v>
      </c>
      <c r="AA329" s="9">
        <v>0.4</v>
      </c>
    </row>
    <row r="330" spans="12:27">
      <c r="L330" s="1" t="s">
        <v>1917</v>
      </c>
      <c r="M330" s="1" t="s">
        <v>1816</v>
      </c>
      <c r="N330" s="1" t="s">
        <v>1774</v>
      </c>
      <c r="O330" s="1" t="str">
        <f t="shared" si="5"/>
        <v>Low LTV_LAPGPLIns_Self-occupation</v>
      </c>
      <c r="P330" s="6">
        <v>2500000</v>
      </c>
      <c r="Q330" s="6">
        <v>15000000</v>
      </c>
      <c r="R330" s="6">
        <v>180</v>
      </c>
      <c r="S330" s="6">
        <v>180</v>
      </c>
      <c r="T330" s="9">
        <v>1000</v>
      </c>
      <c r="U330" s="9">
        <v>1000</v>
      </c>
      <c r="V330" s="9">
        <v>1000</v>
      </c>
      <c r="W330" s="9">
        <v>1000</v>
      </c>
      <c r="X330" s="9">
        <v>0.35</v>
      </c>
      <c r="Y330" s="9">
        <v>0.35</v>
      </c>
      <c r="Z330" s="9">
        <v>0.38</v>
      </c>
      <c r="AA330" s="9">
        <v>0.4</v>
      </c>
    </row>
    <row r="331" spans="12:27">
      <c r="L331" s="1" t="s">
        <v>1917</v>
      </c>
      <c r="M331" s="1" t="s">
        <v>1821</v>
      </c>
      <c r="N331" s="1" t="s">
        <v>1774</v>
      </c>
      <c r="O331" s="1" t="str">
        <f t="shared" si="5"/>
        <v>Low LTV_LAPGPL_Self-occupation</v>
      </c>
      <c r="P331" s="6">
        <v>2500000</v>
      </c>
      <c r="Q331" s="6">
        <v>15000000</v>
      </c>
      <c r="R331" s="6">
        <v>180</v>
      </c>
      <c r="S331" s="6">
        <v>180</v>
      </c>
      <c r="T331" s="9">
        <v>1000</v>
      </c>
      <c r="U331" s="9">
        <v>1000</v>
      </c>
      <c r="V331" s="9">
        <v>1000</v>
      </c>
      <c r="W331" s="9">
        <v>1000</v>
      </c>
      <c r="X331" s="9">
        <v>0.35</v>
      </c>
      <c r="Y331" s="9">
        <v>0.35</v>
      </c>
      <c r="Z331" s="9">
        <v>0.38</v>
      </c>
      <c r="AA331" s="9">
        <v>0.4</v>
      </c>
    </row>
    <row r="332" spans="12:27">
      <c r="L332" s="1" t="s">
        <v>1917</v>
      </c>
      <c r="M332" s="1" t="s">
        <v>1824</v>
      </c>
      <c r="N332" s="1" t="s">
        <v>1774</v>
      </c>
      <c r="O332" s="1" t="str">
        <f t="shared" si="5"/>
        <v>Low LTV_LAPIns_Self-occupation</v>
      </c>
      <c r="P332" s="6">
        <v>2500000</v>
      </c>
      <c r="Q332" s="6">
        <v>15000000</v>
      </c>
      <c r="R332" s="6">
        <v>180</v>
      </c>
      <c r="S332" s="6">
        <v>180</v>
      </c>
      <c r="T332" s="9">
        <v>1000</v>
      </c>
      <c r="U332" s="9">
        <v>1000</v>
      </c>
      <c r="V332" s="9">
        <v>1000</v>
      </c>
      <c r="W332" s="9">
        <v>1000</v>
      </c>
      <c r="X332" s="9">
        <v>0.35</v>
      </c>
      <c r="Y332" s="9">
        <v>0.35</v>
      </c>
      <c r="Z332" s="9">
        <v>0.38</v>
      </c>
      <c r="AA332" s="9">
        <v>0.4</v>
      </c>
    </row>
    <row r="333" spans="12:27">
      <c r="L333" s="1" t="s">
        <v>1917</v>
      </c>
      <c r="M333" s="1" t="s">
        <v>1812</v>
      </c>
      <c r="N333" s="1" t="s">
        <v>1787</v>
      </c>
      <c r="O333" s="1" t="str">
        <f t="shared" si="5"/>
        <v>Low LTV_LAP_Rent out</v>
      </c>
      <c r="P333" s="6">
        <v>0</v>
      </c>
      <c r="Q333" s="6">
        <v>0</v>
      </c>
      <c r="R333" s="6">
        <v>0</v>
      </c>
      <c r="S333" s="6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</row>
    <row r="334" spans="12:27">
      <c r="L334" s="1" t="s">
        <v>1917</v>
      </c>
      <c r="M334" s="1" t="s">
        <v>1816</v>
      </c>
      <c r="N334" s="1" t="s">
        <v>1787</v>
      </c>
      <c r="O334" s="1" t="str">
        <f t="shared" si="5"/>
        <v>Low LTV_LAPGPLIns_Rent out</v>
      </c>
      <c r="P334" s="6">
        <v>0</v>
      </c>
      <c r="Q334" s="6">
        <v>0</v>
      </c>
      <c r="R334" s="6">
        <v>0</v>
      </c>
      <c r="S334" s="6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</row>
    <row r="335" spans="12:27">
      <c r="L335" s="1" t="s">
        <v>1917</v>
      </c>
      <c r="M335" s="1" t="s">
        <v>1821</v>
      </c>
      <c r="N335" s="1" t="s">
        <v>1787</v>
      </c>
      <c r="O335" s="1" t="str">
        <f t="shared" si="5"/>
        <v>Low LTV_LAPGPL_Rent out</v>
      </c>
      <c r="P335" s="6">
        <v>0</v>
      </c>
      <c r="Q335" s="6">
        <v>0</v>
      </c>
      <c r="R335" s="6">
        <v>0</v>
      </c>
      <c r="S335" s="6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</row>
    <row r="336" spans="12:27">
      <c r="L336" s="1" t="s">
        <v>1917</v>
      </c>
      <c r="M336" s="1" t="s">
        <v>1824</v>
      </c>
      <c r="N336" s="1" t="s">
        <v>1787</v>
      </c>
      <c r="O336" s="1" t="str">
        <f t="shared" si="5"/>
        <v>Low LTV_LAPIns_Rent out</v>
      </c>
      <c r="P336" s="6">
        <v>0</v>
      </c>
      <c r="Q336" s="6">
        <v>0</v>
      </c>
      <c r="R336" s="6">
        <v>0</v>
      </c>
      <c r="S336" s="6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</row>
    <row r="337" spans="12:27">
      <c r="L337" s="1" t="s">
        <v>1917</v>
      </c>
      <c r="M337" s="1" t="s">
        <v>1812</v>
      </c>
      <c r="N337" s="1" t="s">
        <v>1799</v>
      </c>
      <c r="O337" s="1" t="str">
        <f t="shared" si="5"/>
        <v>Low LTV_LAP_Vacant / Investment</v>
      </c>
      <c r="P337" s="6">
        <v>0</v>
      </c>
      <c r="Q337" s="6">
        <v>0</v>
      </c>
      <c r="R337" s="6">
        <v>0</v>
      </c>
      <c r="S337" s="6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</row>
    <row r="338" spans="12:27" ht="25.5">
      <c r="L338" s="1" t="s">
        <v>1917</v>
      </c>
      <c r="M338" s="1" t="s">
        <v>1816</v>
      </c>
      <c r="N338" s="1" t="s">
        <v>1799</v>
      </c>
      <c r="O338" s="1" t="str">
        <f t="shared" si="5"/>
        <v>Low LTV_LAPGPLIns_Vacant / Investment</v>
      </c>
      <c r="P338" s="6">
        <v>0</v>
      </c>
      <c r="Q338" s="6">
        <v>0</v>
      </c>
      <c r="R338" s="6">
        <v>0</v>
      </c>
      <c r="S338" s="6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</row>
    <row r="339" spans="12:27">
      <c r="L339" s="1" t="s">
        <v>1917</v>
      </c>
      <c r="M339" s="1" t="s">
        <v>1821</v>
      </c>
      <c r="N339" s="1" t="s">
        <v>1799</v>
      </c>
      <c r="O339" s="1" t="str">
        <f t="shared" si="5"/>
        <v>Low LTV_LAPGPL_Vacant / Investment</v>
      </c>
      <c r="P339" s="6">
        <v>0</v>
      </c>
      <c r="Q339" s="6">
        <v>0</v>
      </c>
      <c r="R339" s="6">
        <v>0</v>
      </c>
      <c r="S339" s="6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</row>
    <row r="340" spans="12:27">
      <c r="L340" s="1" t="s">
        <v>1917</v>
      </c>
      <c r="M340" s="1" t="s">
        <v>1824</v>
      </c>
      <c r="N340" s="1" t="s">
        <v>1799</v>
      </c>
      <c r="O340" s="1" t="str">
        <f t="shared" si="5"/>
        <v>Low LTV_LAPIns_Vacant / Investment</v>
      </c>
      <c r="P340" s="6">
        <v>0</v>
      </c>
      <c r="Q340" s="6">
        <v>0</v>
      </c>
      <c r="R340" s="6">
        <v>0</v>
      </c>
      <c r="S340" s="6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</row>
    <row r="341" spans="12:27">
      <c r="L341" s="1" t="s">
        <v>1917</v>
      </c>
      <c r="M341" s="1" t="s">
        <v>1852</v>
      </c>
      <c r="N341" s="1" t="s">
        <v>1774</v>
      </c>
      <c r="O341" s="1" t="str">
        <f t="shared" si="5"/>
        <v>Low LTV_Indl_Self-occupation</v>
      </c>
      <c r="P341" s="6">
        <v>0</v>
      </c>
      <c r="Q341" s="6">
        <v>0</v>
      </c>
      <c r="R341" s="6">
        <v>0</v>
      </c>
      <c r="S341" s="6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</row>
    <row r="342" spans="12:27">
      <c r="L342" s="1" t="s">
        <v>1917</v>
      </c>
      <c r="M342" s="1" t="s">
        <v>1856</v>
      </c>
      <c r="N342" s="1" t="s">
        <v>1774</v>
      </c>
      <c r="O342" s="1" t="str">
        <f t="shared" si="5"/>
        <v>Low LTV_IndlGPLIns_Self-occupation</v>
      </c>
      <c r="P342" s="6">
        <v>0</v>
      </c>
      <c r="Q342" s="6">
        <v>0</v>
      </c>
      <c r="R342" s="6">
        <v>0</v>
      </c>
      <c r="S342" s="6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</row>
    <row r="343" spans="12:27">
      <c r="L343" s="1" t="s">
        <v>1917</v>
      </c>
      <c r="M343" s="1" t="s">
        <v>1860</v>
      </c>
      <c r="N343" s="1" t="s">
        <v>1774</v>
      </c>
      <c r="O343" s="1" t="str">
        <f t="shared" si="5"/>
        <v>Low LTV_IndlGPL_Self-occupation</v>
      </c>
      <c r="P343" s="6">
        <v>0</v>
      </c>
      <c r="Q343" s="6">
        <v>0</v>
      </c>
      <c r="R343" s="6">
        <v>0</v>
      </c>
      <c r="S343" s="6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</row>
    <row r="344" spans="12:27">
      <c r="L344" s="1" t="s">
        <v>1917</v>
      </c>
      <c r="M344" s="1" t="s">
        <v>1864</v>
      </c>
      <c r="N344" s="1" t="s">
        <v>1774</v>
      </c>
      <c r="O344" s="1" t="str">
        <f t="shared" si="5"/>
        <v>Low LTV_IndlIns_Self-occupation</v>
      </c>
      <c r="P344" s="6">
        <v>0</v>
      </c>
      <c r="Q344" s="6">
        <v>0</v>
      </c>
      <c r="R344" s="6">
        <v>0</v>
      </c>
      <c r="S344" s="6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</row>
    <row r="345" spans="12:27">
      <c r="L345" s="1" t="s">
        <v>1917</v>
      </c>
      <c r="M345" s="1" t="s">
        <v>1852</v>
      </c>
      <c r="N345" s="1" t="s">
        <v>1787</v>
      </c>
      <c r="O345" s="1" t="str">
        <f t="shared" si="5"/>
        <v>Low LTV_Indl_Rent out</v>
      </c>
      <c r="P345" s="6">
        <v>0</v>
      </c>
      <c r="Q345" s="6">
        <v>0</v>
      </c>
      <c r="R345" s="6">
        <v>0</v>
      </c>
      <c r="S345" s="6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</row>
    <row r="346" spans="12:27">
      <c r="L346" s="1" t="s">
        <v>1917</v>
      </c>
      <c r="M346" s="1" t="s">
        <v>1856</v>
      </c>
      <c r="N346" s="1" t="s">
        <v>1787</v>
      </c>
      <c r="O346" s="1" t="str">
        <f t="shared" si="5"/>
        <v>Low LTV_IndlGPLIns_Rent out</v>
      </c>
      <c r="P346" s="6">
        <v>0</v>
      </c>
      <c r="Q346" s="6">
        <v>0</v>
      </c>
      <c r="R346" s="6">
        <v>0</v>
      </c>
      <c r="S346" s="6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</row>
    <row r="347" spans="12:27">
      <c r="L347" s="1" t="s">
        <v>1917</v>
      </c>
      <c r="M347" s="1" t="s">
        <v>1860</v>
      </c>
      <c r="N347" s="1" t="s">
        <v>1787</v>
      </c>
      <c r="O347" s="1" t="str">
        <f t="shared" si="5"/>
        <v>Low LTV_IndlGPL_Rent out</v>
      </c>
      <c r="P347" s="6">
        <v>0</v>
      </c>
      <c r="Q347" s="6">
        <v>0</v>
      </c>
      <c r="R347" s="6">
        <v>0</v>
      </c>
      <c r="S347" s="6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</row>
    <row r="348" spans="12:27">
      <c r="L348" s="1" t="s">
        <v>1917</v>
      </c>
      <c r="M348" s="1" t="s">
        <v>1864</v>
      </c>
      <c r="N348" s="1" t="s">
        <v>1787</v>
      </c>
      <c r="O348" s="1" t="str">
        <f t="shared" si="5"/>
        <v>Low LTV_IndlIns_Rent out</v>
      </c>
      <c r="P348" s="6">
        <v>0</v>
      </c>
      <c r="Q348" s="6">
        <v>0</v>
      </c>
      <c r="R348" s="6">
        <v>0</v>
      </c>
      <c r="S348" s="6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</row>
    <row r="349" spans="12:27">
      <c r="L349" s="1" t="s">
        <v>1917</v>
      </c>
      <c r="M349" s="1" t="s">
        <v>1852</v>
      </c>
      <c r="N349" s="1" t="s">
        <v>1799</v>
      </c>
      <c r="O349" s="1" t="str">
        <f t="shared" si="5"/>
        <v>Low LTV_Indl_Vacant / Investment</v>
      </c>
      <c r="P349" s="6">
        <v>0</v>
      </c>
      <c r="Q349" s="6">
        <v>0</v>
      </c>
      <c r="R349" s="6">
        <v>0</v>
      </c>
      <c r="S349" s="6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</row>
    <row r="350" spans="12:27" ht="25.5">
      <c r="L350" s="1" t="s">
        <v>1917</v>
      </c>
      <c r="M350" s="1" t="s">
        <v>1856</v>
      </c>
      <c r="N350" s="1" t="s">
        <v>1799</v>
      </c>
      <c r="O350" s="1" t="str">
        <f t="shared" si="5"/>
        <v>Low LTV_IndlGPLIns_Vacant / Investment</v>
      </c>
      <c r="P350" s="6">
        <v>0</v>
      </c>
      <c r="Q350" s="6">
        <v>0</v>
      </c>
      <c r="R350" s="6">
        <v>0</v>
      </c>
      <c r="S350" s="6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</row>
    <row r="351" spans="12:27">
      <c r="L351" s="1" t="s">
        <v>1917</v>
      </c>
      <c r="M351" s="1" t="s">
        <v>1860</v>
      </c>
      <c r="N351" s="1" t="s">
        <v>1799</v>
      </c>
      <c r="O351" s="1" t="str">
        <f t="shared" si="5"/>
        <v>Low LTV_IndlGPL_Vacant / Investment</v>
      </c>
      <c r="P351" s="6">
        <v>0</v>
      </c>
      <c r="Q351" s="6">
        <v>0</v>
      </c>
      <c r="R351" s="6">
        <v>0</v>
      </c>
      <c r="S351" s="6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</row>
    <row r="352" spans="12:27">
      <c r="L352" s="1" t="s">
        <v>1917</v>
      </c>
      <c r="M352" s="1" t="s">
        <v>1864</v>
      </c>
      <c r="N352" s="1" t="s">
        <v>1799</v>
      </c>
      <c r="O352" s="1" t="str">
        <f t="shared" si="5"/>
        <v>Low LTV_IndlIns_Vacant / Investment</v>
      </c>
      <c r="P352" s="6">
        <v>0</v>
      </c>
      <c r="Q352" s="6">
        <v>0</v>
      </c>
      <c r="R352" s="6">
        <v>0</v>
      </c>
      <c r="S352" s="6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</row>
    <row r="353" spans="12:27">
      <c r="L353" s="1" t="s">
        <v>1917</v>
      </c>
      <c r="M353" s="1" t="s">
        <v>1890</v>
      </c>
      <c r="N353" s="1" t="s">
        <v>1774</v>
      </c>
      <c r="O353" s="1" t="str">
        <f t="shared" si="5"/>
        <v>Low LTV_GPL_Self-occupation</v>
      </c>
      <c r="P353" s="6">
        <v>1</v>
      </c>
      <c r="Q353" s="6">
        <v>4000000</v>
      </c>
      <c r="R353" s="6">
        <v>0</v>
      </c>
      <c r="S353" s="6">
        <v>120</v>
      </c>
      <c r="T353" s="9">
        <v>0</v>
      </c>
      <c r="U353" s="9">
        <v>0</v>
      </c>
      <c r="V353" s="9">
        <v>0</v>
      </c>
      <c r="W353" s="9">
        <v>1000</v>
      </c>
      <c r="X353" s="9">
        <v>0.1</v>
      </c>
      <c r="Y353" s="9">
        <v>0</v>
      </c>
      <c r="Z353" s="9">
        <v>0</v>
      </c>
      <c r="AA353" s="9">
        <v>0.1</v>
      </c>
    </row>
    <row r="354" spans="12:27">
      <c r="L354" s="1" t="s">
        <v>1917</v>
      </c>
      <c r="M354" s="1" t="s">
        <v>1893</v>
      </c>
      <c r="N354" s="1" t="s">
        <v>1774</v>
      </c>
      <c r="O354" s="1" t="str">
        <f t="shared" si="5"/>
        <v>Low LTV_GPLIns_Self-occupation</v>
      </c>
      <c r="P354" s="6">
        <v>1</v>
      </c>
      <c r="Q354" s="6">
        <v>4000000</v>
      </c>
      <c r="R354" s="6">
        <v>0</v>
      </c>
      <c r="S354" s="6">
        <v>120</v>
      </c>
      <c r="T354" s="9">
        <v>0</v>
      </c>
      <c r="U354" s="9">
        <v>0</v>
      </c>
      <c r="V354" s="9">
        <v>0</v>
      </c>
      <c r="W354" s="9">
        <v>1000</v>
      </c>
      <c r="X354" s="9">
        <v>0.1</v>
      </c>
      <c r="Y354" s="9">
        <v>0</v>
      </c>
      <c r="Z354" s="9">
        <v>0</v>
      </c>
      <c r="AA354" s="9">
        <v>0.1</v>
      </c>
    </row>
    <row r="355" spans="12:27">
      <c r="L355" s="1" t="s">
        <v>1917</v>
      </c>
      <c r="M355" s="1" t="s">
        <v>1897</v>
      </c>
      <c r="N355" s="1" t="s">
        <v>1774</v>
      </c>
      <c r="O355" s="1" t="str">
        <f t="shared" si="5"/>
        <v>Low LTV_Ins_Self-occupation</v>
      </c>
      <c r="P355" s="6">
        <v>1</v>
      </c>
      <c r="Q355" s="6">
        <v>10000000</v>
      </c>
      <c r="R355" s="6">
        <v>240</v>
      </c>
      <c r="S355" s="6">
        <v>240</v>
      </c>
      <c r="T355" s="9">
        <v>1000</v>
      </c>
      <c r="U355" s="9">
        <v>1000</v>
      </c>
      <c r="V355" s="9">
        <v>1000</v>
      </c>
      <c r="W355" s="9">
        <v>1000</v>
      </c>
      <c r="X355" s="9">
        <v>0.05</v>
      </c>
      <c r="Y355" s="9">
        <v>0.05</v>
      </c>
      <c r="Z355" s="9">
        <v>0.05</v>
      </c>
      <c r="AA355" s="9">
        <v>0.05</v>
      </c>
    </row>
    <row r="356" spans="12:27">
      <c r="L356" s="1" t="s">
        <v>1917</v>
      </c>
      <c r="M356" s="1" t="s">
        <v>1890</v>
      </c>
      <c r="N356" s="1" t="s">
        <v>1787</v>
      </c>
      <c r="O356" s="1" t="str">
        <f t="shared" si="5"/>
        <v>Low LTV_GPL_Rent out</v>
      </c>
      <c r="P356" s="6">
        <v>0</v>
      </c>
      <c r="Q356" s="6">
        <v>0</v>
      </c>
      <c r="R356" s="6">
        <v>0</v>
      </c>
      <c r="S356" s="6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</row>
    <row r="357" spans="12:27">
      <c r="L357" s="1" t="s">
        <v>1917</v>
      </c>
      <c r="M357" s="1" t="s">
        <v>1893</v>
      </c>
      <c r="N357" s="1" t="s">
        <v>1787</v>
      </c>
      <c r="O357" s="1" t="str">
        <f t="shared" si="5"/>
        <v>Low LTV_GPLIns_Rent out</v>
      </c>
      <c r="P357" s="6">
        <v>0</v>
      </c>
      <c r="Q357" s="6">
        <v>0</v>
      </c>
      <c r="R357" s="6">
        <v>0</v>
      </c>
      <c r="S357" s="6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</row>
    <row r="358" spans="12:27">
      <c r="L358" s="1" t="s">
        <v>1917</v>
      </c>
      <c r="M358" s="1" t="s">
        <v>1897</v>
      </c>
      <c r="N358" s="1" t="s">
        <v>1787</v>
      </c>
      <c r="O358" s="1" t="str">
        <f t="shared" si="5"/>
        <v>Low LTV_Ins_Rent out</v>
      </c>
      <c r="P358" s="6">
        <v>0</v>
      </c>
      <c r="Q358" s="6">
        <v>0</v>
      </c>
      <c r="R358" s="6">
        <v>0</v>
      </c>
      <c r="S358" s="6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</row>
    <row r="359" spans="12:27">
      <c r="L359" s="1" t="s">
        <v>1917</v>
      </c>
      <c r="M359" s="1" t="s">
        <v>1890</v>
      </c>
      <c r="N359" s="1" t="s">
        <v>1799</v>
      </c>
      <c r="O359" s="1" t="str">
        <f t="shared" si="5"/>
        <v>Low LTV_GPL_Vacant / Investment</v>
      </c>
      <c r="P359" s="6">
        <v>0</v>
      </c>
      <c r="Q359" s="6">
        <v>0</v>
      </c>
      <c r="R359" s="6">
        <v>0</v>
      </c>
      <c r="S359" s="6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</row>
    <row r="360" spans="12:27">
      <c r="L360" s="1" t="s">
        <v>1917</v>
      </c>
      <c r="M360" s="1" t="s">
        <v>1893</v>
      </c>
      <c r="N360" s="1" t="s">
        <v>1799</v>
      </c>
      <c r="O360" s="1" t="str">
        <f t="shared" si="5"/>
        <v>Low LTV_GPLIns_Vacant / Investment</v>
      </c>
      <c r="P360" s="6">
        <v>0</v>
      </c>
      <c r="Q360" s="6">
        <v>0</v>
      </c>
      <c r="R360" s="6">
        <v>0</v>
      </c>
      <c r="S360" s="6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</row>
    <row r="361" spans="12:27">
      <c r="L361" s="1" t="s">
        <v>1917</v>
      </c>
      <c r="M361" s="1" t="s">
        <v>1897</v>
      </c>
      <c r="N361" s="1" t="s">
        <v>1799</v>
      </c>
      <c r="O361" s="1" t="str">
        <f t="shared" si="5"/>
        <v>Low LTV_Ins_Vacant / Investment</v>
      </c>
      <c r="P361" s="6">
        <v>0</v>
      </c>
      <c r="Q361" s="6">
        <v>0</v>
      </c>
      <c r="R361" s="6">
        <v>0</v>
      </c>
      <c r="S361" s="6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</row>
    <row r="362" spans="12:27" ht="25.5">
      <c r="L362" s="1" t="s">
        <v>1920</v>
      </c>
      <c r="M362" s="1" t="s">
        <v>1773</v>
      </c>
      <c r="N362" s="1" t="s">
        <v>1774</v>
      </c>
      <c r="O362" s="1" t="str">
        <f t="shared" si="5"/>
        <v>Pre-approved Top-up_HL_Self-occupation</v>
      </c>
      <c r="P362" s="6">
        <v>1</v>
      </c>
      <c r="Q362" s="6">
        <v>10000000</v>
      </c>
      <c r="R362" s="6">
        <v>240</v>
      </c>
      <c r="S362" s="6">
        <v>240</v>
      </c>
      <c r="T362" s="9">
        <v>1</v>
      </c>
      <c r="U362" s="9">
        <v>1</v>
      </c>
      <c r="V362" s="9">
        <v>1</v>
      </c>
      <c r="W362" s="9">
        <v>1</v>
      </c>
      <c r="X362" s="9">
        <v>0.9</v>
      </c>
      <c r="Y362" s="9">
        <v>0.9</v>
      </c>
      <c r="Z362" s="9">
        <v>0.9</v>
      </c>
      <c r="AA362" s="9">
        <v>0.9</v>
      </c>
    </row>
    <row r="363" spans="12:27" ht="25.5">
      <c r="L363" s="1" t="s">
        <v>1920</v>
      </c>
      <c r="M363" s="1" t="s">
        <v>1777</v>
      </c>
      <c r="N363" s="1" t="s">
        <v>1774</v>
      </c>
      <c r="O363" s="1" t="str">
        <f t="shared" si="5"/>
        <v>Pre-approved Top-up_HLGPLIns_Self-occupation</v>
      </c>
      <c r="P363" s="6">
        <v>1</v>
      </c>
      <c r="Q363" s="6">
        <v>10000000</v>
      </c>
      <c r="R363" s="6">
        <v>240</v>
      </c>
      <c r="S363" s="6">
        <v>240</v>
      </c>
      <c r="T363" s="9">
        <v>1</v>
      </c>
      <c r="U363" s="9">
        <v>1</v>
      </c>
      <c r="V363" s="9">
        <v>1</v>
      </c>
      <c r="W363" s="9">
        <v>1</v>
      </c>
      <c r="X363" s="9">
        <v>0.9</v>
      </c>
      <c r="Y363" s="9">
        <v>0.9</v>
      </c>
      <c r="Z363" s="9">
        <v>0.9</v>
      </c>
      <c r="AA363" s="9">
        <v>0.9</v>
      </c>
    </row>
    <row r="364" spans="12:27" ht="25.5">
      <c r="L364" s="1" t="s">
        <v>1920</v>
      </c>
      <c r="M364" s="1" t="s">
        <v>1780</v>
      </c>
      <c r="N364" s="1" t="s">
        <v>1774</v>
      </c>
      <c r="O364" s="1" t="str">
        <f t="shared" si="5"/>
        <v>Pre-approved Top-up_HLGPL_Self-occupation</v>
      </c>
      <c r="P364" s="6">
        <v>1</v>
      </c>
      <c r="Q364" s="6">
        <v>10000000</v>
      </c>
      <c r="R364" s="6">
        <v>240</v>
      </c>
      <c r="S364" s="6">
        <v>240</v>
      </c>
      <c r="T364" s="9">
        <v>1</v>
      </c>
      <c r="U364" s="9">
        <v>1</v>
      </c>
      <c r="V364" s="9">
        <v>1</v>
      </c>
      <c r="W364" s="9">
        <v>1</v>
      </c>
      <c r="X364" s="9">
        <v>0.9</v>
      </c>
      <c r="Y364" s="9">
        <v>0.9</v>
      </c>
      <c r="Z364" s="9">
        <v>0.9</v>
      </c>
      <c r="AA364" s="9">
        <v>0.9</v>
      </c>
    </row>
    <row r="365" spans="12:27" ht="25.5">
      <c r="L365" s="1" t="s">
        <v>1920</v>
      </c>
      <c r="M365" s="1" t="s">
        <v>1783</v>
      </c>
      <c r="N365" s="1" t="s">
        <v>1774</v>
      </c>
      <c r="O365" s="1" t="str">
        <f t="shared" si="5"/>
        <v>Pre-approved Top-up_HLIns_Self-occupation</v>
      </c>
      <c r="P365" s="6">
        <v>1</v>
      </c>
      <c r="Q365" s="6">
        <v>10000000</v>
      </c>
      <c r="R365" s="6">
        <v>240</v>
      </c>
      <c r="S365" s="6">
        <v>240</v>
      </c>
      <c r="T365" s="9">
        <v>1</v>
      </c>
      <c r="U365" s="9">
        <v>1</v>
      </c>
      <c r="V365" s="9">
        <v>1</v>
      </c>
      <c r="W365" s="9">
        <v>1</v>
      </c>
      <c r="X365" s="9">
        <v>0.9</v>
      </c>
      <c r="Y365" s="9">
        <v>0.9</v>
      </c>
      <c r="Z365" s="9">
        <v>0.9</v>
      </c>
      <c r="AA365" s="9">
        <v>0.9</v>
      </c>
    </row>
    <row r="366" spans="12:27">
      <c r="L366" s="1" t="s">
        <v>1920</v>
      </c>
      <c r="M366" s="1" t="s">
        <v>1773</v>
      </c>
      <c r="N366" s="1" t="s">
        <v>1787</v>
      </c>
      <c r="O366" s="1" t="str">
        <f t="shared" si="5"/>
        <v>Pre-approved Top-up_HL_Rent out</v>
      </c>
      <c r="P366" s="6">
        <v>1</v>
      </c>
      <c r="Q366" s="6">
        <v>10000000</v>
      </c>
      <c r="R366" s="6">
        <v>240</v>
      </c>
      <c r="S366" s="6">
        <v>240</v>
      </c>
      <c r="T366" s="9">
        <v>1</v>
      </c>
      <c r="U366" s="9">
        <v>1</v>
      </c>
      <c r="V366" s="9">
        <v>1</v>
      </c>
      <c r="W366" s="9">
        <v>1</v>
      </c>
      <c r="X366" s="9">
        <v>0.9</v>
      </c>
      <c r="Y366" s="9">
        <v>0.9</v>
      </c>
      <c r="Z366" s="9">
        <v>0.9</v>
      </c>
      <c r="AA366" s="9">
        <v>0.9</v>
      </c>
    </row>
    <row r="367" spans="12:27" ht="25.5">
      <c r="L367" s="1" t="s">
        <v>1920</v>
      </c>
      <c r="M367" s="1" t="s">
        <v>1777</v>
      </c>
      <c r="N367" s="1" t="s">
        <v>1787</v>
      </c>
      <c r="O367" s="1" t="str">
        <f t="shared" si="5"/>
        <v>Pre-approved Top-up_HLGPLIns_Rent out</v>
      </c>
      <c r="P367" s="6">
        <v>1</v>
      </c>
      <c r="Q367" s="6">
        <v>10000000</v>
      </c>
      <c r="R367" s="6">
        <v>240</v>
      </c>
      <c r="S367" s="6">
        <v>240</v>
      </c>
      <c r="T367" s="9">
        <v>1</v>
      </c>
      <c r="U367" s="9">
        <v>1</v>
      </c>
      <c r="V367" s="9">
        <v>1</v>
      </c>
      <c r="W367" s="9">
        <v>1</v>
      </c>
      <c r="X367" s="9">
        <v>0.9</v>
      </c>
      <c r="Y367" s="9">
        <v>0.9</v>
      </c>
      <c r="Z367" s="9">
        <v>0.9</v>
      </c>
      <c r="AA367" s="9">
        <v>0.9</v>
      </c>
    </row>
    <row r="368" spans="12:27">
      <c r="L368" s="1" t="s">
        <v>1920</v>
      </c>
      <c r="M368" s="1" t="s">
        <v>1780</v>
      </c>
      <c r="N368" s="1" t="s">
        <v>1787</v>
      </c>
      <c r="O368" s="1" t="str">
        <f t="shared" si="5"/>
        <v>Pre-approved Top-up_HLGPL_Rent out</v>
      </c>
      <c r="P368" s="6">
        <v>1</v>
      </c>
      <c r="Q368" s="6">
        <v>10000000</v>
      </c>
      <c r="R368" s="6">
        <v>240</v>
      </c>
      <c r="S368" s="6">
        <v>240</v>
      </c>
      <c r="T368" s="9">
        <v>1</v>
      </c>
      <c r="U368" s="9">
        <v>1</v>
      </c>
      <c r="V368" s="9">
        <v>1</v>
      </c>
      <c r="W368" s="9">
        <v>1</v>
      </c>
      <c r="X368" s="9">
        <v>0.9</v>
      </c>
      <c r="Y368" s="9">
        <v>0.9</v>
      </c>
      <c r="Z368" s="9">
        <v>0.9</v>
      </c>
      <c r="AA368" s="9">
        <v>0.9</v>
      </c>
    </row>
    <row r="369" spans="12:27">
      <c r="L369" s="1" t="s">
        <v>1920</v>
      </c>
      <c r="M369" s="1" t="s">
        <v>1783</v>
      </c>
      <c r="N369" s="1" t="s">
        <v>1787</v>
      </c>
      <c r="O369" s="1" t="str">
        <f t="shared" si="5"/>
        <v>Pre-approved Top-up_HLIns_Rent out</v>
      </c>
      <c r="P369" s="6">
        <v>1</v>
      </c>
      <c r="Q369" s="6">
        <v>10000000</v>
      </c>
      <c r="R369" s="6">
        <v>240</v>
      </c>
      <c r="S369" s="6">
        <v>240</v>
      </c>
      <c r="T369" s="9">
        <v>1</v>
      </c>
      <c r="U369" s="9">
        <v>1</v>
      </c>
      <c r="V369" s="9">
        <v>1</v>
      </c>
      <c r="W369" s="9">
        <v>1</v>
      </c>
      <c r="X369" s="9">
        <v>0.9</v>
      </c>
      <c r="Y369" s="9">
        <v>0.9</v>
      </c>
      <c r="Z369" s="9">
        <v>0.9</v>
      </c>
      <c r="AA369" s="9">
        <v>0.9</v>
      </c>
    </row>
    <row r="370" spans="12:27" ht="25.5">
      <c r="L370" s="1" t="s">
        <v>1920</v>
      </c>
      <c r="M370" s="1" t="s">
        <v>1773</v>
      </c>
      <c r="N370" s="1" t="s">
        <v>1799</v>
      </c>
      <c r="O370" s="1" t="str">
        <f t="shared" si="5"/>
        <v>Pre-approved Top-up_HL_Vacant / Investment</v>
      </c>
      <c r="P370" s="6">
        <v>1</v>
      </c>
      <c r="Q370" s="6">
        <v>10000000</v>
      </c>
      <c r="R370" s="6">
        <v>240</v>
      </c>
      <c r="S370" s="6">
        <v>240</v>
      </c>
      <c r="T370" s="9">
        <v>1</v>
      </c>
      <c r="U370" s="9">
        <v>1</v>
      </c>
      <c r="V370" s="9">
        <v>1</v>
      </c>
      <c r="W370" s="9">
        <v>1</v>
      </c>
      <c r="X370" s="9">
        <v>0.85</v>
      </c>
      <c r="Y370" s="9">
        <v>0.85</v>
      </c>
      <c r="Z370" s="9">
        <v>0.85</v>
      </c>
      <c r="AA370" s="9">
        <v>0.85</v>
      </c>
    </row>
    <row r="371" spans="12:27" ht="25.5">
      <c r="L371" s="1" t="s">
        <v>1920</v>
      </c>
      <c r="M371" s="1" t="s">
        <v>1777</v>
      </c>
      <c r="N371" s="1" t="s">
        <v>1799</v>
      </c>
      <c r="O371" s="1" t="str">
        <f t="shared" si="5"/>
        <v>Pre-approved Top-up_HLGPLIns_Vacant / Investment</v>
      </c>
      <c r="P371" s="6">
        <v>1</v>
      </c>
      <c r="Q371" s="6">
        <v>10000000</v>
      </c>
      <c r="R371" s="6">
        <v>240</v>
      </c>
      <c r="S371" s="6">
        <v>240</v>
      </c>
      <c r="T371" s="9">
        <v>1</v>
      </c>
      <c r="U371" s="9">
        <v>1</v>
      </c>
      <c r="V371" s="9">
        <v>1</v>
      </c>
      <c r="W371" s="9">
        <v>1</v>
      </c>
      <c r="X371" s="9">
        <v>0.85</v>
      </c>
      <c r="Y371" s="9">
        <v>0.85</v>
      </c>
      <c r="Z371" s="9">
        <v>0.85</v>
      </c>
      <c r="AA371" s="9">
        <v>0.85</v>
      </c>
    </row>
    <row r="372" spans="12:27" ht="25.5">
      <c r="L372" s="1" t="s">
        <v>1920</v>
      </c>
      <c r="M372" s="1" t="s">
        <v>1780</v>
      </c>
      <c r="N372" s="1" t="s">
        <v>1799</v>
      </c>
      <c r="O372" s="1" t="str">
        <f t="shared" si="5"/>
        <v>Pre-approved Top-up_HLGPL_Vacant / Investment</v>
      </c>
      <c r="P372" s="6">
        <v>1</v>
      </c>
      <c r="Q372" s="6">
        <v>10000000</v>
      </c>
      <c r="R372" s="6">
        <v>240</v>
      </c>
      <c r="S372" s="6">
        <v>240</v>
      </c>
      <c r="T372" s="9">
        <v>1</v>
      </c>
      <c r="U372" s="9">
        <v>1</v>
      </c>
      <c r="V372" s="9">
        <v>1</v>
      </c>
      <c r="W372" s="9">
        <v>1</v>
      </c>
      <c r="X372" s="9">
        <v>0.85</v>
      </c>
      <c r="Y372" s="9">
        <v>0.85</v>
      </c>
      <c r="Z372" s="9">
        <v>0.85</v>
      </c>
      <c r="AA372" s="9">
        <v>0.85</v>
      </c>
    </row>
    <row r="373" spans="12:27" ht="25.5">
      <c r="L373" s="1" t="s">
        <v>1920</v>
      </c>
      <c r="M373" s="1" t="s">
        <v>1783</v>
      </c>
      <c r="N373" s="1" t="s">
        <v>1799</v>
      </c>
      <c r="O373" s="1" t="str">
        <f t="shared" si="5"/>
        <v>Pre-approved Top-up_HLIns_Vacant / Investment</v>
      </c>
      <c r="P373" s="6">
        <v>1</v>
      </c>
      <c r="Q373" s="6">
        <v>10000000</v>
      </c>
      <c r="R373" s="6">
        <v>240</v>
      </c>
      <c r="S373" s="6">
        <v>240</v>
      </c>
      <c r="T373" s="9">
        <v>1</v>
      </c>
      <c r="U373" s="9">
        <v>1</v>
      </c>
      <c r="V373" s="9">
        <v>1</v>
      </c>
      <c r="W373" s="9">
        <v>1</v>
      </c>
      <c r="X373" s="9">
        <v>0.85</v>
      </c>
      <c r="Y373" s="9">
        <v>0.85</v>
      </c>
      <c r="Z373" s="9">
        <v>0.85</v>
      </c>
      <c r="AA373" s="9">
        <v>0.85</v>
      </c>
    </row>
    <row r="374" spans="12:27" ht="25.5">
      <c r="L374" s="1" t="s">
        <v>1920</v>
      </c>
      <c r="M374" s="1" t="s">
        <v>1812</v>
      </c>
      <c r="N374" s="1" t="s">
        <v>1774</v>
      </c>
      <c r="O374" s="1" t="str">
        <f t="shared" si="5"/>
        <v>Pre-approved Top-up_LAP_Self-occupation</v>
      </c>
      <c r="P374" s="6">
        <v>1</v>
      </c>
      <c r="Q374" s="6">
        <v>10000000</v>
      </c>
      <c r="R374" s="6">
        <v>180</v>
      </c>
      <c r="S374" s="6">
        <v>180</v>
      </c>
      <c r="T374" s="9">
        <v>1</v>
      </c>
      <c r="U374" s="9">
        <v>1</v>
      </c>
      <c r="V374" s="9">
        <v>1</v>
      </c>
      <c r="W374" s="9">
        <v>1</v>
      </c>
      <c r="X374" s="9">
        <v>0.7</v>
      </c>
      <c r="Y374" s="9">
        <v>0.71</v>
      </c>
      <c r="Z374" s="9">
        <v>0.73</v>
      </c>
      <c r="AA374" s="9">
        <v>0.75</v>
      </c>
    </row>
    <row r="375" spans="12:27" ht="25.5">
      <c r="L375" s="1" t="s">
        <v>1920</v>
      </c>
      <c r="M375" s="1" t="s">
        <v>1816</v>
      </c>
      <c r="N375" s="1" t="s">
        <v>1774</v>
      </c>
      <c r="O375" s="1" t="str">
        <f t="shared" si="5"/>
        <v>Pre-approved Top-up_LAPGPLIns_Self-occupation</v>
      </c>
      <c r="P375" s="6">
        <v>1</v>
      </c>
      <c r="Q375" s="6">
        <v>10000000</v>
      </c>
      <c r="R375" s="6">
        <v>180</v>
      </c>
      <c r="S375" s="6">
        <v>180</v>
      </c>
      <c r="T375" s="9">
        <v>1</v>
      </c>
      <c r="U375" s="9">
        <v>1</v>
      </c>
      <c r="V375" s="9">
        <v>1</v>
      </c>
      <c r="W375" s="9">
        <v>1</v>
      </c>
      <c r="X375" s="9">
        <v>0.7</v>
      </c>
      <c r="Y375" s="9">
        <v>0.71</v>
      </c>
      <c r="Z375" s="9">
        <v>0.73</v>
      </c>
      <c r="AA375" s="9">
        <v>0.75</v>
      </c>
    </row>
    <row r="376" spans="12:27" ht="25.5">
      <c r="L376" s="1" t="s">
        <v>1920</v>
      </c>
      <c r="M376" s="1" t="s">
        <v>1821</v>
      </c>
      <c r="N376" s="1" t="s">
        <v>1774</v>
      </c>
      <c r="O376" s="1" t="str">
        <f t="shared" si="5"/>
        <v>Pre-approved Top-up_LAPGPL_Self-occupation</v>
      </c>
      <c r="P376" s="6">
        <v>1</v>
      </c>
      <c r="Q376" s="6">
        <v>10000000</v>
      </c>
      <c r="R376" s="6">
        <v>180</v>
      </c>
      <c r="S376" s="6">
        <v>180</v>
      </c>
      <c r="T376" s="9">
        <v>1</v>
      </c>
      <c r="U376" s="9">
        <v>1</v>
      </c>
      <c r="V376" s="9">
        <v>1</v>
      </c>
      <c r="W376" s="9">
        <v>1</v>
      </c>
      <c r="X376" s="9">
        <v>0.7</v>
      </c>
      <c r="Y376" s="9">
        <v>0.71</v>
      </c>
      <c r="Z376" s="9">
        <v>0.73</v>
      </c>
      <c r="AA376" s="9">
        <v>0.75</v>
      </c>
    </row>
    <row r="377" spans="12:27" ht="25.5">
      <c r="L377" s="1" t="s">
        <v>1920</v>
      </c>
      <c r="M377" s="1" t="s">
        <v>1824</v>
      </c>
      <c r="N377" s="1" t="s">
        <v>1774</v>
      </c>
      <c r="O377" s="1" t="str">
        <f t="shared" si="5"/>
        <v>Pre-approved Top-up_LAPIns_Self-occupation</v>
      </c>
      <c r="P377" s="6">
        <v>1</v>
      </c>
      <c r="Q377" s="6">
        <v>10000000</v>
      </c>
      <c r="R377" s="6">
        <v>180</v>
      </c>
      <c r="S377" s="6">
        <v>180</v>
      </c>
      <c r="T377" s="9">
        <v>1</v>
      </c>
      <c r="U377" s="9">
        <v>1</v>
      </c>
      <c r="V377" s="9">
        <v>1</v>
      </c>
      <c r="W377" s="9">
        <v>1</v>
      </c>
      <c r="X377" s="9">
        <v>0.7</v>
      </c>
      <c r="Y377" s="9">
        <v>0.71</v>
      </c>
      <c r="Z377" s="9">
        <v>0.73</v>
      </c>
      <c r="AA377" s="9">
        <v>0.75</v>
      </c>
    </row>
    <row r="378" spans="12:27">
      <c r="L378" s="1" t="s">
        <v>1920</v>
      </c>
      <c r="M378" s="1" t="s">
        <v>1812</v>
      </c>
      <c r="N378" s="1" t="s">
        <v>1787</v>
      </c>
      <c r="O378" s="1" t="str">
        <f t="shared" si="5"/>
        <v>Pre-approved Top-up_LAP_Rent out</v>
      </c>
      <c r="P378" s="6">
        <v>1</v>
      </c>
      <c r="Q378" s="6">
        <v>10000000</v>
      </c>
      <c r="R378" s="6">
        <v>180</v>
      </c>
      <c r="S378" s="6">
        <v>180</v>
      </c>
      <c r="T378" s="9">
        <v>1</v>
      </c>
      <c r="U378" s="9">
        <v>1</v>
      </c>
      <c r="V378" s="9">
        <v>1</v>
      </c>
      <c r="W378" s="9">
        <v>1</v>
      </c>
      <c r="X378" s="9">
        <v>0.7</v>
      </c>
      <c r="Y378" s="9">
        <v>0.71</v>
      </c>
      <c r="Z378" s="9">
        <v>0.73</v>
      </c>
      <c r="AA378" s="9">
        <v>0.75</v>
      </c>
    </row>
    <row r="379" spans="12:27" ht="25.5">
      <c r="L379" s="1" t="s">
        <v>1920</v>
      </c>
      <c r="M379" s="1" t="s">
        <v>1816</v>
      </c>
      <c r="N379" s="1" t="s">
        <v>1787</v>
      </c>
      <c r="O379" s="1" t="str">
        <f t="shared" si="5"/>
        <v>Pre-approved Top-up_LAPGPLIns_Rent out</v>
      </c>
      <c r="P379" s="6">
        <v>1</v>
      </c>
      <c r="Q379" s="6">
        <v>10000000</v>
      </c>
      <c r="R379" s="6">
        <v>180</v>
      </c>
      <c r="S379" s="6">
        <v>180</v>
      </c>
      <c r="T379" s="9">
        <v>1</v>
      </c>
      <c r="U379" s="9">
        <v>1</v>
      </c>
      <c r="V379" s="9">
        <v>1</v>
      </c>
      <c r="W379" s="9">
        <v>1</v>
      </c>
      <c r="X379" s="9">
        <v>0.7</v>
      </c>
      <c r="Y379" s="9">
        <v>0.71</v>
      </c>
      <c r="Z379" s="9">
        <v>0.73</v>
      </c>
      <c r="AA379" s="9">
        <v>0.75</v>
      </c>
    </row>
    <row r="380" spans="12:27">
      <c r="L380" s="1" t="s">
        <v>1920</v>
      </c>
      <c r="M380" s="1" t="s">
        <v>1821</v>
      </c>
      <c r="N380" s="1" t="s">
        <v>1787</v>
      </c>
      <c r="O380" s="1" t="str">
        <f t="shared" si="5"/>
        <v>Pre-approved Top-up_LAPGPL_Rent out</v>
      </c>
      <c r="P380" s="6">
        <v>1</v>
      </c>
      <c r="Q380" s="6">
        <v>10000000</v>
      </c>
      <c r="R380" s="6">
        <v>180</v>
      </c>
      <c r="S380" s="6">
        <v>180</v>
      </c>
      <c r="T380" s="9">
        <v>1</v>
      </c>
      <c r="U380" s="9">
        <v>1</v>
      </c>
      <c r="V380" s="9">
        <v>1</v>
      </c>
      <c r="W380" s="9">
        <v>1</v>
      </c>
      <c r="X380" s="9">
        <v>0.7</v>
      </c>
      <c r="Y380" s="9">
        <v>0.71</v>
      </c>
      <c r="Z380" s="9">
        <v>0.73</v>
      </c>
      <c r="AA380" s="9">
        <v>0.75</v>
      </c>
    </row>
    <row r="381" spans="12:27">
      <c r="L381" s="1" t="s">
        <v>1920</v>
      </c>
      <c r="M381" s="1" t="s">
        <v>1824</v>
      </c>
      <c r="N381" s="1" t="s">
        <v>1787</v>
      </c>
      <c r="O381" s="1" t="str">
        <f t="shared" si="5"/>
        <v>Pre-approved Top-up_LAPIns_Rent out</v>
      </c>
      <c r="P381" s="6">
        <v>1</v>
      </c>
      <c r="Q381" s="6">
        <v>10000000</v>
      </c>
      <c r="R381" s="6">
        <v>180</v>
      </c>
      <c r="S381" s="6">
        <v>180</v>
      </c>
      <c r="T381" s="9">
        <v>1</v>
      </c>
      <c r="U381" s="9">
        <v>1</v>
      </c>
      <c r="V381" s="9">
        <v>1</v>
      </c>
      <c r="W381" s="9">
        <v>1</v>
      </c>
      <c r="X381" s="9">
        <v>0.7</v>
      </c>
      <c r="Y381" s="9">
        <v>0.71</v>
      </c>
      <c r="Z381" s="9">
        <v>0.73</v>
      </c>
      <c r="AA381" s="9">
        <v>0.75</v>
      </c>
    </row>
    <row r="382" spans="12:27" ht="25.5">
      <c r="L382" s="1" t="s">
        <v>1920</v>
      </c>
      <c r="M382" s="1" t="s">
        <v>1812</v>
      </c>
      <c r="N382" s="1" t="s">
        <v>1799</v>
      </c>
      <c r="O382" s="1" t="str">
        <f t="shared" si="5"/>
        <v>Pre-approved Top-up_LAP_Vacant / Investment</v>
      </c>
      <c r="P382" s="6">
        <v>0</v>
      </c>
      <c r="Q382" s="6">
        <v>0</v>
      </c>
      <c r="R382" s="6">
        <v>0</v>
      </c>
      <c r="S382" s="6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</row>
    <row r="383" spans="12:27" ht="25.5">
      <c r="L383" s="1" t="s">
        <v>1920</v>
      </c>
      <c r="M383" s="1" t="s">
        <v>1816</v>
      </c>
      <c r="N383" s="1" t="s">
        <v>1799</v>
      </c>
      <c r="O383" s="1" t="str">
        <f t="shared" si="5"/>
        <v>Pre-approved Top-up_LAPGPLIns_Vacant / Investment</v>
      </c>
      <c r="P383" s="6">
        <v>0</v>
      </c>
      <c r="Q383" s="6">
        <v>0</v>
      </c>
      <c r="R383" s="6">
        <v>0</v>
      </c>
      <c r="S383" s="6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</row>
    <row r="384" spans="12:27" ht="25.5">
      <c r="L384" s="1" t="s">
        <v>1920</v>
      </c>
      <c r="M384" s="1" t="s">
        <v>1821</v>
      </c>
      <c r="N384" s="1" t="s">
        <v>1799</v>
      </c>
      <c r="O384" s="1" t="str">
        <f t="shared" si="5"/>
        <v>Pre-approved Top-up_LAPGPL_Vacant / Investment</v>
      </c>
      <c r="P384" s="6">
        <v>0</v>
      </c>
      <c r="Q384" s="6">
        <v>0</v>
      </c>
      <c r="R384" s="6">
        <v>0</v>
      </c>
      <c r="S384" s="6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</row>
    <row r="385" spans="12:27" ht="25.5">
      <c r="L385" s="1" t="s">
        <v>1920</v>
      </c>
      <c r="M385" s="1" t="s">
        <v>1824</v>
      </c>
      <c r="N385" s="1" t="s">
        <v>1799</v>
      </c>
      <c r="O385" s="1" t="str">
        <f t="shared" si="5"/>
        <v>Pre-approved Top-up_LAPIns_Vacant / Investment</v>
      </c>
      <c r="P385" s="6">
        <v>0</v>
      </c>
      <c r="Q385" s="6">
        <v>0</v>
      </c>
      <c r="R385" s="6">
        <v>0</v>
      </c>
      <c r="S385" s="6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</row>
    <row r="386" spans="12:27" ht="25.5">
      <c r="L386" s="1" t="s">
        <v>1920</v>
      </c>
      <c r="M386" s="1" t="s">
        <v>1852</v>
      </c>
      <c r="N386" s="1" t="s">
        <v>1774</v>
      </c>
      <c r="O386" s="1" t="str">
        <f t="shared" si="5"/>
        <v>Pre-approved Top-up_Indl_Self-occupation</v>
      </c>
      <c r="P386" s="6">
        <v>0</v>
      </c>
      <c r="Q386" s="6">
        <v>0</v>
      </c>
      <c r="R386" s="6">
        <v>0</v>
      </c>
      <c r="S386" s="6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</row>
    <row r="387" spans="12:27" ht="25.5">
      <c r="L387" s="1" t="s">
        <v>1920</v>
      </c>
      <c r="M387" s="1" t="s">
        <v>1856</v>
      </c>
      <c r="N387" s="1" t="s">
        <v>1774</v>
      </c>
      <c r="O387" s="1" t="str">
        <f t="shared" ref="O387:O450" si="6">CONCATENATE(L387,"_",M387,"_",N387)</f>
        <v>Pre-approved Top-up_IndlGPLIns_Self-occupation</v>
      </c>
      <c r="P387" s="6">
        <v>0</v>
      </c>
      <c r="Q387" s="6">
        <v>0</v>
      </c>
      <c r="R387" s="6">
        <v>0</v>
      </c>
      <c r="S387" s="6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</row>
    <row r="388" spans="12:27" ht="25.5">
      <c r="L388" s="1" t="s">
        <v>1920</v>
      </c>
      <c r="M388" s="1" t="s">
        <v>1860</v>
      </c>
      <c r="N388" s="1" t="s">
        <v>1774</v>
      </c>
      <c r="O388" s="1" t="str">
        <f t="shared" si="6"/>
        <v>Pre-approved Top-up_IndlGPL_Self-occupation</v>
      </c>
      <c r="P388" s="6">
        <v>0</v>
      </c>
      <c r="Q388" s="6">
        <v>0</v>
      </c>
      <c r="R388" s="6">
        <v>0</v>
      </c>
      <c r="S388" s="6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</row>
    <row r="389" spans="12:27" ht="25.5">
      <c r="L389" s="1" t="s">
        <v>1920</v>
      </c>
      <c r="M389" s="1" t="s">
        <v>1864</v>
      </c>
      <c r="N389" s="1" t="s">
        <v>1774</v>
      </c>
      <c r="O389" s="1" t="str">
        <f t="shared" si="6"/>
        <v>Pre-approved Top-up_IndlIns_Self-occupation</v>
      </c>
      <c r="P389" s="6">
        <v>0</v>
      </c>
      <c r="Q389" s="6">
        <v>0</v>
      </c>
      <c r="R389" s="6">
        <v>0</v>
      </c>
      <c r="S389" s="6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</row>
    <row r="390" spans="12:27">
      <c r="L390" s="1" t="s">
        <v>1920</v>
      </c>
      <c r="M390" s="1" t="s">
        <v>1852</v>
      </c>
      <c r="N390" s="1" t="s">
        <v>1787</v>
      </c>
      <c r="O390" s="1" t="str">
        <f t="shared" si="6"/>
        <v>Pre-approved Top-up_Indl_Rent out</v>
      </c>
      <c r="P390" s="6">
        <v>0</v>
      </c>
      <c r="Q390" s="6">
        <v>0</v>
      </c>
      <c r="R390" s="6">
        <v>0</v>
      </c>
      <c r="S390" s="6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</row>
    <row r="391" spans="12:27" ht="25.5">
      <c r="L391" s="1" t="s">
        <v>1920</v>
      </c>
      <c r="M391" s="1" t="s">
        <v>1856</v>
      </c>
      <c r="N391" s="1" t="s">
        <v>1787</v>
      </c>
      <c r="O391" s="1" t="str">
        <f t="shared" si="6"/>
        <v>Pre-approved Top-up_IndlGPLIns_Rent out</v>
      </c>
      <c r="P391" s="6">
        <v>0</v>
      </c>
      <c r="Q391" s="6">
        <v>0</v>
      </c>
      <c r="R391" s="6">
        <v>0</v>
      </c>
      <c r="S391" s="6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</row>
    <row r="392" spans="12:27">
      <c r="L392" s="1" t="s">
        <v>1920</v>
      </c>
      <c r="M392" s="1" t="s">
        <v>1860</v>
      </c>
      <c r="N392" s="1" t="s">
        <v>1787</v>
      </c>
      <c r="O392" s="1" t="str">
        <f t="shared" si="6"/>
        <v>Pre-approved Top-up_IndlGPL_Rent out</v>
      </c>
      <c r="P392" s="6">
        <v>0</v>
      </c>
      <c r="Q392" s="6">
        <v>0</v>
      </c>
      <c r="R392" s="6">
        <v>0</v>
      </c>
      <c r="S392" s="6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</row>
    <row r="393" spans="12:27">
      <c r="L393" s="1" t="s">
        <v>1920</v>
      </c>
      <c r="M393" s="1" t="s">
        <v>1864</v>
      </c>
      <c r="N393" s="1" t="s">
        <v>1787</v>
      </c>
      <c r="O393" s="1" t="str">
        <f t="shared" si="6"/>
        <v>Pre-approved Top-up_IndlIns_Rent out</v>
      </c>
      <c r="P393" s="6">
        <v>0</v>
      </c>
      <c r="Q393" s="6">
        <v>0</v>
      </c>
      <c r="R393" s="6">
        <v>0</v>
      </c>
      <c r="S393" s="6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</row>
    <row r="394" spans="12:27" ht="25.5">
      <c r="L394" s="1" t="s">
        <v>1920</v>
      </c>
      <c r="M394" s="1" t="s">
        <v>1852</v>
      </c>
      <c r="N394" s="1" t="s">
        <v>1799</v>
      </c>
      <c r="O394" s="1" t="str">
        <f t="shared" si="6"/>
        <v>Pre-approved Top-up_Indl_Vacant / Investment</v>
      </c>
      <c r="P394" s="6">
        <v>0</v>
      </c>
      <c r="Q394" s="6">
        <v>0</v>
      </c>
      <c r="R394" s="6">
        <v>0</v>
      </c>
      <c r="S394" s="6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</row>
    <row r="395" spans="12:27" ht="25.5">
      <c r="L395" s="1" t="s">
        <v>1920</v>
      </c>
      <c r="M395" s="1" t="s">
        <v>1856</v>
      </c>
      <c r="N395" s="1" t="s">
        <v>1799</v>
      </c>
      <c r="O395" s="1" t="str">
        <f t="shared" si="6"/>
        <v>Pre-approved Top-up_IndlGPLIns_Vacant / Investment</v>
      </c>
      <c r="P395" s="6">
        <v>0</v>
      </c>
      <c r="Q395" s="6">
        <v>0</v>
      </c>
      <c r="R395" s="6">
        <v>0</v>
      </c>
      <c r="S395" s="6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</row>
    <row r="396" spans="12:27" ht="25.5">
      <c r="L396" s="1" t="s">
        <v>1920</v>
      </c>
      <c r="M396" s="1" t="s">
        <v>1860</v>
      </c>
      <c r="N396" s="1" t="s">
        <v>1799</v>
      </c>
      <c r="O396" s="1" t="str">
        <f t="shared" si="6"/>
        <v>Pre-approved Top-up_IndlGPL_Vacant / Investment</v>
      </c>
      <c r="P396" s="6">
        <v>0</v>
      </c>
      <c r="Q396" s="6">
        <v>0</v>
      </c>
      <c r="R396" s="6">
        <v>0</v>
      </c>
      <c r="S396" s="6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</row>
    <row r="397" spans="12:27" ht="25.5">
      <c r="L397" s="1" t="s">
        <v>1920</v>
      </c>
      <c r="M397" s="1" t="s">
        <v>1864</v>
      </c>
      <c r="N397" s="1" t="s">
        <v>1799</v>
      </c>
      <c r="O397" s="1" t="str">
        <f t="shared" si="6"/>
        <v>Pre-approved Top-up_IndlIns_Vacant / Investment</v>
      </c>
      <c r="P397" s="6">
        <v>0</v>
      </c>
      <c r="Q397" s="6">
        <v>0</v>
      </c>
      <c r="R397" s="6">
        <v>0</v>
      </c>
      <c r="S397" s="6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</row>
    <row r="398" spans="12:27" ht="25.5">
      <c r="L398" s="1" t="s">
        <v>1920</v>
      </c>
      <c r="M398" s="1" t="s">
        <v>1890</v>
      </c>
      <c r="N398" s="1" t="s">
        <v>1774</v>
      </c>
      <c r="O398" s="1" t="str">
        <f t="shared" si="6"/>
        <v>Pre-approved Top-up_GPL_Self-occupation</v>
      </c>
      <c r="P398" s="6">
        <v>1</v>
      </c>
      <c r="Q398" s="6">
        <v>4000000</v>
      </c>
      <c r="R398" s="6">
        <v>0</v>
      </c>
      <c r="S398" s="6">
        <v>120</v>
      </c>
      <c r="T398" s="9">
        <v>0</v>
      </c>
      <c r="U398" s="9">
        <v>0</v>
      </c>
      <c r="V398" s="9">
        <v>0</v>
      </c>
      <c r="W398" s="9">
        <v>1</v>
      </c>
      <c r="X398" s="9">
        <v>0.1</v>
      </c>
      <c r="Y398" s="9">
        <v>0</v>
      </c>
      <c r="Z398" s="9">
        <v>0</v>
      </c>
      <c r="AA398" s="9">
        <v>0.1</v>
      </c>
    </row>
    <row r="399" spans="12:27" ht="25.5">
      <c r="L399" s="1" t="s">
        <v>1920</v>
      </c>
      <c r="M399" s="1" t="s">
        <v>1893</v>
      </c>
      <c r="N399" s="1" t="s">
        <v>1774</v>
      </c>
      <c r="O399" s="1" t="str">
        <f t="shared" si="6"/>
        <v>Pre-approved Top-up_GPLIns_Self-occupation</v>
      </c>
      <c r="P399" s="6">
        <v>1</v>
      </c>
      <c r="Q399" s="6">
        <v>4000000</v>
      </c>
      <c r="R399" s="6">
        <v>0</v>
      </c>
      <c r="S399" s="6">
        <v>120</v>
      </c>
      <c r="T399" s="9">
        <v>0</v>
      </c>
      <c r="U399" s="9">
        <v>0</v>
      </c>
      <c r="V399" s="9">
        <v>0</v>
      </c>
      <c r="W399" s="9">
        <v>1</v>
      </c>
      <c r="X399" s="9">
        <v>0.1</v>
      </c>
      <c r="Y399" s="9">
        <v>0</v>
      </c>
      <c r="Z399" s="9">
        <v>0</v>
      </c>
      <c r="AA399" s="9">
        <v>0.1</v>
      </c>
    </row>
    <row r="400" spans="12:27" ht="25.5">
      <c r="L400" s="1" t="s">
        <v>1920</v>
      </c>
      <c r="M400" s="1" t="s">
        <v>1897</v>
      </c>
      <c r="N400" s="1" t="s">
        <v>1774</v>
      </c>
      <c r="O400" s="1" t="str">
        <f t="shared" si="6"/>
        <v>Pre-approved Top-up_Ins_Self-occupation</v>
      </c>
      <c r="P400" s="6">
        <v>1</v>
      </c>
      <c r="Q400" s="6">
        <v>10000000</v>
      </c>
      <c r="R400" s="6">
        <v>240</v>
      </c>
      <c r="S400" s="6">
        <v>240</v>
      </c>
      <c r="T400" s="9">
        <v>1</v>
      </c>
      <c r="U400" s="9">
        <v>1</v>
      </c>
      <c r="V400" s="9">
        <v>1</v>
      </c>
      <c r="W400" s="9">
        <v>1</v>
      </c>
      <c r="X400" s="9">
        <v>0.05</v>
      </c>
      <c r="Y400" s="9">
        <v>0.05</v>
      </c>
      <c r="Z400" s="9">
        <v>0.05</v>
      </c>
      <c r="AA400" s="9">
        <v>0.05</v>
      </c>
    </row>
    <row r="401" spans="12:27">
      <c r="L401" s="1" t="s">
        <v>1920</v>
      </c>
      <c r="M401" s="1" t="s">
        <v>1890</v>
      </c>
      <c r="N401" s="1" t="s">
        <v>1787</v>
      </c>
      <c r="O401" s="1" t="str">
        <f t="shared" si="6"/>
        <v>Pre-approved Top-up_GPL_Rent out</v>
      </c>
      <c r="P401" s="6">
        <v>1</v>
      </c>
      <c r="Q401" s="6">
        <v>4000000</v>
      </c>
      <c r="R401" s="6">
        <v>0</v>
      </c>
      <c r="S401" s="6">
        <v>120</v>
      </c>
      <c r="T401" s="9">
        <v>0</v>
      </c>
      <c r="U401" s="9">
        <v>0</v>
      </c>
      <c r="V401" s="9">
        <v>0</v>
      </c>
      <c r="W401" s="9">
        <v>1</v>
      </c>
      <c r="X401" s="9">
        <v>0.1</v>
      </c>
      <c r="Y401" s="9">
        <v>0</v>
      </c>
      <c r="Z401" s="9">
        <v>0</v>
      </c>
      <c r="AA401" s="9">
        <v>0.1</v>
      </c>
    </row>
    <row r="402" spans="12:27">
      <c r="L402" s="1" t="s">
        <v>1920</v>
      </c>
      <c r="M402" s="1" t="s">
        <v>1893</v>
      </c>
      <c r="N402" s="1" t="s">
        <v>1787</v>
      </c>
      <c r="O402" s="1" t="str">
        <f t="shared" si="6"/>
        <v>Pre-approved Top-up_GPLIns_Rent out</v>
      </c>
      <c r="P402" s="6">
        <v>1</v>
      </c>
      <c r="Q402" s="6">
        <v>4000000</v>
      </c>
      <c r="R402" s="6">
        <v>0</v>
      </c>
      <c r="S402" s="6">
        <v>120</v>
      </c>
      <c r="T402" s="9">
        <v>0</v>
      </c>
      <c r="U402" s="9">
        <v>0</v>
      </c>
      <c r="V402" s="9">
        <v>0</v>
      </c>
      <c r="W402" s="9">
        <v>1</v>
      </c>
      <c r="X402" s="9">
        <v>0.1</v>
      </c>
      <c r="Y402" s="9">
        <v>0</v>
      </c>
      <c r="Z402" s="9">
        <v>0</v>
      </c>
      <c r="AA402" s="9">
        <v>0.1</v>
      </c>
    </row>
    <row r="403" spans="12:27">
      <c r="L403" s="1" t="s">
        <v>1920</v>
      </c>
      <c r="M403" s="1" t="s">
        <v>1897</v>
      </c>
      <c r="N403" s="1" t="s">
        <v>1787</v>
      </c>
      <c r="O403" s="1" t="str">
        <f t="shared" si="6"/>
        <v>Pre-approved Top-up_Ins_Rent out</v>
      </c>
      <c r="P403" s="6">
        <v>1</v>
      </c>
      <c r="Q403" s="6">
        <v>10000000</v>
      </c>
      <c r="R403" s="6">
        <v>240</v>
      </c>
      <c r="S403" s="6">
        <v>240</v>
      </c>
      <c r="T403" s="9">
        <v>1</v>
      </c>
      <c r="U403" s="9">
        <v>1</v>
      </c>
      <c r="V403" s="9">
        <v>1</v>
      </c>
      <c r="W403" s="9">
        <v>1</v>
      </c>
      <c r="X403" s="9">
        <v>0.05</v>
      </c>
      <c r="Y403" s="9">
        <v>0.05</v>
      </c>
      <c r="Z403" s="9">
        <v>0.05</v>
      </c>
      <c r="AA403" s="9">
        <v>0.05</v>
      </c>
    </row>
    <row r="404" spans="12:27" ht="25.5">
      <c r="L404" s="1" t="s">
        <v>1920</v>
      </c>
      <c r="M404" s="1" t="s">
        <v>1890</v>
      </c>
      <c r="N404" s="1" t="s">
        <v>1799</v>
      </c>
      <c r="O404" s="1" t="str">
        <f t="shared" si="6"/>
        <v>Pre-approved Top-up_GPL_Vacant / Investment</v>
      </c>
      <c r="P404" s="6">
        <v>0</v>
      </c>
      <c r="Q404" s="6">
        <v>0</v>
      </c>
      <c r="R404" s="6">
        <v>0</v>
      </c>
      <c r="S404" s="6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</row>
    <row r="405" spans="12:27" ht="25.5">
      <c r="L405" s="1" t="s">
        <v>1920</v>
      </c>
      <c r="M405" s="1" t="s">
        <v>1893</v>
      </c>
      <c r="N405" s="1" t="s">
        <v>1799</v>
      </c>
      <c r="O405" s="1" t="str">
        <f t="shared" si="6"/>
        <v>Pre-approved Top-up_GPLIns_Vacant / Investment</v>
      </c>
      <c r="P405" s="6">
        <v>0</v>
      </c>
      <c r="Q405" s="6">
        <v>0</v>
      </c>
      <c r="R405" s="6">
        <v>0</v>
      </c>
      <c r="S405" s="6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</row>
    <row r="406" spans="12:27" ht="25.5">
      <c r="L406" s="1" t="s">
        <v>1920</v>
      </c>
      <c r="M406" s="1" t="s">
        <v>1897</v>
      </c>
      <c r="N406" s="1" t="s">
        <v>1799</v>
      </c>
      <c r="O406" s="1" t="str">
        <f t="shared" si="6"/>
        <v>Pre-approved Top-up_Ins_Vacant / Investment</v>
      </c>
      <c r="P406" s="6">
        <v>0</v>
      </c>
      <c r="Q406" s="6">
        <v>0</v>
      </c>
      <c r="R406" s="6">
        <v>0</v>
      </c>
      <c r="S406" s="6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</row>
    <row r="407" spans="12:27">
      <c r="L407" s="1" t="s">
        <v>1923</v>
      </c>
      <c r="M407" s="1" t="s">
        <v>1773</v>
      </c>
      <c r="N407" s="1" t="s">
        <v>1774</v>
      </c>
      <c r="O407" s="1" t="str">
        <f t="shared" si="6"/>
        <v>CA Assessment_HL_Self-occupation</v>
      </c>
      <c r="P407" s="6">
        <v>5000000</v>
      </c>
      <c r="Q407" s="6">
        <v>25000000</v>
      </c>
      <c r="R407" s="6">
        <v>240</v>
      </c>
      <c r="S407" s="6">
        <v>240</v>
      </c>
      <c r="T407" s="9">
        <v>0.6</v>
      </c>
      <c r="U407" s="9">
        <v>0.6</v>
      </c>
      <c r="V407" s="9">
        <v>0.6</v>
      </c>
      <c r="W407" s="9">
        <v>0.6</v>
      </c>
      <c r="X407" s="9">
        <v>0.8</v>
      </c>
      <c r="Y407" s="9">
        <v>0.8</v>
      </c>
      <c r="Z407" s="9">
        <v>0.8</v>
      </c>
      <c r="AA407" s="9">
        <v>0.8</v>
      </c>
    </row>
    <row r="408" spans="12:27" ht="25.5">
      <c r="L408" s="1" t="s">
        <v>1923</v>
      </c>
      <c r="M408" s="1" t="s">
        <v>1777</v>
      </c>
      <c r="N408" s="1" t="s">
        <v>1774</v>
      </c>
      <c r="O408" s="1" t="str">
        <f t="shared" si="6"/>
        <v>CA Assessment_HLGPLIns_Self-occupation</v>
      </c>
      <c r="P408" s="6">
        <v>5000000</v>
      </c>
      <c r="Q408" s="6">
        <v>25000000</v>
      </c>
      <c r="R408" s="6">
        <v>240</v>
      </c>
      <c r="S408" s="6">
        <v>240</v>
      </c>
      <c r="T408" s="9">
        <v>0.6</v>
      </c>
      <c r="U408" s="9">
        <v>0.6</v>
      </c>
      <c r="V408" s="9">
        <v>0.6</v>
      </c>
      <c r="W408" s="9">
        <v>0.6</v>
      </c>
      <c r="X408" s="9">
        <v>0.8</v>
      </c>
      <c r="Y408" s="9">
        <v>0.8</v>
      </c>
      <c r="Z408" s="9">
        <v>0.8</v>
      </c>
      <c r="AA408" s="9">
        <v>0.8</v>
      </c>
    </row>
    <row r="409" spans="12:27">
      <c r="L409" s="1" t="s">
        <v>1923</v>
      </c>
      <c r="M409" s="1" t="s">
        <v>1780</v>
      </c>
      <c r="N409" s="1" t="s">
        <v>1774</v>
      </c>
      <c r="O409" s="1" t="str">
        <f t="shared" si="6"/>
        <v>CA Assessment_HLGPL_Self-occupation</v>
      </c>
      <c r="P409" s="6">
        <v>5000000</v>
      </c>
      <c r="Q409" s="6">
        <v>25000000</v>
      </c>
      <c r="R409" s="6">
        <v>240</v>
      </c>
      <c r="S409" s="6">
        <v>240</v>
      </c>
      <c r="T409" s="9">
        <v>0.6</v>
      </c>
      <c r="U409" s="9">
        <v>0.6</v>
      </c>
      <c r="V409" s="9">
        <v>0.6</v>
      </c>
      <c r="W409" s="9">
        <v>0.6</v>
      </c>
      <c r="X409" s="9">
        <v>0.8</v>
      </c>
      <c r="Y409" s="9">
        <v>0.8</v>
      </c>
      <c r="Z409" s="9">
        <v>0.8</v>
      </c>
      <c r="AA409" s="9">
        <v>0.8</v>
      </c>
    </row>
    <row r="410" spans="12:27">
      <c r="L410" s="1" t="s">
        <v>1923</v>
      </c>
      <c r="M410" s="1" t="s">
        <v>1783</v>
      </c>
      <c r="N410" s="1" t="s">
        <v>1774</v>
      </c>
      <c r="O410" s="1" t="str">
        <f t="shared" si="6"/>
        <v>CA Assessment_HLIns_Self-occupation</v>
      </c>
      <c r="P410" s="6">
        <v>5000000</v>
      </c>
      <c r="Q410" s="6">
        <v>25000000</v>
      </c>
      <c r="R410" s="6">
        <v>240</v>
      </c>
      <c r="S410" s="6">
        <v>240</v>
      </c>
      <c r="T410" s="9">
        <v>0.6</v>
      </c>
      <c r="U410" s="9">
        <v>0.6</v>
      </c>
      <c r="V410" s="9">
        <v>0.6</v>
      </c>
      <c r="W410" s="9">
        <v>0.6</v>
      </c>
      <c r="X410" s="9">
        <v>0.8</v>
      </c>
      <c r="Y410" s="9">
        <v>0.8</v>
      </c>
      <c r="Z410" s="9">
        <v>0.8</v>
      </c>
      <c r="AA410" s="9">
        <v>0.8</v>
      </c>
    </row>
    <row r="411" spans="12:27">
      <c r="L411" s="1" t="s">
        <v>1923</v>
      </c>
      <c r="M411" s="1" t="s">
        <v>1773</v>
      </c>
      <c r="N411" s="1" t="s">
        <v>1787</v>
      </c>
      <c r="O411" s="1" t="str">
        <f t="shared" si="6"/>
        <v>CA Assessment_HL_Rent out</v>
      </c>
      <c r="P411" s="6">
        <v>5000000</v>
      </c>
      <c r="Q411" s="6">
        <v>25000000</v>
      </c>
      <c r="R411" s="6">
        <v>240</v>
      </c>
      <c r="S411" s="6">
        <v>240</v>
      </c>
      <c r="T411" s="9">
        <v>0.6</v>
      </c>
      <c r="U411" s="9">
        <v>0.6</v>
      </c>
      <c r="V411" s="9">
        <v>0.6</v>
      </c>
      <c r="W411" s="9">
        <v>0.6</v>
      </c>
      <c r="X411" s="9">
        <v>0.8</v>
      </c>
      <c r="Y411" s="9">
        <v>0.8</v>
      </c>
      <c r="Z411" s="9">
        <v>0.8</v>
      </c>
      <c r="AA411" s="9">
        <v>0.8</v>
      </c>
    </row>
    <row r="412" spans="12:27">
      <c r="L412" s="1" t="s">
        <v>1923</v>
      </c>
      <c r="M412" s="1" t="s">
        <v>1777</v>
      </c>
      <c r="N412" s="1" t="s">
        <v>1787</v>
      </c>
      <c r="O412" s="1" t="str">
        <f t="shared" si="6"/>
        <v>CA Assessment_HLGPLIns_Rent out</v>
      </c>
      <c r="P412" s="6">
        <v>5000000</v>
      </c>
      <c r="Q412" s="6">
        <v>25000000</v>
      </c>
      <c r="R412" s="6">
        <v>240</v>
      </c>
      <c r="S412" s="6">
        <v>240</v>
      </c>
      <c r="T412" s="9">
        <v>0.6</v>
      </c>
      <c r="U412" s="9">
        <v>0.6</v>
      </c>
      <c r="V412" s="9">
        <v>0.6</v>
      </c>
      <c r="W412" s="9">
        <v>0.6</v>
      </c>
      <c r="X412" s="9">
        <v>0.8</v>
      </c>
      <c r="Y412" s="9">
        <v>0.8</v>
      </c>
      <c r="Z412" s="9">
        <v>0.8</v>
      </c>
      <c r="AA412" s="9">
        <v>0.8</v>
      </c>
    </row>
    <row r="413" spans="12:27">
      <c r="L413" s="1" t="s">
        <v>1923</v>
      </c>
      <c r="M413" s="1" t="s">
        <v>1780</v>
      </c>
      <c r="N413" s="1" t="s">
        <v>1787</v>
      </c>
      <c r="O413" s="1" t="str">
        <f t="shared" si="6"/>
        <v>CA Assessment_HLGPL_Rent out</v>
      </c>
      <c r="P413" s="6">
        <v>5000000</v>
      </c>
      <c r="Q413" s="6">
        <v>25000000</v>
      </c>
      <c r="R413" s="6">
        <v>240</v>
      </c>
      <c r="S413" s="6">
        <v>240</v>
      </c>
      <c r="T413" s="9">
        <v>0.6</v>
      </c>
      <c r="U413" s="9">
        <v>0.6</v>
      </c>
      <c r="V413" s="9">
        <v>0.6</v>
      </c>
      <c r="W413" s="9">
        <v>0.6</v>
      </c>
      <c r="X413" s="9">
        <v>0.8</v>
      </c>
      <c r="Y413" s="9">
        <v>0.8</v>
      </c>
      <c r="Z413" s="9">
        <v>0.8</v>
      </c>
      <c r="AA413" s="9">
        <v>0.8</v>
      </c>
    </row>
    <row r="414" spans="12:27">
      <c r="L414" s="1" t="s">
        <v>1923</v>
      </c>
      <c r="M414" s="1" t="s">
        <v>1783</v>
      </c>
      <c r="N414" s="1" t="s">
        <v>1787</v>
      </c>
      <c r="O414" s="1" t="str">
        <f t="shared" si="6"/>
        <v>CA Assessment_HLIns_Rent out</v>
      </c>
      <c r="P414" s="6">
        <v>5000000</v>
      </c>
      <c r="Q414" s="6">
        <v>25000000</v>
      </c>
      <c r="R414" s="6">
        <v>240</v>
      </c>
      <c r="S414" s="6">
        <v>240</v>
      </c>
      <c r="T414" s="9">
        <v>0.6</v>
      </c>
      <c r="U414" s="9">
        <v>0.6</v>
      </c>
      <c r="V414" s="9">
        <v>0.6</v>
      </c>
      <c r="W414" s="9">
        <v>0.6</v>
      </c>
      <c r="X414" s="9">
        <v>0.8</v>
      </c>
      <c r="Y414" s="9">
        <v>0.8</v>
      </c>
      <c r="Z414" s="9">
        <v>0.8</v>
      </c>
      <c r="AA414" s="9">
        <v>0.8</v>
      </c>
    </row>
    <row r="415" spans="12:27" ht="25.5">
      <c r="L415" s="1" t="s">
        <v>1923</v>
      </c>
      <c r="M415" s="1" t="s">
        <v>1773</v>
      </c>
      <c r="N415" s="1" t="s">
        <v>1799</v>
      </c>
      <c r="O415" s="1" t="str">
        <f t="shared" si="6"/>
        <v>CA Assessment_HL_Vacant / Investment</v>
      </c>
      <c r="P415" s="6">
        <v>5000000</v>
      </c>
      <c r="Q415" s="6">
        <v>25000000</v>
      </c>
      <c r="R415" s="6">
        <v>240</v>
      </c>
      <c r="S415" s="6">
        <v>240</v>
      </c>
      <c r="T415" s="9">
        <v>0.6</v>
      </c>
      <c r="U415" s="9">
        <v>0.6</v>
      </c>
      <c r="V415" s="9">
        <v>0.6</v>
      </c>
      <c r="W415" s="9">
        <v>0.6</v>
      </c>
      <c r="X415" s="9">
        <v>0.75</v>
      </c>
      <c r="Y415" s="9">
        <v>0.75</v>
      </c>
      <c r="Z415" s="9">
        <v>0.75</v>
      </c>
      <c r="AA415" s="9">
        <v>0.75</v>
      </c>
    </row>
    <row r="416" spans="12:27" ht="25.5">
      <c r="L416" s="1" t="s">
        <v>1923</v>
      </c>
      <c r="M416" s="1" t="s">
        <v>1777</v>
      </c>
      <c r="N416" s="1" t="s">
        <v>1799</v>
      </c>
      <c r="O416" s="1" t="str">
        <f t="shared" si="6"/>
        <v>CA Assessment_HLGPLIns_Vacant / Investment</v>
      </c>
      <c r="P416" s="6">
        <v>5000000</v>
      </c>
      <c r="Q416" s="6">
        <v>25000000</v>
      </c>
      <c r="R416" s="6">
        <v>240</v>
      </c>
      <c r="S416" s="6">
        <v>240</v>
      </c>
      <c r="T416" s="9">
        <v>0.6</v>
      </c>
      <c r="U416" s="9">
        <v>0.6</v>
      </c>
      <c r="V416" s="9">
        <v>0.6</v>
      </c>
      <c r="W416" s="9">
        <v>0.6</v>
      </c>
      <c r="X416" s="9">
        <v>0.75</v>
      </c>
      <c r="Y416" s="9">
        <v>0.75</v>
      </c>
      <c r="Z416" s="9">
        <v>0.75</v>
      </c>
      <c r="AA416" s="9">
        <v>0.75</v>
      </c>
    </row>
    <row r="417" spans="12:27" ht="25.5">
      <c r="L417" s="1" t="s">
        <v>1923</v>
      </c>
      <c r="M417" s="1" t="s">
        <v>1780</v>
      </c>
      <c r="N417" s="1" t="s">
        <v>1799</v>
      </c>
      <c r="O417" s="1" t="str">
        <f t="shared" si="6"/>
        <v>CA Assessment_HLGPL_Vacant / Investment</v>
      </c>
      <c r="P417" s="6">
        <v>5000000</v>
      </c>
      <c r="Q417" s="6">
        <v>25000000</v>
      </c>
      <c r="R417" s="6">
        <v>240</v>
      </c>
      <c r="S417" s="6">
        <v>240</v>
      </c>
      <c r="T417" s="9">
        <v>0.6</v>
      </c>
      <c r="U417" s="9">
        <v>0.6</v>
      </c>
      <c r="V417" s="9">
        <v>0.6</v>
      </c>
      <c r="W417" s="9">
        <v>0.6</v>
      </c>
      <c r="X417" s="9">
        <v>0.75</v>
      </c>
      <c r="Y417" s="9">
        <v>0.75</v>
      </c>
      <c r="Z417" s="9">
        <v>0.75</v>
      </c>
      <c r="AA417" s="9">
        <v>0.75</v>
      </c>
    </row>
    <row r="418" spans="12:27" ht="25.5">
      <c r="L418" s="1" t="s">
        <v>1923</v>
      </c>
      <c r="M418" s="1" t="s">
        <v>1783</v>
      </c>
      <c r="N418" s="1" t="s">
        <v>1799</v>
      </c>
      <c r="O418" s="1" t="str">
        <f t="shared" si="6"/>
        <v>CA Assessment_HLIns_Vacant / Investment</v>
      </c>
      <c r="P418" s="6">
        <v>5000000</v>
      </c>
      <c r="Q418" s="6">
        <v>25000000</v>
      </c>
      <c r="R418" s="6">
        <v>240</v>
      </c>
      <c r="S418" s="6">
        <v>240</v>
      </c>
      <c r="T418" s="9">
        <v>0.6</v>
      </c>
      <c r="U418" s="9">
        <v>0.6</v>
      </c>
      <c r="V418" s="9">
        <v>0.6</v>
      </c>
      <c r="W418" s="9">
        <v>0.6</v>
      </c>
      <c r="X418" s="9">
        <v>0.75</v>
      </c>
      <c r="Y418" s="9">
        <v>0.75</v>
      </c>
      <c r="Z418" s="9">
        <v>0.75</v>
      </c>
      <c r="AA418" s="9">
        <v>0.75</v>
      </c>
    </row>
    <row r="419" spans="12:27">
      <c r="L419" s="1" t="s">
        <v>1923</v>
      </c>
      <c r="M419" s="1" t="s">
        <v>1812</v>
      </c>
      <c r="N419" s="1" t="s">
        <v>1774</v>
      </c>
      <c r="O419" s="1" t="str">
        <f t="shared" si="6"/>
        <v>CA Assessment_LAP_Self-occupation</v>
      </c>
      <c r="P419" s="6">
        <v>5000000</v>
      </c>
      <c r="Q419" s="6">
        <v>15000000</v>
      </c>
      <c r="R419" s="6">
        <v>180</v>
      </c>
      <c r="S419" s="6">
        <v>180</v>
      </c>
      <c r="T419" s="9">
        <v>0.6</v>
      </c>
      <c r="U419" s="9">
        <v>0.6</v>
      </c>
      <c r="V419" s="9">
        <v>0.6</v>
      </c>
      <c r="W419" s="9">
        <v>0.6</v>
      </c>
      <c r="X419" s="9">
        <v>0.7</v>
      </c>
      <c r="Y419" s="9">
        <v>0.7</v>
      </c>
      <c r="Z419" s="9">
        <v>0.73</v>
      </c>
      <c r="AA419" s="9">
        <v>0.75</v>
      </c>
    </row>
    <row r="420" spans="12:27" ht="25.5">
      <c r="L420" s="1" t="s">
        <v>1923</v>
      </c>
      <c r="M420" s="1" t="s">
        <v>1816</v>
      </c>
      <c r="N420" s="1" t="s">
        <v>1774</v>
      </c>
      <c r="O420" s="1" t="str">
        <f t="shared" si="6"/>
        <v>CA Assessment_LAPGPLIns_Self-occupation</v>
      </c>
      <c r="P420" s="6">
        <v>5000000</v>
      </c>
      <c r="Q420" s="6">
        <v>15000000</v>
      </c>
      <c r="R420" s="6">
        <v>180</v>
      </c>
      <c r="S420" s="6">
        <v>180</v>
      </c>
      <c r="T420" s="9">
        <v>0.6</v>
      </c>
      <c r="U420" s="9">
        <v>0.6</v>
      </c>
      <c r="V420" s="9">
        <v>0.6</v>
      </c>
      <c r="W420" s="9">
        <v>0.6</v>
      </c>
      <c r="X420" s="9">
        <v>0.7</v>
      </c>
      <c r="Y420" s="9">
        <v>0.7</v>
      </c>
      <c r="Z420" s="9">
        <v>0.73</v>
      </c>
      <c r="AA420" s="9">
        <v>0.75</v>
      </c>
    </row>
    <row r="421" spans="12:27" ht="25.5">
      <c r="L421" s="1" t="s">
        <v>1923</v>
      </c>
      <c r="M421" s="1" t="s">
        <v>1821</v>
      </c>
      <c r="N421" s="1" t="s">
        <v>1774</v>
      </c>
      <c r="O421" s="1" t="str">
        <f t="shared" si="6"/>
        <v>CA Assessment_LAPGPL_Self-occupation</v>
      </c>
      <c r="P421" s="6">
        <v>5000000</v>
      </c>
      <c r="Q421" s="6">
        <v>15000000</v>
      </c>
      <c r="R421" s="6">
        <v>180</v>
      </c>
      <c r="S421" s="6">
        <v>180</v>
      </c>
      <c r="T421" s="9">
        <v>0.6</v>
      </c>
      <c r="U421" s="9">
        <v>0.6</v>
      </c>
      <c r="V421" s="9">
        <v>0.6</v>
      </c>
      <c r="W421" s="9">
        <v>0.6</v>
      </c>
      <c r="X421" s="9">
        <v>0.7</v>
      </c>
      <c r="Y421" s="9">
        <v>0.7</v>
      </c>
      <c r="Z421" s="9">
        <v>0.73</v>
      </c>
      <c r="AA421" s="9">
        <v>0.75</v>
      </c>
    </row>
    <row r="422" spans="12:27" ht="25.5">
      <c r="L422" s="1" t="s">
        <v>1923</v>
      </c>
      <c r="M422" s="1" t="s">
        <v>1824</v>
      </c>
      <c r="N422" s="1" t="s">
        <v>1774</v>
      </c>
      <c r="O422" s="1" t="str">
        <f t="shared" si="6"/>
        <v>CA Assessment_LAPIns_Self-occupation</v>
      </c>
      <c r="P422" s="6">
        <v>5000000</v>
      </c>
      <c r="Q422" s="6">
        <v>15000000</v>
      </c>
      <c r="R422" s="6">
        <v>180</v>
      </c>
      <c r="S422" s="6">
        <v>180</v>
      </c>
      <c r="T422" s="9">
        <v>0.6</v>
      </c>
      <c r="U422" s="9">
        <v>0.6</v>
      </c>
      <c r="V422" s="9">
        <v>0.6</v>
      </c>
      <c r="W422" s="9">
        <v>0.6</v>
      </c>
      <c r="X422" s="9">
        <v>0.7</v>
      </c>
      <c r="Y422" s="9">
        <v>0.7</v>
      </c>
      <c r="Z422" s="9">
        <v>0.73</v>
      </c>
      <c r="AA422" s="9">
        <v>0.75</v>
      </c>
    </row>
    <row r="423" spans="12:27">
      <c r="L423" s="1" t="s">
        <v>1923</v>
      </c>
      <c r="M423" s="1" t="s">
        <v>1812</v>
      </c>
      <c r="N423" s="1" t="s">
        <v>1787</v>
      </c>
      <c r="O423" s="1" t="str">
        <f t="shared" si="6"/>
        <v>CA Assessment_LAP_Rent out</v>
      </c>
      <c r="P423" s="6">
        <v>5000000</v>
      </c>
      <c r="Q423" s="6">
        <v>15000000</v>
      </c>
      <c r="R423" s="6">
        <v>180</v>
      </c>
      <c r="S423" s="6">
        <v>180</v>
      </c>
      <c r="T423" s="9">
        <v>0.6</v>
      </c>
      <c r="U423" s="9">
        <v>0.6</v>
      </c>
      <c r="V423" s="9">
        <v>0.6</v>
      </c>
      <c r="W423" s="9">
        <v>0.6</v>
      </c>
      <c r="X423" s="9">
        <v>0.7</v>
      </c>
      <c r="Y423" s="9">
        <v>0.7</v>
      </c>
      <c r="Z423" s="9">
        <v>0.73</v>
      </c>
      <c r="AA423" s="9">
        <v>0.75</v>
      </c>
    </row>
    <row r="424" spans="12:27">
      <c r="L424" s="1" t="s">
        <v>1923</v>
      </c>
      <c r="M424" s="1" t="s">
        <v>1816</v>
      </c>
      <c r="N424" s="1" t="s">
        <v>1787</v>
      </c>
      <c r="O424" s="1" t="str">
        <f t="shared" si="6"/>
        <v>CA Assessment_LAPGPLIns_Rent out</v>
      </c>
      <c r="P424" s="6">
        <v>5000000</v>
      </c>
      <c r="Q424" s="6">
        <v>15000000</v>
      </c>
      <c r="R424" s="6">
        <v>180</v>
      </c>
      <c r="S424" s="6">
        <v>180</v>
      </c>
      <c r="T424" s="9">
        <v>0.6</v>
      </c>
      <c r="U424" s="9">
        <v>0.6</v>
      </c>
      <c r="V424" s="9">
        <v>0.6</v>
      </c>
      <c r="W424" s="9">
        <v>0.6</v>
      </c>
      <c r="X424" s="9">
        <v>0.7</v>
      </c>
      <c r="Y424" s="9">
        <v>0.7</v>
      </c>
      <c r="Z424" s="9">
        <v>0.73</v>
      </c>
      <c r="AA424" s="9">
        <v>0.75</v>
      </c>
    </row>
    <row r="425" spans="12:27">
      <c r="L425" s="1" t="s">
        <v>1923</v>
      </c>
      <c r="M425" s="1" t="s">
        <v>1821</v>
      </c>
      <c r="N425" s="1" t="s">
        <v>1787</v>
      </c>
      <c r="O425" s="1" t="str">
        <f t="shared" si="6"/>
        <v>CA Assessment_LAPGPL_Rent out</v>
      </c>
      <c r="P425" s="6">
        <v>5000000</v>
      </c>
      <c r="Q425" s="6">
        <v>15000000</v>
      </c>
      <c r="R425" s="6">
        <v>180</v>
      </c>
      <c r="S425" s="6">
        <v>180</v>
      </c>
      <c r="T425" s="9">
        <v>0.6</v>
      </c>
      <c r="U425" s="9">
        <v>0.6</v>
      </c>
      <c r="V425" s="9">
        <v>0.6</v>
      </c>
      <c r="W425" s="9">
        <v>0.6</v>
      </c>
      <c r="X425" s="9">
        <v>0.7</v>
      </c>
      <c r="Y425" s="9">
        <v>0.7</v>
      </c>
      <c r="Z425" s="9">
        <v>0.73</v>
      </c>
      <c r="AA425" s="9">
        <v>0.75</v>
      </c>
    </row>
    <row r="426" spans="12:27">
      <c r="L426" s="1" t="s">
        <v>1923</v>
      </c>
      <c r="M426" s="1" t="s">
        <v>1824</v>
      </c>
      <c r="N426" s="1" t="s">
        <v>1787</v>
      </c>
      <c r="O426" s="1" t="str">
        <f t="shared" si="6"/>
        <v>CA Assessment_LAPIns_Rent out</v>
      </c>
      <c r="P426" s="6">
        <v>5000000</v>
      </c>
      <c r="Q426" s="6">
        <v>15000000</v>
      </c>
      <c r="R426" s="6">
        <v>180</v>
      </c>
      <c r="S426" s="6">
        <v>180</v>
      </c>
      <c r="T426" s="9">
        <v>0.6</v>
      </c>
      <c r="U426" s="9">
        <v>0.6</v>
      </c>
      <c r="V426" s="9">
        <v>0.6</v>
      </c>
      <c r="W426" s="9">
        <v>0.6</v>
      </c>
      <c r="X426" s="9">
        <v>0.7</v>
      </c>
      <c r="Y426" s="9">
        <v>0.7</v>
      </c>
      <c r="Z426" s="9">
        <v>0.73</v>
      </c>
      <c r="AA426" s="9">
        <v>0.75</v>
      </c>
    </row>
    <row r="427" spans="12:27" ht="25.5">
      <c r="L427" s="1" t="s">
        <v>1923</v>
      </c>
      <c r="M427" s="1" t="s">
        <v>1812</v>
      </c>
      <c r="N427" s="1" t="s">
        <v>1799</v>
      </c>
      <c r="O427" s="1" t="str">
        <f t="shared" si="6"/>
        <v>CA Assessment_LAP_Vacant / Investment</v>
      </c>
      <c r="P427" s="6">
        <v>0</v>
      </c>
      <c r="Q427" s="6">
        <v>0</v>
      </c>
      <c r="R427" s="6">
        <v>0</v>
      </c>
      <c r="S427" s="6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</row>
    <row r="428" spans="12:27" ht="25.5">
      <c r="L428" s="1" t="s">
        <v>1923</v>
      </c>
      <c r="M428" s="1" t="s">
        <v>1816</v>
      </c>
      <c r="N428" s="1" t="s">
        <v>1799</v>
      </c>
      <c r="O428" s="1" t="str">
        <f t="shared" si="6"/>
        <v>CA Assessment_LAPGPLIns_Vacant / Investment</v>
      </c>
      <c r="P428" s="6">
        <v>0</v>
      </c>
      <c r="Q428" s="6">
        <v>0</v>
      </c>
      <c r="R428" s="6">
        <v>0</v>
      </c>
      <c r="S428" s="6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</row>
    <row r="429" spans="12:27" ht="25.5">
      <c r="L429" s="1" t="s">
        <v>1923</v>
      </c>
      <c r="M429" s="1" t="s">
        <v>1821</v>
      </c>
      <c r="N429" s="1" t="s">
        <v>1799</v>
      </c>
      <c r="O429" s="1" t="str">
        <f t="shared" si="6"/>
        <v>CA Assessment_LAPGPL_Vacant / Investment</v>
      </c>
      <c r="P429" s="6">
        <v>0</v>
      </c>
      <c r="Q429" s="6">
        <v>0</v>
      </c>
      <c r="R429" s="6">
        <v>0</v>
      </c>
      <c r="S429" s="6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</row>
    <row r="430" spans="12:27" ht="25.5">
      <c r="L430" s="1" t="s">
        <v>1923</v>
      </c>
      <c r="M430" s="1" t="s">
        <v>1824</v>
      </c>
      <c r="N430" s="1" t="s">
        <v>1799</v>
      </c>
      <c r="O430" s="1" t="str">
        <f t="shared" si="6"/>
        <v>CA Assessment_LAPIns_Vacant / Investment</v>
      </c>
      <c r="P430" s="6">
        <v>0</v>
      </c>
      <c r="Q430" s="6">
        <v>0</v>
      </c>
      <c r="R430" s="6">
        <v>0</v>
      </c>
      <c r="S430" s="6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</row>
    <row r="431" spans="12:27">
      <c r="L431" s="1" t="s">
        <v>1923</v>
      </c>
      <c r="M431" s="1" t="s">
        <v>1852</v>
      </c>
      <c r="N431" s="1" t="s">
        <v>1774</v>
      </c>
      <c r="O431" s="1" t="str">
        <f t="shared" si="6"/>
        <v>CA Assessment_Indl_Self-occupation</v>
      </c>
      <c r="P431" s="6">
        <v>0</v>
      </c>
      <c r="Q431" s="6">
        <v>0</v>
      </c>
      <c r="R431" s="6">
        <v>0</v>
      </c>
      <c r="S431" s="6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</row>
    <row r="432" spans="12:27" ht="25.5">
      <c r="L432" s="1" t="s">
        <v>1923</v>
      </c>
      <c r="M432" s="1" t="s">
        <v>1856</v>
      </c>
      <c r="N432" s="1" t="s">
        <v>1774</v>
      </c>
      <c r="O432" s="1" t="str">
        <f t="shared" si="6"/>
        <v>CA Assessment_IndlGPLIns_Self-occupation</v>
      </c>
      <c r="P432" s="6">
        <v>0</v>
      </c>
      <c r="Q432" s="6">
        <v>0</v>
      </c>
      <c r="R432" s="6">
        <v>0</v>
      </c>
      <c r="S432" s="6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</row>
    <row r="433" spans="12:27" ht="25.5">
      <c r="L433" s="1" t="s">
        <v>1923</v>
      </c>
      <c r="M433" s="1" t="s">
        <v>1860</v>
      </c>
      <c r="N433" s="1" t="s">
        <v>1774</v>
      </c>
      <c r="O433" s="1" t="str">
        <f t="shared" si="6"/>
        <v>CA Assessment_IndlGPL_Self-occupation</v>
      </c>
      <c r="P433" s="6">
        <v>0</v>
      </c>
      <c r="Q433" s="6">
        <v>0</v>
      </c>
      <c r="R433" s="6">
        <v>0</v>
      </c>
      <c r="S433" s="6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</row>
    <row r="434" spans="12:27" ht="25.5">
      <c r="L434" s="1" t="s">
        <v>1923</v>
      </c>
      <c r="M434" s="1" t="s">
        <v>1864</v>
      </c>
      <c r="N434" s="1" t="s">
        <v>1774</v>
      </c>
      <c r="O434" s="1" t="str">
        <f t="shared" si="6"/>
        <v>CA Assessment_IndlIns_Self-occupation</v>
      </c>
      <c r="P434" s="6">
        <v>0</v>
      </c>
      <c r="Q434" s="6">
        <v>0</v>
      </c>
      <c r="R434" s="6">
        <v>0</v>
      </c>
      <c r="S434" s="6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</row>
    <row r="435" spans="12:27">
      <c r="L435" s="1" t="s">
        <v>1923</v>
      </c>
      <c r="M435" s="1" t="s">
        <v>1852</v>
      </c>
      <c r="N435" s="1" t="s">
        <v>1787</v>
      </c>
      <c r="O435" s="1" t="str">
        <f t="shared" si="6"/>
        <v>CA Assessment_Indl_Rent out</v>
      </c>
      <c r="P435" s="6">
        <v>0</v>
      </c>
      <c r="Q435" s="6">
        <v>0</v>
      </c>
      <c r="R435" s="6">
        <v>0</v>
      </c>
      <c r="S435" s="6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</row>
    <row r="436" spans="12:27">
      <c r="L436" s="1" t="s">
        <v>1923</v>
      </c>
      <c r="M436" s="1" t="s">
        <v>1856</v>
      </c>
      <c r="N436" s="1" t="s">
        <v>1787</v>
      </c>
      <c r="O436" s="1" t="str">
        <f t="shared" si="6"/>
        <v>CA Assessment_IndlGPLIns_Rent out</v>
      </c>
      <c r="P436" s="6">
        <v>0</v>
      </c>
      <c r="Q436" s="6">
        <v>0</v>
      </c>
      <c r="R436" s="6">
        <v>0</v>
      </c>
      <c r="S436" s="6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</row>
    <row r="437" spans="12:27">
      <c r="L437" s="1" t="s">
        <v>1923</v>
      </c>
      <c r="M437" s="1" t="s">
        <v>1860</v>
      </c>
      <c r="N437" s="1" t="s">
        <v>1787</v>
      </c>
      <c r="O437" s="1" t="str">
        <f t="shared" si="6"/>
        <v>CA Assessment_IndlGPL_Rent out</v>
      </c>
      <c r="P437" s="6">
        <v>0</v>
      </c>
      <c r="Q437" s="6">
        <v>0</v>
      </c>
      <c r="R437" s="6">
        <v>0</v>
      </c>
      <c r="S437" s="6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</row>
    <row r="438" spans="12:27">
      <c r="L438" s="1" t="s">
        <v>1923</v>
      </c>
      <c r="M438" s="1" t="s">
        <v>1864</v>
      </c>
      <c r="N438" s="1" t="s">
        <v>1787</v>
      </c>
      <c r="O438" s="1" t="str">
        <f t="shared" si="6"/>
        <v>CA Assessment_IndlIns_Rent out</v>
      </c>
      <c r="P438" s="6">
        <v>0</v>
      </c>
      <c r="Q438" s="6">
        <v>0</v>
      </c>
      <c r="R438" s="6">
        <v>0</v>
      </c>
      <c r="S438" s="6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</row>
    <row r="439" spans="12:27" ht="25.5">
      <c r="L439" s="1" t="s">
        <v>1923</v>
      </c>
      <c r="M439" s="1" t="s">
        <v>1852</v>
      </c>
      <c r="N439" s="1" t="s">
        <v>1799</v>
      </c>
      <c r="O439" s="1" t="str">
        <f t="shared" si="6"/>
        <v>CA Assessment_Indl_Vacant / Investment</v>
      </c>
      <c r="P439" s="6">
        <v>0</v>
      </c>
      <c r="Q439" s="6">
        <v>0</v>
      </c>
      <c r="R439" s="6">
        <v>0</v>
      </c>
      <c r="S439" s="6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</row>
    <row r="440" spans="12:27" ht="25.5">
      <c r="L440" s="1" t="s">
        <v>1923</v>
      </c>
      <c r="M440" s="1" t="s">
        <v>1856</v>
      </c>
      <c r="N440" s="1" t="s">
        <v>1799</v>
      </c>
      <c r="O440" s="1" t="str">
        <f t="shared" si="6"/>
        <v>CA Assessment_IndlGPLIns_Vacant / Investment</v>
      </c>
      <c r="P440" s="6">
        <v>0</v>
      </c>
      <c r="Q440" s="6">
        <v>0</v>
      </c>
      <c r="R440" s="6">
        <v>0</v>
      </c>
      <c r="S440" s="6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</row>
    <row r="441" spans="12:27" ht="25.5">
      <c r="L441" s="1" t="s">
        <v>1923</v>
      </c>
      <c r="M441" s="1" t="s">
        <v>1860</v>
      </c>
      <c r="N441" s="1" t="s">
        <v>1799</v>
      </c>
      <c r="O441" s="1" t="str">
        <f t="shared" si="6"/>
        <v>CA Assessment_IndlGPL_Vacant / Investment</v>
      </c>
      <c r="P441" s="6">
        <v>0</v>
      </c>
      <c r="Q441" s="6">
        <v>0</v>
      </c>
      <c r="R441" s="6">
        <v>0</v>
      </c>
      <c r="S441" s="6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</row>
    <row r="442" spans="12:27" ht="25.5">
      <c r="L442" s="1" t="s">
        <v>1923</v>
      </c>
      <c r="M442" s="1" t="s">
        <v>1864</v>
      </c>
      <c r="N442" s="1" t="s">
        <v>1799</v>
      </c>
      <c r="O442" s="1" t="str">
        <f t="shared" si="6"/>
        <v>CA Assessment_IndlIns_Vacant / Investment</v>
      </c>
      <c r="P442" s="6">
        <v>0</v>
      </c>
      <c r="Q442" s="6">
        <v>0</v>
      </c>
      <c r="R442" s="6">
        <v>0</v>
      </c>
      <c r="S442" s="6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</row>
    <row r="443" spans="12:27">
      <c r="L443" s="1" t="s">
        <v>1923</v>
      </c>
      <c r="M443" s="1" t="s">
        <v>1890</v>
      </c>
      <c r="N443" s="1" t="s">
        <v>1774</v>
      </c>
      <c r="O443" s="1" t="str">
        <f t="shared" si="6"/>
        <v>CA Assessment_GPL_Self-occupation</v>
      </c>
      <c r="P443" s="6">
        <v>1</v>
      </c>
      <c r="Q443" s="6">
        <v>4000000</v>
      </c>
      <c r="R443" s="6">
        <v>0</v>
      </c>
      <c r="S443" s="6">
        <v>120</v>
      </c>
      <c r="T443" s="9">
        <v>0</v>
      </c>
      <c r="U443" s="9">
        <v>0</v>
      </c>
      <c r="V443" s="9">
        <v>0</v>
      </c>
      <c r="W443" s="9">
        <v>0.6</v>
      </c>
      <c r="X443" s="9">
        <v>0.1</v>
      </c>
      <c r="Y443" s="9">
        <v>0</v>
      </c>
      <c r="Z443" s="9">
        <v>0</v>
      </c>
      <c r="AA443" s="9">
        <v>0.1</v>
      </c>
    </row>
    <row r="444" spans="12:27" ht="25.5">
      <c r="L444" s="1" t="s">
        <v>1923</v>
      </c>
      <c r="M444" s="1" t="s">
        <v>1893</v>
      </c>
      <c r="N444" s="1" t="s">
        <v>1774</v>
      </c>
      <c r="O444" s="1" t="str">
        <f t="shared" si="6"/>
        <v>CA Assessment_GPLIns_Self-occupation</v>
      </c>
      <c r="P444" s="6">
        <v>1</v>
      </c>
      <c r="Q444" s="6">
        <v>4000000</v>
      </c>
      <c r="R444" s="6">
        <v>0</v>
      </c>
      <c r="S444" s="6">
        <v>120</v>
      </c>
      <c r="T444" s="9">
        <v>0</v>
      </c>
      <c r="U444" s="9">
        <v>0</v>
      </c>
      <c r="V444" s="9">
        <v>0</v>
      </c>
      <c r="W444" s="9">
        <v>0.6</v>
      </c>
      <c r="X444" s="9">
        <v>0.1</v>
      </c>
      <c r="Y444" s="9">
        <v>0</v>
      </c>
      <c r="Z444" s="9">
        <v>0</v>
      </c>
      <c r="AA444" s="9">
        <v>0.1</v>
      </c>
    </row>
    <row r="445" spans="12:27">
      <c r="L445" s="1" t="s">
        <v>1923</v>
      </c>
      <c r="M445" s="1" t="s">
        <v>1897</v>
      </c>
      <c r="N445" s="1" t="s">
        <v>1774</v>
      </c>
      <c r="O445" s="1" t="str">
        <f t="shared" si="6"/>
        <v>CA Assessment_Ins_Self-occupation</v>
      </c>
      <c r="P445" s="6">
        <v>1</v>
      </c>
      <c r="Q445" s="6">
        <v>10000000</v>
      </c>
      <c r="R445" s="6">
        <v>240</v>
      </c>
      <c r="S445" s="6">
        <v>240</v>
      </c>
      <c r="T445" s="9">
        <v>0.6</v>
      </c>
      <c r="U445" s="9">
        <v>0.6</v>
      </c>
      <c r="V445" s="9">
        <v>0.6</v>
      </c>
      <c r="W445" s="9">
        <v>0.6</v>
      </c>
      <c r="X445" s="9">
        <v>0.05</v>
      </c>
      <c r="Y445" s="9">
        <v>0.05</v>
      </c>
      <c r="Z445" s="9">
        <v>0.05</v>
      </c>
      <c r="AA445" s="9">
        <v>0.05</v>
      </c>
    </row>
    <row r="446" spans="12:27">
      <c r="L446" s="1" t="s">
        <v>1923</v>
      </c>
      <c r="M446" s="1" t="s">
        <v>1890</v>
      </c>
      <c r="N446" s="1" t="s">
        <v>1787</v>
      </c>
      <c r="O446" s="1" t="str">
        <f t="shared" si="6"/>
        <v>CA Assessment_GPL_Rent out</v>
      </c>
      <c r="P446" s="6">
        <v>1</v>
      </c>
      <c r="Q446" s="6">
        <v>4000000</v>
      </c>
      <c r="R446" s="6">
        <v>0</v>
      </c>
      <c r="S446" s="6">
        <v>120</v>
      </c>
      <c r="T446" s="9">
        <v>0</v>
      </c>
      <c r="U446" s="9">
        <v>0</v>
      </c>
      <c r="V446" s="9">
        <v>0</v>
      </c>
      <c r="W446" s="9">
        <v>0.6</v>
      </c>
      <c r="X446" s="9">
        <v>0.1</v>
      </c>
      <c r="Y446" s="9">
        <v>0</v>
      </c>
      <c r="Z446" s="9">
        <v>0</v>
      </c>
      <c r="AA446" s="9">
        <v>0.1</v>
      </c>
    </row>
    <row r="447" spans="12:27">
      <c r="L447" s="1" t="s">
        <v>1923</v>
      </c>
      <c r="M447" s="1" t="s">
        <v>1893</v>
      </c>
      <c r="N447" s="1" t="s">
        <v>1787</v>
      </c>
      <c r="O447" s="1" t="str">
        <f t="shared" si="6"/>
        <v>CA Assessment_GPLIns_Rent out</v>
      </c>
      <c r="P447" s="6">
        <v>1</v>
      </c>
      <c r="Q447" s="6">
        <v>4000000</v>
      </c>
      <c r="R447" s="6">
        <v>0</v>
      </c>
      <c r="S447" s="6">
        <v>120</v>
      </c>
      <c r="T447" s="9">
        <v>0</v>
      </c>
      <c r="U447" s="9">
        <v>0</v>
      </c>
      <c r="V447" s="9">
        <v>0</v>
      </c>
      <c r="W447" s="9">
        <v>0.6</v>
      </c>
      <c r="X447" s="9">
        <v>0.1</v>
      </c>
      <c r="Y447" s="9">
        <v>0</v>
      </c>
      <c r="Z447" s="9">
        <v>0</v>
      </c>
      <c r="AA447" s="9">
        <v>0.1</v>
      </c>
    </row>
    <row r="448" spans="12:27">
      <c r="L448" s="1" t="s">
        <v>1923</v>
      </c>
      <c r="M448" s="1" t="s">
        <v>1897</v>
      </c>
      <c r="N448" s="1" t="s">
        <v>1787</v>
      </c>
      <c r="O448" s="1" t="str">
        <f t="shared" si="6"/>
        <v>CA Assessment_Ins_Rent out</v>
      </c>
      <c r="P448" s="6">
        <v>1</v>
      </c>
      <c r="Q448" s="6">
        <v>10000000</v>
      </c>
      <c r="R448" s="6">
        <v>240</v>
      </c>
      <c r="S448" s="6">
        <v>240</v>
      </c>
      <c r="T448" s="9">
        <v>0.6</v>
      </c>
      <c r="U448" s="9">
        <v>0.6</v>
      </c>
      <c r="V448" s="9">
        <v>0.6</v>
      </c>
      <c r="W448" s="9">
        <v>0.6</v>
      </c>
      <c r="X448" s="9">
        <v>0.05</v>
      </c>
      <c r="Y448" s="9">
        <v>0.05</v>
      </c>
      <c r="Z448" s="9">
        <v>0.05</v>
      </c>
      <c r="AA448" s="9">
        <v>0.05</v>
      </c>
    </row>
    <row r="449" spans="12:27" ht="25.5">
      <c r="L449" s="1" t="s">
        <v>1923</v>
      </c>
      <c r="M449" s="1" t="s">
        <v>1890</v>
      </c>
      <c r="N449" s="1" t="s">
        <v>1799</v>
      </c>
      <c r="O449" s="1" t="str">
        <f t="shared" si="6"/>
        <v>CA Assessment_GPL_Vacant / Investment</v>
      </c>
      <c r="P449" s="6">
        <v>0</v>
      </c>
      <c r="Q449" s="6">
        <v>0</v>
      </c>
      <c r="R449" s="6">
        <v>0</v>
      </c>
      <c r="S449" s="6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</row>
    <row r="450" spans="12:27" ht="25.5">
      <c r="L450" s="1" t="s">
        <v>1923</v>
      </c>
      <c r="M450" s="1" t="s">
        <v>1893</v>
      </c>
      <c r="N450" s="1" t="s">
        <v>1799</v>
      </c>
      <c r="O450" s="1" t="str">
        <f t="shared" si="6"/>
        <v>CA Assessment_GPLIns_Vacant / Investment</v>
      </c>
      <c r="P450" s="6">
        <v>0</v>
      </c>
      <c r="Q450" s="6">
        <v>0</v>
      </c>
      <c r="R450" s="6">
        <v>0</v>
      </c>
      <c r="S450" s="6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</row>
    <row r="451" spans="12:27" ht="25.5">
      <c r="L451" s="1" t="s">
        <v>1923</v>
      </c>
      <c r="M451" s="1" t="s">
        <v>1897</v>
      </c>
      <c r="N451" s="1" t="s">
        <v>1799</v>
      </c>
      <c r="O451" s="1" t="str">
        <f t="shared" ref="O451:O514" si="7">CONCATENATE(L451,"_",M451,"_",N451)</f>
        <v>CA Assessment_Ins_Vacant / Investment</v>
      </c>
      <c r="P451" s="6">
        <v>0</v>
      </c>
      <c r="Q451" s="6">
        <v>0</v>
      </c>
      <c r="R451" s="6">
        <v>0</v>
      </c>
      <c r="S451" s="6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</row>
    <row r="452" spans="12:27" ht="25.5">
      <c r="L452" s="1" t="s">
        <v>1926</v>
      </c>
      <c r="M452" s="1" t="s">
        <v>1773</v>
      </c>
      <c r="N452" s="1" t="s">
        <v>1774</v>
      </c>
      <c r="O452" s="1" t="str">
        <f t="shared" si="7"/>
        <v>Pure Rental Program_HL_Self-occupation</v>
      </c>
      <c r="P452" s="6">
        <v>1</v>
      </c>
      <c r="Q452" s="6">
        <v>20000000</v>
      </c>
      <c r="R452" s="6">
        <v>120</v>
      </c>
      <c r="S452" s="6">
        <v>120</v>
      </c>
      <c r="T452" s="9">
        <v>0.6</v>
      </c>
      <c r="U452" s="9">
        <v>0.6</v>
      </c>
      <c r="V452" s="9">
        <v>0.6</v>
      </c>
      <c r="W452" s="9">
        <v>0.6</v>
      </c>
      <c r="X452" s="9">
        <v>0.9</v>
      </c>
      <c r="Y452" s="9">
        <v>0.9</v>
      </c>
      <c r="Z452" s="9">
        <v>0.9</v>
      </c>
      <c r="AA452" s="9">
        <v>0.9</v>
      </c>
    </row>
    <row r="453" spans="12:27" ht="25.5">
      <c r="L453" s="1" t="s">
        <v>1926</v>
      </c>
      <c r="M453" s="1" t="s">
        <v>1777</v>
      </c>
      <c r="N453" s="1" t="s">
        <v>1774</v>
      </c>
      <c r="O453" s="1" t="str">
        <f t="shared" si="7"/>
        <v>Pure Rental Program_HLGPLIns_Self-occupation</v>
      </c>
      <c r="P453" s="6">
        <v>1</v>
      </c>
      <c r="Q453" s="6">
        <v>20000000</v>
      </c>
      <c r="R453" s="6">
        <v>120</v>
      </c>
      <c r="S453" s="6">
        <v>120</v>
      </c>
      <c r="T453" s="9">
        <v>0.6</v>
      </c>
      <c r="U453" s="9">
        <v>0.6</v>
      </c>
      <c r="V453" s="9">
        <v>0.6</v>
      </c>
      <c r="W453" s="9">
        <v>0.6</v>
      </c>
      <c r="X453" s="9">
        <v>0.9</v>
      </c>
      <c r="Y453" s="9">
        <v>0.9</v>
      </c>
      <c r="Z453" s="9">
        <v>0.9</v>
      </c>
      <c r="AA453" s="9">
        <v>0.9</v>
      </c>
    </row>
    <row r="454" spans="12:27" ht="25.5">
      <c r="L454" s="1" t="s">
        <v>1926</v>
      </c>
      <c r="M454" s="1" t="s">
        <v>1780</v>
      </c>
      <c r="N454" s="1" t="s">
        <v>1774</v>
      </c>
      <c r="O454" s="1" t="str">
        <f t="shared" si="7"/>
        <v>Pure Rental Program_HLGPL_Self-occupation</v>
      </c>
      <c r="P454" s="6">
        <v>1</v>
      </c>
      <c r="Q454" s="6">
        <v>20000000</v>
      </c>
      <c r="R454" s="6">
        <v>120</v>
      </c>
      <c r="S454" s="6">
        <v>120</v>
      </c>
      <c r="T454" s="9">
        <v>0.6</v>
      </c>
      <c r="U454" s="9">
        <v>0.6</v>
      </c>
      <c r="V454" s="9">
        <v>0.6</v>
      </c>
      <c r="W454" s="9">
        <v>0.6</v>
      </c>
      <c r="X454" s="9">
        <v>0.9</v>
      </c>
      <c r="Y454" s="9">
        <v>0.9</v>
      </c>
      <c r="Z454" s="9">
        <v>0.9</v>
      </c>
      <c r="AA454" s="9">
        <v>0.9</v>
      </c>
    </row>
    <row r="455" spans="12:27" ht="25.5">
      <c r="L455" s="1" t="s">
        <v>1926</v>
      </c>
      <c r="M455" s="1" t="s">
        <v>1783</v>
      </c>
      <c r="N455" s="1" t="s">
        <v>1774</v>
      </c>
      <c r="O455" s="1" t="str">
        <f t="shared" si="7"/>
        <v>Pure Rental Program_HLIns_Self-occupation</v>
      </c>
      <c r="P455" s="6">
        <v>1</v>
      </c>
      <c r="Q455" s="6">
        <v>20000000</v>
      </c>
      <c r="R455" s="6">
        <v>120</v>
      </c>
      <c r="S455" s="6">
        <v>120</v>
      </c>
      <c r="T455" s="9">
        <v>0.6</v>
      </c>
      <c r="U455" s="9">
        <v>0.6</v>
      </c>
      <c r="V455" s="9">
        <v>0.6</v>
      </c>
      <c r="W455" s="9">
        <v>0.6</v>
      </c>
      <c r="X455" s="9">
        <v>0.9</v>
      </c>
      <c r="Y455" s="9">
        <v>0.9</v>
      </c>
      <c r="Z455" s="9">
        <v>0.9</v>
      </c>
      <c r="AA455" s="9">
        <v>0.9</v>
      </c>
    </row>
    <row r="456" spans="12:27">
      <c r="L456" s="1" t="s">
        <v>1926</v>
      </c>
      <c r="M456" s="1" t="s">
        <v>1773</v>
      </c>
      <c r="N456" s="1" t="s">
        <v>1787</v>
      </c>
      <c r="O456" s="1" t="str">
        <f t="shared" si="7"/>
        <v>Pure Rental Program_HL_Rent out</v>
      </c>
      <c r="P456" s="6">
        <v>1</v>
      </c>
      <c r="Q456" s="6">
        <v>20000000</v>
      </c>
      <c r="R456" s="6">
        <v>120</v>
      </c>
      <c r="S456" s="6">
        <v>120</v>
      </c>
      <c r="T456" s="9">
        <v>0.6</v>
      </c>
      <c r="U456" s="9">
        <v>0.6</v>
      </c>
      <c r="V456" s="9">
        <v>0.6</v>
      </c>
      <c r="W456" s="9">
        <v>0.6</v>
      </c>
      <c r="X456" s="9">
        <v>0.9</v>
      </c>
      <c r="Y456" s="9">
        <v>0.9</v>
      </c>
      <c r="Z456" s="9">
        <v>0.9</v>
      </c>
      <c r="AA456" s="9">
        <v>0.9</v>
      </c>
    </row>
    <row r="457" spans="12:27" ht="25.5">
      <c r="L457" s="1" t="s">
        <v>1926</v>
      </c>
      <c r="M457" s="1" t="s">
        <v>1777</v>
      </c>
      <c r="N457" s="1" t="s">
        <v>1787</v>
      </c>
      <c r="O457" s="1" t="str">
        <f t="shared" si="7"/>
        <v>Pure Rental Program_HLGPLIns_Rent out</v>
      </c>
      <c r="P457" s="6">
        <v>1</v>
      </c>
      <c r="Q457" s="6">
        <v>20000000</v>
      </c>
      <c r="R457" s="6">
        <v>120</v>
      </c>
      <c r="S457" s="6">
        <v>120</v>
      </c>
      <c r="T457" s="9">
        <v>0.6</v>
      </c>
      <c r="U457" s="9">
        <v>0.6</v>
      </c>
      <c r="V457" s="9">
        <v>0.6</v>
      </c>
      <c r="W457" s="9">
        <v>0.6</v>
      </c>
      <c r="X457" s="9">
        <v>0.9</v>
      </c>
      <c r="Y457" s="9">
        <v>0.9</v>
      </c>
      <c r="Z457" s="9">
        <v>0.9</v>
      </c>
      <c r="AA457" s="9">
        <v>0.9</v>
      </c>
    </row>
    <row r="458" spans="12:27">
      <c r="L458" s="1" t="s">
        <v>1926</v>
      </c>
      <c r="M458" s="1" t="s">
        <v>1780</v>
      </c>
      <c r="N458" s="1" t="s">
        <v>1787</v>
      </c>
      <c r="O458" s="1" t="str">
        <f t="shared" si="7"/>
        <v>Pure Rental Program_HLGPL_Rent out</v>
      </c>
      <c r="P458" s="6">
        <v>1</v>
      </c>
      <c r="Q458" s="6">
        <v>20000000</v>
      </c>
      <c r="R458" s="6">
        <v>120</v>
      </c>
      <c r="S458" s="6">
        <v>120</v>
      </c>
      <c r="T458" s="9">
        <v>0.6</v>
      </c>
      <c r="U458" s="9">
        <v>0.6</v>
      </c>
      <c r="V458" s="9">
        <v>0.6</v>
      </c>
      <c r="W458" s="9">
        <v>0.6</v>
      </c>
      <c r="X458" s="9">
        <v>0.9</v>
      </c>
      <c r="Y458" s="9">
        <v>0.9</v>
      </c>
      <c r="Z458" s="9">
        <v>0.9</v>
      </c>
      <c r="AA458" s="9">
        <v>0.9</v>
      </c>
    </row>
    <row r="459" spans="12:27">
      <c r="L459" s="1" t="s">
        <v>1926</v>
      </c>
      <c r="M459" s="1" t="s">
        <v>1783</v>
      </c>
      <c r="N459" s="1" t="s">
        <v>1787</v>
      </c>
      <c r="O459" s="1" t="str">
        <f t="shared" si="7"/>
        <v>Pure Rental Program_HLIns_Rent out</v>
      </c>
      <c r="P459" s="6">
        <v>1</v>
      </c>
      <c r="Q459" s="6">
        <v>20000000</v>
      </c>
      <c r="R459" s="6">
        <v>120</v>
      </c>
      <c r="S459" s="6">
        <v>120</v>
      </c>
      <c r="T459" s="9">
        <v>0.6</v>
      </c>
      <c r="U459" s="9">
        <v>0.6</v>
      </c>
      <c r="V459" s="9">
        <v>0.6</v>
      </c>
      <c r="W459" s="9">
        <v>0.6</v>
      </c>
      <c r="X459" s="9">
        <v>0.9</v>
      </c>
      <c r="Y459" s="9">
        <v>0.9</v>
      </c>
      <c r="Z459" s="9">
        <v>0.9</v>
      </c>
      <c r="AA459" s="9">
        <v>0.9</v>
      </c>
    </row>
    <row r="460" spans="12:27" ht="25.5">
      <c r="L460" s="1" t="s">
        <v>1926</v>
      </c>
      <c r="M460" s="1" t="s">
        <v>1773</v>
      </c>
      <c r="N460" s="1" t="s">
        <v>1799</v>
      </c>
      <c r="O460" s="1" t="str">
        <f t="shared" si="7"/>
        <v>Pure Rental Program_HL_Vacant / Investment</v>
      </c>
      <c r="P460" s="6">
        <v>1</v>
      </c>
      <c r="Q460" s="6">
        <v>20000000</v>
      </c>
      <c r="R460" s="6">
        <v>120</v>
      </c>
      <c r="S460" s="6">
        <v>120</v>
      </c>
      <c r="T460" s="9">
        <v>0.6</v>
      </c>
      <c r="U460" s="9">
        <v>0.6</v>
      </c>
      <c r="V460" s="9">
        <v>0.6</v>
      </c>
      <c r="W460" s="9">
        <v>0.6</v>
      </c>
      <c r="X460" s="9">
        <v>0.85</v>
      </c>
      <c r="Y460" s="9">
        <v>0.85</v>
      </c>
      <c r="Z460" s="9">
        <v>0.85</v>
      </c>
      <c r="AA460" s="9">
        <v>0.85</v>
      </c>
    </row>
    <row r="461" spans="12:27" ht="25.5">
      <c r="L461" s="1" t="s">
        <v>1926</v>
      </c>
      <c r="M461" s="1" t="s">
        <v>1777</v>
      </c>
      <c r="N461" s="1" t="s">
        <v>1799</v>
      </c>
      <c r="O461" s="1" t="str">
        <f t="shared" si="7"/>
        <v>Pure Rental Program_HLGPLIns_Vacant / Investment</v>
      </c>
      <c r="P461" s="6">
        <v>1</v>
      </c>
      <c r="Q461" s="6">
        <v>20000000</v>
      </c>
      <c r="R461" s="6">
        <v>120</v>
      </c>
      <c r="S461" s="6">
        <v>120</v>
      </c>
      <c r="T461" s="9">
        <v>0.6</v>
      </c>
      <c r="U461" s="9">
        <v>0.6</v>
      </c>
      <c r="V461" s="9">
        <v>0.6</v>
      </c>
      <c r="W461" s="9">
        <v>0.6</v>
      </c>
      <c r="X461" s="9">
        <v>0.85</v>
      </c>
      <c r="Y461" s="9">
        <v>0.85</v>
      </c>
      <c r="Z461" s="9">
        <v>0.85</v>
      </c>
      <c r="AA461" s="9">
        <v>0.85</v>
      </c>
    </row>
    <row r="462" spans="12:27" ht="25.5">
      <c r="L462" s="1" t="s">
        <v>1926</v>
      </c>
      <c r="M462" s="1" t="s">
        <v>1780</v>
      </c>
      <c r="N462" s="1" t="s">
        <v>1799</v>
      </c>
      <c r="O462" s="1" t="str">
        <f t="shared" si="7"/>
        <v>Pure Rental Program_HLGPL_Vacant / Investment</v>
      </c>
      <c r="P462" s="6">
        <v>1</v>
      </c>
      <c r="Q462" s="6">
        <v>20000000</v>
      </c>
      <c r="R462" s="6">
        <v>120</v>
      </c>
      <c r="S462" s="6">
        <v>120</v>
      </c>
      <c r="T462" s="9">
        <v>0.6</v>
      </c>
      <c r="U462" s="9">
        <v>0.6</v>
      </c>
      <c r="V462" s="9">
        <v>0.6</v>
      </c>
      <c r="W462" s="9">
        <v>0.6</v>
      </c>
      <c r="X462" s="9">
        <v>0.85</v>
      </c>
      <c r="Y462" s="9">
        <v>0.85</v>
      </c>
      <c r="Z462" s="9">
        <v>0.85</v>
      </c>
      <c r="AA462" s="9">
        <v>0.85</v>
      </c>
    </row>
    <row r="463" spans="12:27" ht="25.5">
      <c r="L463" s="1" t="s">
        <v>1926</v>
      </c>
      <c r="M463" s="1" t="s">
        <v>1783</v>
      </c>
      <c r="N463" s="1" t="s">
        <v>1799</v>
      </c>
      <c r="O463" s="1" t="str">
        <f t="shared" si="7"/>
        <v>Pure Rental Program_HLIns_Vacant / Investment</v>
      </c>
      <c r="P463" s="6">
        <v>1</v>
      </c>
      <c r="Q463" s="6">
        <v>20000000</v>
      </c>
      <c r="R463" s="6">
        <v>120</v>
      </c>
      <c r="S463" s="6">
        <v>120</v>
      </c>
      <c r="T463" s="9">
        <v>0.6</v>
      </c>
      <c r="U463" s="9">
        <v>0.6</v>
      </c>
      <c r="V463" s="9">
        <v>0.6</v>
      </c>
      <c r="W463" s="9">
        <v>0.6</v>
      </c>
      <c r="X463" s="9">
        <v>0.85</v>
      </c>
      <c r="Y463" s="9">
        <v>0.85</v>
      </c>
      <c r="Z463" s="9">
        <v>0.85</v>
      </c>
      <c r="AA463" s="9">
        <v>0.85</v>
      </c>
    </row>
    <row r="464" spans="12:27" ht="25.5">
      <c r="L464" s="1" t="s">
        <v>1926</v>
      </c>
      <c r="M464" s="1" t="s">
        <v>1812</v>
      </c>
      <c r="N464" s="1" t="s">
        <v>1774</v>
      </c>
      <c r="O464" s="1" t="str">
        <f t="shared" si="7"/>
        <v>Pure Rental Program_LAP_Self-occupation</v>
      </c>
      <c r="P464" s="6">
        <v>1</v>
      </c>
      <c r="Q464" s="6">
        <v>20000000</v>
      </c>
      <c r="R464" s="6">
        <v>120</v>
      </c>
      <c r="S464" s="6">
        <v>120</v>
      </c>
      <c r="T464" s="9">
        <v>0.6</v>
      </c>
      <c r="U464" s="9">
        <v>0.6</v>
      </c>
      <c r="V464" s="9">
        <v>0.6</v>
      </c>
      <c r="W464" s="9">
        <v>0.6</v>
      </c>
      <c r="X464" s="9">
        <v>0.6</v>
      </c>
      <c r="Y464" s="9">
        <v>0.6</v>
      </c>
      <c r="Z464" s="9">
        <v>0.63</v>
      </c>
      <c r="AA464" s="9">
        <v>0.65</v>
      </c>
    </row>
    <row r="465" spans="12:27" ht="25.5">
      <c r="L465" s="1" t="s">
        <v>1926</v>
      </c>
      <c r="M465" s="1" t="s">
        <v>1816</v>
      </c>
      <c r="N465" s="1" t="s">
        <v>1774</v>
      </c>
      <c r="O465" s="1" t="str">
        <f t="shared" si="7"/>
        <v>Pure Rental Program_LAPGPLIns_Self-occupation</v>
      </c>
      <c r="P465" s="6">
        <v>1</v>
      </c>
      <c r="Q465" s="6">
        <v>20000000</v>
      </c>
      <c r="R465" s="6">
        <v>120</v>
      </c>
      <c r="S465" s="6">
        <v>120</v>
      </c>
      <c r="T465" s="9">
        <v>0.6</v>
      </c>
      <c r="U465" s="9">
        <v>0.6</v>
      </c>
      <c r="V465" s="9">
        <v>0.6</v>
      </c>
      <c r="W465" s="9">
        <v>0.6</v>
      </c>
      <c r="X465" s="9">
        <v>0.6</v>
      </c>
      <c r="Y465" s="9">
        <v>0.6</v>
      </c>
      <c r="Z465" s="9">
        <v>0.63</v>
      </c>
      <c r="AA465" s="9">
        <v>0.65</v>
      </c>
    </row>
    <row r="466" spans="12:27" ht="25.5">
      <c r="L466" s="1" t="s">
        <v>1926</v>
      </c>
      <c r="M466" s="1" t="s">
        <v>1821</v>
      </c>
      <c r="N466" s="1" t="s">
        <v>1774</v>
      </c>
      <c r="O466" s="1" t="str">
        <f t="shared" si="7"/>
        <v>Pure Rental Program_LAPGPL_Self-occupation</v>
      </c>
      <c r="P466" s="6">
        <v>1</v>
      </c>
      <c r="Q466" s="6">
        <v>20000000</v>
      </c>
      <c r="R466" s="6">
        <v>120</v>
      </c>
      <c r="S466" s="6">
        <v>120</v>
      </c>
      <c r="T466" s="9">
        <v>0.6</v>
      </c>
      <c r="U466" s="9">
        <v>0.6</v>
      </c>
      <c r="V466" s="9">
        <v>0.6</v>
      </c>
      <c r="W466" s="9">
        <v>0.6</v>
      </c>
      <c r="X466" s="9">
        <v>0.6</v>
      </c>
      <c r="Y466" s="9">
        <v>0.6</v>
      </c>
      <c r="Z466" s="9">
        <v>0.63</v>
      </c>
      <c r="AA466" s="9">
        <v>0.65</v>
      </c>
    </row>
    <row r="467" spans="12:27" ht="25.5">
      <c r="L467" s="1" t="s">
        <v>1926</v>
      </c>
      <c r="M467" s="1" t="s">
        <v>1824</v>
      </c>
      <c r="N467" s="1" t="s">
        <v>1774</v>
      </c>
      <c r="O467" s="1" t="str">
        <f t="shared" si="7"/>
        <v>Pure Rental Program_LAPIns_Self-occupation</v>
      </c>
      <c r="P467" s="6">
        <v>1</v>
      </c>
      <c r="Q467" s="6">
        <v>20000000</v>
      </c>
      <c r="R467" s="6">
        <v>120</v>
      </c>
      <c r="S467" s="6">
        <v>120</v>
      </c>
      <c r="T467" s="9">
        <v>0.6</v>
      </c>
      <c r="U467" s="9">
        <v>0.6</v>
      </c>
      <c r="V467" s="9">
        <v>0.6</v>
      </c>
      <c r="W467" s="9">
        <v>0.6</v>
      </c>
      <c r="X467" s="9">
        <v>0.6</v>
      </c>
      <c r="Y467" s="9">
        <v>0.6</v>
      </c>
      <c r="Z467" s="9">
        <v>0.63</v>
      </c>
      <c r="AA467" s="9">
        <v>0.65</v>
      </c>
    </row>
    <row r="468" spans="12:27">
      <c r="L468" s="1" t="s">
        <v>1926</v>
      </c>
      <c r="M468" s="1" t="s">
        <v>1812</v>
      </c>
      <c r="N468" s="1" t="s">
        <v>1787</v>
      </c>
      <c r="O468" s="1" t="str">
        <f t="shared" si="7"/>
        <v>Pure Rental Program_LAP_Rent out</v>
      </c>
      <c r="P468" s="6">
        <v>1</v>
      </c>
      <c r="Q468" s="6">
        <v>20000000</v>
      </c>
      <c r="R468" s="6">
        <v>120</v>
      </c>
      <c r="S468" s="6">
        <v>120</v>
      </c>
      <c r="T468" s="9">
        <v>0.6</v>
      </c>
      <c r="U468" s="9">
        <v>0.6</v>
      </c>
      <c r="V468" s="9">
        <v>0.6</v>
      </c>
      <c r="W468" s="9">
        <v>0.6</v>
      </c>
      <c r="X468" s="9">
        <v>0.6</v>
      </c>
      <c r="Y468" s="9">
        <v>0.6</v>
      </c>
      <c r="Z468" s="9">
        <v>0.63</v>
      </c>
      <c r="AA468" s="9">
        <v>0.65</v>
      </c>
    </row>
    <row r="469" spans="12:27" ht="25.5">
      <c r="L469" s="1" t="s">
        <v>1926</v>
      </c>
      <c r="M469" s="1" t="s">
        <v>1816</v>
      </c>
      <c r="N469" s="1" t="s">
        <v>1787</v>
      </c>
      <c r="O469" s="1" t="str">
        <f t="shared" si="7"/>
        <v>Pure Rental Program_LAPGPLIns_Rent out</v>
      </c>
      <c r="P469" s="6">
        <v>1</v>
      </c>
      <c r="Q469" s="6">
        <v>20000000</v>
      </c>
      <c r="R469" s="6">
        <v>120</v>
      </c>
      <c r="S469" s="6">
        <v>120</v>
      </c>
      <c r="T469" s="9">
        <v>0.6</v>
      </c>
      <c r="U469" s="9">
        <v>0.6</v>
      </c>
      <c r="V469" s="9">
        <v>0.6</v>
      </c>
      <c r="W469" s="9">
        <v>0.6</v>
      </c>
      <c r="X469" s="9">
        <v>0.6</v>
      </c>
      <c r="Y469" s="9">
        <v>0.6</v>
      </c>
      <c r="Z469" s="9">
        <v>0.63</v>
      </c>
      <c r="AA469" s="9">
        <v>0.65</v>
      </c>
    </row>
    <row r="470" spans="12:27">
      <c r="L470" s="1" t="s">
        <v>1926</v>
      </c>
      <c r="M470" s="1" t="s">
        <v>1821</v>
      </c>
      <c r="N470" s="1" t="s">
        <v>1787</v>
      </c>
      <c r="O470" s="1" t="str">
        <f t="shared" si="7"/>
        <v>Pure Rental Program_LAPGPL_Rent out</v>
      </c>
      <c r="P470" s="6">
        <v>1</v>
      </c>
      <c r="Q470" s="6">
        <v>20000000</v>
      </c>
      <c r="R470" s="6">
        <v>120</v>
      </c>
      <c r="S470" s="6">
        <v>120</v>
      </c>
      <c r="T470" s="9">
        <v>0.6</v>
      </c>
      <c r="U470" s="9">
        <v>0.6</v>
      </c>
      <c r="V470" s="9">
        <v>0.6</v>
      </c>
      <c r="W470" s="9">
        <v>0.6</v>
      </c>
      <c r="X470" s="9">
        <v>0.6</v>
      </c>
      <c r="Y470" s="9">
        <v>0.6</v>
      </c>
      <c r="Z470" s="9">
        <v>0.63</v>
      </c>
      <c r="AA470" s="9">
        <v>0.65</v>
      </c>
    </row>
    <row r="471" spans="12:27">
      <c r="L471" s="1" t="s">
        <v>1926</v>
      </c>
      <c r="M471" s="1" t="s">
        <v>1824</v>
      </c>
      <c r="N471" s="1" t="s">
        <v>1787</v>
      </c>
      <c r="O471" s="1" t="str">
        <f t="shared" si="7"/>
        <v>Pure Rental Program_LAPIns_Rent out</v>
      </c>
      <c r="P471" s="6">
        <v>1</v>
      </c>
      <c r="Q471" s="6">
        <v>20000000</v>
      </c>
      <c r="R471" s="6">
        <v>120</v>
      </c>
      <c r="S471" s="6">
        <v>120</v>
      </c>
      <c r="T471" s="9">
        <v>0.6</v>
      </c>
      <c r="U471" s="9">
        <v>0.6</v>
      </c>
      <c r="V471" s="9">
        <v>0.6</v>
      </c>
      <c r="W471" s="9">
        <v>0.6</v>
      </c>
      <c r="X471" s="9">
        <v>0.6</v>
      </c>
      <c r="Y471" s="9">
        <v>0.6</v>
      </c>
      <c r="Z471" s="9">
        <v>0.63</v>
      </c>
      <c r="AA471" s="9">
        <v>0.65</v>
      </c>
    </row>
    <row r="472" spans="12:27" ht="25.5">
      <c r="L472" s="1" t="s">
        <v>1926</v>
      </c>
      <c r="M472" s="1" t="s">
        <v>1812</v>
      </c>
      <c r="N472" s="1" t="s">
        <v>1799</v>
      </c>
      <c r="O472" s="1" t="str">
        <f t="shared" si="7"/>
        <v>Pure Rental Program_LAP_Vacant / Investment</v>
      </c>
      <c r="P472" s="6">
        <v>0</v>
      </c>
      <c r="Q472" s="6">
        <v>0</v>
      </c>
      <c r="R472" s="6">
        <v>0</v>
      </c>
      <c r="S472" s="6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</row>
    <row r="473" spans="12:27" ht="38.25">
      <c r="L473" s="1" t="s">
        <v>1926</v>
      </c>
      <c r="M473" s="1" t="s">
        <v>1816</v>
      </c>
      <c r="N473" s="1" t="s">
        <v>1799</v>
      </c>
      <c r="O473" s="1" t="str">
        <f t="shared" si="7"/>
        <v>Pure Rental Program_LAPGPLIns_Vacant / Investment</v>
      </c>
      <c r="P473" s="6">
        <v>0</v>
      </c>
      <c r="Q473" s="6">
        <v>0</v>
      </c>
      <c r="R473" s="6">
        <v>0</v>
      </c>
      <c r="S473" s="6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</row>
    <row r="474" spans="12:27" ht="25.5">
      <c r="L474" s="1" t="s">
        <v>1926</v>
      </c>
      <c r="M474" s="1" t="s">
        <v>1821</v>
      </c>
      <c r="N474" s="1" t="s">
        <v>1799</v>
      </c>
      <c r="O474" s="1" t="str">
        <f t="shared" si="7"/>
        <v>Pure Rental Program_LAPGPL_Vacant / Investment</v>
      </c>
      <c r="P474" s="6">
        <v>0</v>
      </c>
      <c r="Q474" s="6">
        <v>0</v>
      </c>
      <c r="R474" s="6">
        <v>0</v>
      </c>
      <c r="S474" s="6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</row>
    <row r="475" spans="12:27" ht="25.5">
      <c r="L475" s="1" t="s">
        <v>1926</v>
      </c>
      <c r="M475" s="1" t="s">
        <v>1824</v>
      </c>
      <c r="N475" s="1" t="s">
        <v>1799</v>
      </c>
      <c r="O475" s="1" t="str">
        <f t="shared" si="7"/>
        <v>Pure Rental Program_LAPIns_Vacant / Investment</v>
      </c>
      <c r="P475" s="6">
        <v>0</v>
      </c>
      <c r="Q475" s="6">
        <v>0</v>
      </c>
      <c r="R475" s="6">
        <v>0</v>
      </c>
      <c r="S475" s="6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</row>
    <row r="476" spans="12:27" ht="25.5">
      <c r="L476" s="1" t="s">
        <v>1926</v>
      </c>
      <c r="M476" s="1" t="s">
        <v>1852</v>
      </c>
      <c r="N476" s="1" t="s">
        <v>1774</v>
      </c>
      <c r="O476" s="1" t="str">
        <f t="shared" si="7"/>
        <v>Pure Rental Program_Indl_Self-occupation</v>
      </c>
      <c r="P476" s="6">
        <v>0</v>
      </c>
      <c r="Q476" s="6">
        <v>0</v>
      </c>
      <c r="R476" s="6">
        <v>0</v>
      </c>
      <c r="S476" s="6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</row>
    <row r="477" spans="12:27" ht="25.5">
      <c r="L477" s="1" t="s">
        <v>1926</v>
      </c>
      <c r="M477" s="1" t="s">
        <v>1856</v>
      </c>
      <c r="N477" s="1" t="s">
        <v>1774</v>
      </c>
      <c r="O477" s="1" t="str">
        <f t="shared" si="7"/>
        <v>Pure Rental Program_IndlGPLIns_Self-occupation</v>
      </c>
      <c r="P477" s="6">
        <v>0</v>
      </c>
      <c r="Q477" s="6">
        <v>0</v>
      </c>
      <c r="R477" s="6">
        <v>0</v>
      </c>
      <c r="S477" s="6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</row>
    <row r="478" spans="12:27" ht="25.5">
      <c r="L478" s="1" t="s">
        <v>1926</v>
      </c>
      <c r="M478" s="1" t="s">
        <v>1860</v>
      </c>
      <c r="N478" s="1" t="s">
        <v>1774</v>
      </c>
      <c r="O478" s="1" t="str">
        <f t="shared" si="7"/>
        <v>Pure Rental Program_IndlGPL_Self-occupation</v>
      </c>
      <c r="P478" s="6">
        <v>0</v>
      </c>
      <c r="Q478" s="6">
        <v>0</v>
      </c>
      <c r="R478" s="6">
        <v>0</v>
      </c>
      <c r="S478" s="6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</row>
    <row r="479" spans="12:27" ht="25.5">
      <c r="L479" s="1" t="s">
        <v>1926</v>
      </c>
      <c r="M479" s="1" t="s">
        <v>1864</v>
      </c>
      <c r="N479" s="1" t="s">
        <v>1774</v>
      </c>
      <c r="O479" s="1" t="str">
        <f t="shared" si="7"/>
        <v>Pure Rental Program_IndlIns_Self-occupation</v>
      </c>
      <c r="P479" s="6">
        <v>0</v>
      </c>
      <c r="Q479" s="6">
        <v>0</v>
      </c>
      <c r="R479" s="6">
        <v>0</v>
      </c>
      <c r="S479" s="6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</row>
    <row r="480" spans="12:27">
      <c r="L480" s="1" t="s">
        <v>1926</v>
      </c>
      <c r="M480" s="1" t="s">
        <v>1852</v>
      </c>
      <c r="N480" s="1" t="s">
        <v>1787</v>
      </c>
      <c r="O480" s="1" t="str">
        <f t="shared" si="7"/>
        <v>Pure Rental Program_Indl_Rent out</v>
      </c>
      <c r="P480" s="6">
        <v>0</v>
      </c>
      <c r="Q480" s="6">
        <v>0</v>
      </c>
      <c r="R480" s="6">
        <v>0</v>
      </c>
      <c r="S480" s="6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</row>
    <row r="481" spans="12:27" ht="25.5">
      <c r="L481" s="1" t="s">
        <v>1926</v>
      </c>
      <c r="M481" s="1" t="s">
        <v>1856</v>
      </c>
      <c r="N481" s="1" t="s">
        <v>1787</v>
      </c>
      <c r="O481" s="1" t="str">
        <f t="shared" si="7"/>
        <v>Pure Rental Program_IndlGPLIns_Rent out</v>
      </c>
      <c r="P481" s="6">
        <v>0</v>
      </c>
      <c r="Q481" s="6">
        <v>0</v>
      </c>
      <c r="R481" s="6">
        <v>0</v>
      </c>
      <c r="S481" s="6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</row>
    <row r="482" spans="12:27">
      <c r="L482" s="1" t="s">
        <v>1926</v>
      </c>
      <c r="M482" s="1" t="s">
        <v>1860</v>
      </c>
      <c r="N482" s="1" t="s">
        <v>1787</v>
      </c>
      <c r="O482" s="1" t="str">
        <f t="shared" si="7"/>
        <v>Pure Rental Program_IndlGPL_Rent out</v>
      </c>
      <c r="P482" s="6">
        <v>0</v>
      </c>
      <c r="Q482" s="6">
        <v>0</v>
      </c>
      <c r="R482" s="6">
        <v>0</v>
      </c>
      <c r="S482" s="6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</row>
    <row r="483" spans="12:27">
      <c r="L483" s="1" t="s">
        <v>1926</v>
      </c>
      <c r="M483" s="1" t="s">
        <v>1864</v>
      </c>
      <c r="N483" s="1" t="s">
        <v>1787</v>
      </c>
      <c r="O483" s="1" t="str">
        <f t="shared" si="7"/>
        <v>Pure Rental Program_IndlIns_Rent out</v>
      </c>
      <c r="P483" s="6">
        <v>0</v>
      </c>
      <c r="Q483" s="6">
        <v>0</v>
      </c>
      <c r="R483" s="6">
        <v>0</v>
      </c>
      <c r="S483" s="6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</row>
    <row r="484" spans="12:27" ht="25.5">
      <c r="L484" s="1" t="s">
        <v>1926</v>
      </c>
      <c r="M484" s="1" t="s">
        <v>1852</v>
      </c>
      <c r="N484" s="1" t="s">
        <v>1799</v>
      </c>
      <c r="O484" s="1" t="str">
        <f t="shared" si="7"/>
        <v>Pure Rental Program_Indl_Vacant / Investment</v>
      </c>
      <c r="P484" s="6">
        <v>0</v>
      </c>
      <c r="Q484" s="6">
        <v>0</v>
      </c>
      <c r="R484" s="6">
        <v>0</v>
      </c>
      <c r="S484" s="6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</row>
    <row r="485" spans="12:27" ht="38.25">
      <c r="L485" s="1" t="s">
        <v>1926</v>
      </c>
      <c r="M485" s="1" t="s">
        <v>1856</v>
      </c>
      <c r="N485" s="1" t="s">
        <v>1799</v>
      </c>
      <c r="O485" s="1" t="str">
        <f t="shared" si="7"/>
        <v>Pure Rental Program_IndlGPLIns_Vacant / Investment</v>
      </c>
      <c r="P485" s="6">
        <v>0</v>
      </c>
      <c r="Q485" s="6">
        <v>0</v>
      </c>
      <c r="R485" s="6">
        <v>0</v>
      </c>
      <c r="S485" s="6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</row>
    <row r="486" spans="12:27" ht="25.5">
      <c r="L486" s="1" t="s">
        <v>1926</v>
      </c>
      <c r="M486" s="1" t="s">
        <v>1860</v>
      </c>
      <c r="N486" s="1" t="s">
        <v>1799</v>
      </c>
      <c r="O486" s="1" t="str">
        <f t="shared" si="7"/>
        <v>Pure Rental Program_IndlGPL_Vacant / Investment</v>
      </c>
      <c r="P486" s="6">
        <v>0</v>
      </c>
      <c r="Q486" s="6">
        <v>0</v>
      </c>
      <c r="R486" s="6">
        <v>0</v>
      </c>
      <c r="S486" s="6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</row>
    <row r="487" spans="12:27" ht="25.5">
      <c r="L487" s="1" t="s">
        <v>1926</v>
      </c>
      <c r="M487" s="1" t="s">
        <v>1864</v>
      </c>
      <c r="N487" s="1" t="s">
        <v>1799</v>
      </c>
      <c r="O487" s="1" t="str">
        <f t="shared" si="7"/>
        <v>Pure Rental Program_IndlIns_Vacant / Investment</v>
      </c>
      <c r="P487" s="6">
        <v>0</v>
      </c>
      <c r="Q487" s="6">
        <v>0</v>
      </c>
      <c r="R487" s="6">
        <v>0</v>
      </c>
      <c r="S487" s="6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</row>
    <row r="488" spans="12:27" ht="25.5">
      <c r="L488" s="1" t="s">
        <v>1926</v>
      </c>
      <c r="M488" s="1" t="s">
        <v>1890</v>
      </c>
      <c r="N488" s="1" t="s">
        <v>1774</v>
      </c>
      <c r="O488" s="1" t="str">
        <f t="shared" si="7"/>
        <v>Pure Rental Program_GPL_Self-occupation</v>
      </c>
      <c r="P488" s="6">
        <v>1</v>
      </c>
      <c r="Q488" s="6">
        <v>4000000</v>
      </c>
      <c r="R488" s="6">
        <v>0</v>
      </c>
      <c r="S488" s="6">
        <v>120</v>
      </c>
      <c r="T488" s="9">
        <v>0</v>
      </c>
      <c r="U488" s="9">
        <v>0</v>
      </c>
      <c r="V488" s="9">
        <v>0</v>
      </c>
      <c r="W488" s="9">
        <v>0.6</v>
      </c>
      <c r="X488" s="9">
        <v>0.1</v>
      </c>
      <c r="Y488" s="9">
        <v>0</v>
      </c>
      <c r="Z488" s="9">
        <v>0</v>
      </c>
      <c r="AA488" s="9">
        <v>0.1</v>
      </c>
    </row>
    <row r="489" spans="12:27" ht="25.5">
      <c r="L489" s="1" t="s">
        <v>1926</v>
      </c>
      <c r="M489" s="1" t="s">
        <v>1893</v>
      </c>
      <c r="N489" s="1" t="s">
        <v>1774</v>
      </c>
      <c r="O489" s="1" t="str">
        <f t="shared" si="7"/>
        <v>Pure Rental Program_GPLIns_Self-occupation</v>
      </c>
      <c r="P489" s="6">
        <v>1</v>
      </c>
      <c r="Q489" s="6">
        <v>4000000</v>
      </c>
      <c r="R489" s="6">
        <v>0</v>
      </c>
      <c r="S489" s="6">
        <v>120</v>
      </c>
      <c r="T489" s="9">
        <v>0</v>
      </c>
      <c r="U489" s="9">
        <v>0</v>
      </c>
      <c r="V489" s="9">
        <v>0</v>
      </c>
      <c r="W489" s="9">
        <v>0.6</v>
      </c>
      <c r="X489" s="9">
        <v>0.1</v>
      </c>
      <c r="Y489" s="9">
        <v>0</v>
      </c>
      <c r="Z489" s="9">
        <v>0</v>
      </c>
      <c r="AA489" s="9">
        <v>0.1</v>
      </c>
    </row>
    <row r="490" spans="12:27" ht="25.5">
      <c r="L490" s="1" t="s">
        <v>1926</v>
      </c>
      <c r="M490" s="1" t="s">
        <v>1897</v>
      </c>
      <c r="N490" s="1" t="s">
        <v>1774</v>
      </c>
      <c r="O490" s="1" t="str">
        <f t="shared" si="7"/>
        <v>Pure Rental Program_Ins_Self-occupation</v>
      </c>
      <c r="P490" s="6">
        <v>1</v>
      </c>
      <c r="Q490" s="6">
        <v>10000000</v>
      </c>
      <c r="R490" s="6">
        <v>120</v>
      </c>
      <c r="S490" s="6">
        <v>120</v>
      </c>
      <c r="T490" s="9">
        <v>0.6</v>
      </c>
      <c r="U490" s="9">
        <v>0.6</v>
      </c>
      <c r="V490" s="9">
        <v>0.6</v>
      </c>
      <c r="W490" s="9">
        <v>0.6</v>
      </c>
      <c r="X490" s="9">
        <v>0.05</v>
      </c>
      <c r="Y490" s="9">
        <v>0.05</v>
      </c>
      <c r="Z490" s="9">
        <v>0.05</v>
      </c>
      <c r="AA490" s="9">
        <v>0.05</v>
      </c>
    </row>
    <row r="491" spans="12:27">
      <c r="L491" s="1" t="s">
        <v>1926</v>
      </c>
      <c r="M491" s="1" t="s">
        <v>1890</v>
      </c>
      <c r="N491" s="1" t="s">
        <v>1787</v>
      </c>
      <c r="O491" s="1" t="str">
        <f t="shared" si="7"/>
        <v>Pure Rental Program_GPL_Rent out</v>
      </c>
      <c r="P491" s="6">
        <v>1</v>
      </c>
      <c r="Q491" s="6">
        <v>4000000</v>
      </c>
      <c r="R491" s="6">
        <v>0</v>
      </c>
      <c r="S491" s="6">
        <v>120</v>
      </c>
      <c r="T491" s="9">
        <v>0</v>
      </c>
      <c r="U491" s="9">
        <v>0</v>
      </c>
      <c r="V491" s="9">
        <v>0</v>
      </c>
      <c r="W491" s="9">
        <v>0.6</v>
      </c>
      <c r="X491" s="9">
        <v>0.1</v>
      </c>
      <c r="Y491" s="9">
        <v>0</v>
      </c>
      <c r="Z491" s="9">
        <v>0</v>
      </c>
      <c r="AA491" s="9">
        <v>0.1</v>
      </c>
    </row>
    <row r="492" spans="12:27">
      <c r="L492" s="1" t="s">
        <v>1926</v>
      </c>
      <c r="M492" s="1" t="s">
        <v>1893</v>
      </c>
      <c r="N492" s="1" t="s">
        <v>1787</v>
      </c>
      <c r="O492" s="1" t="str">
        <f t="shared" si="7"/>
        <v>Pure Rental Program_GPLIns_Rent out</v>
      </c>
      <c r="P492" s="6">
        <v>1</v>
      </c>
      <c r="Q492" s="6">
        <v>4000000</v>
      </c>
      <c r="R492" s="6">
        <v>0</v>
      </c>
      <c r="S492" s="6">
        <v>120</v>
      </c>
      <c r="T492" s="9">
        <v>0</v>
      </c>
      <c r="U492" s="9">
        <v>0</v>
      </c>
      <c r="V492" s="9">
        <v>0</v>
      </c>
      <c r="W492" s="9">
        <v>0.6</v>
      </c>
      <c r="X492" s="9">
        <v>0.1</v>
      </c>
      <c r="Y492" s="9">
        <v>0</v>
      </c>
      <c r="Z492" s="9">
        <v>0</v>
      </c>
      <c r="AA492" s="9">
        <v>0.1</v>
      </c>
    </row>
    <row r="493" spans="12:27">
      <c r="L493" s="1" t="s">
        <v>1926</v>
      </c>
      <c r="M493" s="1" t="s">
        <v>1897</v>
      </c>
      <c r="N493" s="1" t="s">
        <v>1787</v>
      </c>
      <c r="O493" s="1" t="str">
        <f t="shared" si="7"/>
        <v>Pure Rental Program_Ins_Rent out</v>
      </c>
      <c r="P493" s="6">
        <v>1</v>
      </c>
      <c r="Q493" s="6">
        <v>10000000</v>
      </c>
      <c r="R493" s="6">
        <v>120</v>
      </c>
      <c r="S493" s="6">
        <v>120</v>
      </c>
      <c r="T493" s="9">
        <v>0.6</v>
      </c>
      <c r="U493" s="9">
        <v>0.6</v>
      </c>
      <c r="V493" s="9">
        <v>0.6</v>
      </c>
      <c r="W493" s="9">
        <v>0.6</v>
      </c>
      <c r="X493" s="9">
        <v>0.05</v>
      </c>
      <c r="Y493" s="9">
        <v>0.05</v>
      </c>
      <c r="Z493" s="9">
        <v>0.05</v>
      </c>
      <c r="AA493" s="9">
        <v>0.05</v>
      </c>
    </row>
    <row r="494" spans="12:27" ht="25.5">
      <c r="L494" s="1" t="s">
        <v>1926</v>
      </c>
      <c r="M494" s="1" t="s">
        <v>1890</v>
      </c>
      <c r="N494" s="1" t="s">
        <v>1799</v>
      </c>
      <c r="O494" s="1" t="str">
        <f t="shared" si="7"/>
        <v>Pure Rental Program_GPL_Vacant / Investment</v>
      </c>
      <c r="P494" s="6">
        <v>0</v>
      </c>
      <c r="Q494" s="6">
        <v>0</v>
      </c>
      <c r="R494" s="6">
        <v>0</v>
      </c>
      <c r="S494" s="6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</row>
    <row r="495" spans="12:27" ht="25.5">
      <c r="L495" s="1" t="s">
        <v>1926</v>
      </c>
      <c r="M495" s="1" t="s">
        <v>1893</v>
      </c>
      <c r="N495" s="1" t="s">
        <v>1799</v>
      </c>
      <c r="O495" s="1" t="str">
        <f t="shared" si="7"/>
        <v>Pure Rental Program_GPLIns_Vacant / Investment</v>
      </c>
      <c r="P495" s="6">
        <v>0</v>
      </c>
      <c r="Q495" s="6">
        <v>0</v>
      </c>
      <c r="R495" s="6">
        <v>0</v>
      </c>
      <c r="S495" s="6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</row>
    <row r="496" spans="12:27" ht="25.5">
      <c r="L496" s="1" t="s">
        <v>1926</v>
      </c>
      <c r="M496" s="1" t="s">
        <v>1897</v>
      </c>
      <c r="N496" s="1" t="s">
        <v>1799</v>
      </c>
      <c r="O496" s="1" t="str">
        <f t="shared" si="7"/>
        <v>Pure Rental Program_Ins_Vacant / Investment</v>
      </c>
      <c r="P496" s="6">
        <v>0</v>
      </c>
      <c r="Q496" s="6">
        <v>0</v>
      </c>
      <c r="R496" s="6">
        <v>0</v>
      </c>
      <c r="S496" s="6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</row>
    <row r="497" spans="12:27">
      <c r="L497" s="1" t="s">
        <v>1928</v>
      </c>
      <c r="M497" s="1" t="s">
        <v>1773</v>
      </c>
      <c r="N497" s="1" t="s">
        <v>1774</v>
      </c>
      <c r="O497" s="1" t="str">
        <f t="shared" si="7"/>
        <v>LRD_HL_Self-occupation</v>
      </c>
      <c r="P497" s="6">
        <v>0</v>
      </c>
      <c r="Q497" s="6">
        <v>0</v>
      </c>
      <c r="R497" s="6">
        <v>0</v>
      </c>
      <c r="S497" s="6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</row>
    <row r="498" spans="12:27">
      <c r="L498" s="1" t="s">
        <v>1928</v>
      </c>
      <c r="M498" s="1" t="s">
        <v>1777</v>
      </c>
      <c r="N498" s="1" t="s">
        <v>1774</v>
      </c>
      <c r="O498" s="1" t="str">
        <f t="shared" si="7"/>
        <v>LRD_HLGPLIns_Self-occupation</v>
      </c>
      <c r="P498" s="6">
        <v>0</v>
      </c>
      <c r="Q498" s="6">
        <v>0</v>
      </c>
      <c r="R498" s="6">
        <v>0</v>
      </c>
      <c r="S498" s="6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</row>
    <row r="499" spans="12:27">
      <c r="L499" s="1" t="s">
        <v>1928</v>
      </c>
      <c r="M499" s="1" t="s">
        <v>1780</v>
      </c>
      <c r="N499" s="1" t="s">
        <v>1774</v>
      </c>
      <c r="O499" s="1" t="str">
        <f t="shared" si="7"/>
        <v>LRD_HLGPL_Self-occupation</v>
      </c>
      <c r="P499" s="6">
        <v>0</v>
      </c>
      <c r="Q499" s="6">
        <v>0</v>
      </c>
      <c r="R499" s="6">
        <v>0</v>
      </c>
      <c r="S499" s="6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</row>
    <row r="500" spans="12:27">
      <c r="L500" s="1" t="s">
        <v>1928</v>
      </c>
      <c r="M500" s="1" t="s">
        <v>1783</v>
      </c>
      <c r="N500" s="1" t="s">
        <v>1774</v>
      </c>
      <c r="O500" s="1" t="str">
        <f t="shared" si="7"/>
        <v>LRD_HLIns_Self-occupation</v>
      </c>
      <c r="P500" s="6">
        <v>0</v>
      </c>
      <c r="Q500" s="6">
        <v>0</v>
      </c>
      <c r="R500" s="6">
        <v>0</v>
      </c>
      <c r="S500" s="6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</row>
    <row r="501" spans="12:27">
      <c r="L501" s="1" t="s">
        <v>1928</v>
      </c>
      <c r="M501" s="1" t="s">
        <v>1773</v>
      </c>
      <c r="N501" s="1" t="s">
        <v>1787</v>
      </c>
      <c r="O501" s="1" t="str">
        <f t="shared" si="7"/>
        <v>LRD_HL_Rent out</v>
      </c>
      <c r="P501" s="6">
        <v>0</v>
      </c>
      <c r="Q501" s="6">
        <v>0</v>
      </c>
      <c r="R501" s="6">
        <v>0</v>
      </c>
      <c r="S501" s="6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</row>
    <row r="502" spans="12:27">
      <c r="L502" s="1" t="s">
        <v>1928</v>
      </c>
      <c r="M502" s="1" t="s">
        <v>1777</v>
      </c>
      <c r="N502" s="1" t="s">
        <v>1787</v>
      </c>
      <c r="O502" s="1" t="str">
        <f t="shared" si="7"/>
        <v>LRD_HLGPLIns_Rent out</v>
      </c>
      <c r="P502" s="6">
        <v>0</v>
      </c>
      <c r="Q502" s="6">
        <v>0</v>
      </c>
      <c r="R502" s="6">
        <v>0</v>
      </c>
      <c r="S502" s="6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</row>
    <row r="503" spans="12:27">
      <c r="L503" s="1" t="s">
        <v>1928</v>
      </c>
      <c r="M503" s="1" t="s">
        <v>1780</v>
      </c>
      <c r="N503" s="1" t="s">
        <v>1787</v>
      </c>
      <c r="O503" s="1" t="str">
        <f t="shared" si="7"/>
        <v>LRD_HLGPL_Rent out</v>
      </c>
      <c r="P503" s="6">
        <v>0</v>
      </c>
      <c r="Q503" s="6">
        <v>0</v>
      </c>
      <c r="R503" s="6">
        <v>0</v>
      </c>
      <c r="S503" s="6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</row>
    <row r="504" spans="12:27">
      <c r="L504" s="1" t="s">
        <v>1928</v>
      </c>
      <c r="M504" s="1" t="s">
        <v>1783</v>
      </c>
      <c r="N504" s="1" t="s">
        <v>1787</v>
      </c>
      <c r="O504" s="1" t="str">
        <f t="shared" si="7"/>
        <v>LRD_HLIns_Rent out</v>
      </c>
      <c r="P504" s="6">
        <v>0</v>
      </c>
      <c r="Q504" s="6">
        <v>0</v>
      </c>
      <c r="R504" s="6">
        <v>0</v>
      </c>
      <c r="S504" s="6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</row>
    <row r="505" spans="12:27">
      <c r="L505" s="1" t="s">
        <v>1928</v>
      </c>
      <c r="M505" s="1" t="s">
        <v>1773</v>
      </c>
      <c r="N505" s="1" t="s">
        <v>1799</v>
      </c>
      <c r="O505" s="1" t="str">
        <f t="shared" si="7"/>
        <v>LRD_HL_Vacant / Investment</v>
      </c>
      <c r="P505" s="6">
        <v>0</v>
      </c>
      <c r="Q505" s="6">
        <v>0</v>
      </c>
      <c r="R505" s="6">
        <v>0</v>
      </c>
      <c r="S505" s="6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</row>
    <row r="506" spans="12:27">
      <c r="L506" s="1" t="s">
        <v>1928</v>
      </c>
      <c r="M506" s="1" t="s">
        <v>1777</v>
      </c>
      <c r="N506" s="1" t="s">
        <v>1799</v>
      </c>
      <c r="O506" s="1" t="str">
        <f t="shared" si="7"/>
        <v>LRD_HLGPLIns_Vacant / Investment</v>
      </c>
      <c r="P506" s="6">
        <v>0</v>
      </c>
      <c r="Q506" s="6">
        <v>0</v>
      </c>
      <c r="R506" s="6">
        <v>0</v>
      </c>
      <c r="S506" s="6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</row>
    <row r="507" spans="12:27">
      <c r="L507" s="1" t="s">
        <v>1928</v>
      </c>
      <c r="M507" s="1" t="s">
        <v>1780</v>
      </c>
      <c r="N507" s="1" t="s">
        <v>1799</v>
      </c>
      <c r="O507" s="1" t="str">
        <f t="shared" si="7"/>
        <v>LRD_HLGPL_Vacant / Investment</v>
      </c>
      <c r="P507" s="6">
        <v>0</v>
      </c>
      <c r="Q507" s="6">
        <v>0</v>
      </c>
      <c r="R507" s="6">
        <v>0</v>
      </c>
      <c r="S507" s="6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</row>
    <row r="508" spans="12:27">
      <c r="L508" s="1" t="s">
        <v>1928</v>
      </c>
      <c r="M508" s="1" t="s">
        <v>1783</v>
      </c>
      <c r="N508" s="1" t="s">
        <v>1799</v>
      </c>
      <c r="O508" s="1" t="str">
        <f t="shared" si="7"/>
        <v>LRD_HLIns_Vacant / Investment</v>
      </c>
      <c r="P508" s="6">
        <v>0</v>
      </c>
      <c r="Q508" s="6">
        <v>0</v>
      </c>
      <c r="R508" s="6">
        <v>0</v>
      </c>
      <c r="S508" s="6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</row>
    <row r="509" spans="12:27">
      <c r="L509" s="1" t="s">
        <v>1928</v>
      </c>
      <c r="M509" s="1" t="s">
        <v>1812</v>
      </c>
      <c r="N509" s="1" t="s">
        <v>1774</v>
      </c>
      <c r="O509" s="1" t="str">
        <f t="shared" si="7"/>
        <v>LRD_LAP_Self-occupation</v>
      </c>
      <c r="P509" s="6">
        <v>0</v>
      </c>
      <c r="Q509" s="6">
        <v>0</v>
      </c>
      <c r="R509" s="6">
        <v>0</v>
      </c>
      <c r="S509" s="6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</row>
    <row r="510" spans="12:27">
      <c r="L510" s="1" t="s">
        <v>1928</v>
      </c>
      <c r="M510" s="1" t="s">
        <v>1816</v>
      </c>
      <c r="N510" s="1" t="s">
        <v>1774</v>
      </c>
      <c r="O510" s="1" t="str">
        <f t="shared" si="7"/>
        <v>LRD_LAPGPLIns_Self-occupation</v>
      </c>
      <c r="P510" s="6">
        <v>0</v>
      </c>
      <c r="Q510" s="6">
        <v>0</v>
      </c>
      <c r="R510" s="6">
        <v>0</v>
      </c>
      <c r="S510" s="6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</row>
    <row r="511" spans="12:27">
      <c r="L511" s="1" t="s">
        <v>1928</v>
      </c>
      <c r="M511" s="1" t="s">
        <v>1821</v>
      </c>
      <c r="N511" s="1" t="s">
        <v>1774</v>
      </c>
      <c r="O511" s="1" t="str">
        <f t="shared" si="7"/>
        <v>LRD_LAPGPL_Self-occupation</v>
      </c>
      <c r="P511" s="6">
        <v>0</v>
      </c>
      <c r="Q511" s="6">
        <v>0</v>
      </c>
      <c r="R511" s="6">
        <v>0</v>
      </c>
      <c r="S511" s="6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</row>
    <row r="512" spans="12:27">
      <c r="L512" s="1" t="s">
        <v>1928</v>
      </c>
      <c r="M512" s="1" t="s">
        <v>1824</v>
      </c>
      <c r="N512" s="1" t="s">
        <v>1774</v>
      </c>
      <c r="O512" s="1" t="str">
        <f t="shared" si="7"/>
        <v>LRD_LAPIns_Self-occupation</v>
      </c>
      <c r="P512" s="6">
        <v>0</v>
      </c>
      <c r="Q512" s="6">
        <v>0</v>
      </c>
      <c r="R512" s="6">
        <v>0</v>
      </c>
      <c r="S512" s="6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</row>
    <row r="513" spans="12:27">
      <c r="L513" s="1" t="s">
        <v>1928</v>
      </c>
      <c r="M513" s="1" t="s">
        <v>1812</v>
      </c>
      <c r="N513" s="1" t="s">
        <v>1787</v>
      </c>
      <c r="O513" s="1" t="str">
        <f t="shared" si="7"/>
        <v>LRD_LAP_Rent out</v>
      </c>
      <c r="P513" s="6">
        <v>1</v>
      </c>
      <c r="Q513" s="6">
        <v>250000000</v>
      </c>
      <c r="R513" s="6">
        <v>180</v>
      </c>
      <c r="S513" s="6">
        <v>180</v>
      </c>
      <c r="T513" s="9">
        <v>0.9</v>
      </c>
      <c r="U513" s="9">
        <v>0.92500000000000004</v>
      </c>
      <c r="V513" s="9">
        <v>0.97499999999999998</v>
      </c>
      <c r="W513" s="9">
        <v>1</v>
      </c>
      <c r="X513" s="9">
        <v>0.7</v>
      </c>
      <c r="Y513" s="9">
        <v>0.71</v>
      </c>
      <c r="Z513" s="9">
        <v>0.73</v>
      </c>
      <c r="AA513" s="9">
        <v>0.75</v>
      </c>
    </row>
    <row r="514" spans="12:27">
      <c r="L514" s="1" t="s">
        <v>1928</v>
      </c>
      <c r="M514" s="1" t="s">
        <v>1816</v>
      </c>
      <c r="N514" s="1" t="s">
        <v>1787</v>
      </c>
      <c r="O514" s="1" t="str">
        <f t="shared" si="7"/>
        <v>LRD_LAPGPLIns_Rent out</v>
      </c>
      <c r="P514" s="6">
        <v>1</v>
      </c>
      <c r="Q514" s="6">
        <v>250000000</v>
      </c>
      <c r="R514" s="6">
        <v>180</v>
      </c>
      <c r="S514" s="6">
        <v>180</v>
      </c>
      <c r="T514" s="9">
        <v>0.9</v>
      </c>
      <c r="U514" s="9">
        <v>0.92500000000000004</v>
      </c>
      <c r="V514" s="9">
        <v>0.97499999999999998</v>
      </c>
      <c r="W514" s="9">
        <v>1</v>
      </c>
      <c r="X514" s="9">
        <v>0.7</v>
      </c>
      <c r="Y514" s="9">
        <v>0.71</v>
      </c>
      <c r="Z514" s="9">
        <v>0.73</v>
      </c>
      <c r="AA514" s="9">
        <v>0.75</v>
      </c>
    </row>
    <row r="515" spans="12:27">
      <c r="L515" s="1" t="s">
        <v>1928</v>
      </c>
      <c r="M515" s="1" t="s">
        <v>1821</v>
      </c>
      <c r="N515" s="1" t="s">
        <v>1787</v>
      </c>
      <c r="O515" s="1" t="str">
        <f t="shared" ref="O515:O541" si="8">CONCATENATE(L515,"_",M515,"_",N515)</f>
        <v>LRD_LAPGPL_Rent out</v>
      </c>
      <c r="P515" s="6">
        <v>1</v>
      </c>
      <c r="Q515" s="6">
        <v>250000000</v>
      </c>
      <c r="R515" s="6">
        <v>180</v>
      </c>
      <c r="S515" s="6">
        <v>180</v>
      </c>
      <c r="T515" s="9">
        <v>0.9</v>
      </c>
      <c r="U515" s="9">
        <v>0.92500000000000004</v>
      </c>
      <c r="V515" s="9">
        <v>0.97499999999999998</v>
      </c>
      <c r="W515" s="9">
        <v>1</v>
      </c>
      <c r="X515" s="9">
        <v>0.7</v>
      </c>
      <c r="Y515" s="9">
        <v>0.71</v>
      </c>
      <c r="Z515" s="9">
        <v>0.73</v>
      </c>
      <c r="AA515" s="9">
        <v>0.75</v>
      </c>
    </row>
    <row r="516" spans="12:27">
      <c r="L516" s="1" t="s">
        <v>1928</v>
      </c>
      <c r="M516" s="1" t="s">
        <v>1824</v>
      </c>
      <c r="N516" s="1" t="s">
        <v>1787</v>
      </c>
      <c r="O516" s="1" t="str">
        <f t="shared" si="8"/>
        <v>LRD_LAPIns_Rent out</v>
      </c>
      <c r="P516" s="6">
        <v>1</v>
      </c>
      <c r="Q516" s="6">
        <v>250000000</v>
      </c>
      <c r="R516" s="6">
        <v>180</v>
      </c>
      <c r="S516" s="6">
        <v>180</v>
      </c>
      <c r="T516" s="9">
        <v>0.9</v>
      </c>
      <c r="U516" s="9">
        <v>0.92500000000000004</v>
      </c>
      <c r="V516" s="9">
        <v>0.97499999999999998</v>
      </c>
      <c r="W516" s="9">
        <v>1</v>
      </c>
      <c r="X516" s="9">
        <v>0.7</v>
      </c>
      <c r="Y516" s="9">
        <v>0.71</v>
      </c>
      <c r="Z516" s="9">
        <v>0.73</v>
      </c>
      <c r="AA516" s="9">
        <v>0.75</v>
      </c>
    </row>
    <row r="517" spans="12:27">
      <c r="L517" s="1" t="s">
        <v>1928</v>
      </c>
      <c r="M517" s="1" t="s">
        <v>1812</v>
      </c>
      <c r="N517" s="1" t="s">
        <v>1799</v>
      </c>
      <c r="O517" s="1" t="str">
        <f t="shared" si="8"/>
        <v>LRD_LAP_Vacant / Investment</v>
      </c>
      <c r="P517" s="6">
        <v>0</v>
      </c>
      <c r="Q517" s="6">
        <v>0</v>
      </c>
      <c r="R517" s="6">
        <v>0</v>
      </c>
      <c r="S517" s="6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</row>
    <row r="518" spans="12:27">
      <c r="L518" s="1" t="s">
        <v>1928</v>
      </c>
      <c r="M518" s="1" t="s">
        <v>1816</v>
      </c>
      <c r="N518" s="1" t="s">
        <v>1799</v>
      </c>
      <c r="O518" s="1" t="str">
        <f t="shared" si="8"/>
        <v>LRD_LAPGPLIns_Vacant / Investment</v>
      </c>
      <c r="P518" s="6">
        <v>0</v>
      </c>
      <c r="Q518" s="6">
        <v>0</v>
      </c>
      <c r="R518" s="6">
        <v>0</v>
      </c>
      <c r="S518" s="6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</row>
    <row r="519" spans="12:27">
      <c r="L519" s="1" t="s">
        <v>1928</v>
      </c>
      <c r="M519" s="1" t="s">
        <v>1821</v>
      </c>
      <c r="N519" s="1" t="s">
        <v>1799</v>
      </c>
      <c r="O519" s="1" t="str">
        <f t="shared" si="8"/>
        <v>LRD_LAPGPL_Vacant / Investment</v>
      </c>
      <c r="P519" s="6">
        <v>0</v>
      </c>
      <c r="Q519" s="6">
        <v>0</v>
      </c>
      <c r="R519" s="6">
        <v>0</v>
      </c>
      <c r="S519" s="6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</row>
    <row r="520" spans="12:27">
      <c r="L520" s="1" t="s">
        <v>1928</v>
      </c>
      <c r="M520" s="1" t="s">
        <v>1824</v>
      </c>
      <c r="N520" s="1" t="s">
        <v>1799</v>
      </c>
      <c r="O520" s="1" t="str">
        <f t="shared" si="8"/>
        <v>LRD_LAPIns_Vacant / Investment</v>
      </c>
      <c r="P520" s="6">
        <v>0</v>
      </c>
      <c r="Q520" s="6">
        <v>0</v>
      </c>
      <c r="R520" s="6">
        <v>0</v>
      </c>
      <c r="S520" s="6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</row>
    <row r="521" spans="12:27">
      <c r="L521" s="1" t="s">
        <v>1928</v>
      </c>
      <c r="M521" s="1" t="s">
        <v>1852</v>
      </c>
      <c r="N521" s="1" t="s">
        <v>1774</v>
      </c>
      <c r="O521" s="1" t="str">
        <f t="shared" si="8"/>
        <v>LRD_Indl_Self-occupation</v>
      </c>
      <c r="P521" s="6">
        <v>0</v>
      </c>
      <c r="Q521" s="6">
        <v>0</v>
      </c>
      <c r="R521" s="6">
        <v>0</v>
      </c>
      <c r="S521" s="6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</row>
    <row r="522" spans="12:27">
      <c r="L522" s="1" t="s">
        <v>1928</v>
      </c>
      <c r="M522" s="1" t="s">
        <v>1856</v>
      </c>
      <c r="N522" s="1" t="s">
        <v>1774</v>
      </c>
      <c r="O522" s="1" t="str">
        <f t="shared" si="8"/>
        <v>LRD_IndlGPLIns_Self-occupation</v>
      </c>
      <c r="P522" s="6">
        <v>0</v>
      </c>
      <c r="Q522" s="6">
        <v>0</v>
      </c>
      <c r="R522" s="6">
        <v>0</v>
      </c>
      <c r="S522" s="6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</row>
    <row r="523" spans="12:27">
      <c r="L523" s="1" t="s">
        <v>1928</v>
      </c>
      <c r="M523" s="1" t="s">
        <v>1860</v>
      </c>
      <c r="N523" s="1" t="s">
        <v>1774</v>
      </c>
      <c r="O523" s="1" t="str">
        <f t="shared" si="8"/>
        <v>LRD_IndlGPL_Self-occupation</v>
      </c>
      <c r="P523" s="6">
        <v>0</v>
      </c>
      <c r="Q523" s="6">
        <v>0</v>
      </c>
      <c r="R523" s="6">
        <v>0</v>
      </c>
      <c r="S523" s="6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</row>
    <row r="524" spans="12:27">
      <c r="L524" s="1" t="s">
        <v>1928</v>
      </c>
      <c r="M524" s="1" t="s">
        <v>1864</v>
      </c>
      <c r="N524" s="1" t="s">
        <v>1774</v>
      </c>
      <c r="O524" s="1" t="str">
        <f t="shared" si="8"/>
        <v>LRD_IndlIns_Self-occupation</v>
      </c>
      <c r="P524" s="6">
        <v>0</v>
      </c>
      <c r="Q524" s="6">
        <v>0</v>
      </c>
      <c r="R524" s="6">
        <v>0</v>
      </c>
      <c r="S524" s="6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</row>
    <row r="525" spans="12:27">
      <c r="L525" s="1" t="s">
        <v>1928</v>
      </c>
      <c r="M525" s="1" t="s">
        <v>1852</v>
      </c>
      <c r="N525" s="1" t="s">
        <v>1787</v>
      </c>
      <c r="O525" s="1" t="str">
        <f t="shared" si="8"/>
        <v>LRD_Indl_Rent out</v>
      </c>
      <c r="P525" s="6">
        <v>10000000</v>
      </c>
      <c r="Q525" s="6">
        <v>100000000</v>
      </c>
      <c r="R525" s="6">
        <v>0</v>
      </c>
      <c r="S525" s="6">
        <v>120</v>
      </c>
      <c r="T525" s="9">
        <v>0</v>
      </c>
      <c r="U525" s="9">
        <v>0</v>
      </c>
      <c r="V525" s="9">
        <v>0</v>
      </c>
      <c r="W525" s="9">
        <v>0.6</v>
      </c>
      <c r="X525" s="9">
        <v>0.5</v>
      </c>
      <c r="Y525" s="9">
        <v>0</v>
      </c>
      <c r="Z525" s="9">
        <v>0</v>
      </c>
      <c r="AA525" s="9">
        <v>0.5</v>
      </c>
    </row>
    <row r="526" spans="12:27">
      <c r="L526" s="1" t="s">
        <v>1928</v>
      </c>
      <c r="M526" s="1" t="s">
        <v>1856</v>
      </c>
      <c r="N526" s="1" t="s">
        <v>1787</v>
      </c>
      <c r="O526" s="1" t="str">
        <f t="shared" si="8"/>
        <v>LRD_IndlGPLIns_Rent out</v>
      </c>
      <c r="P526" s="6">
        <v>0</v>
      </c>
      <c r="Q526" s="6">
        <v>0</v>
      </c>
      <c r="R526" s="6">
        <v>0</v>
      </c>
      <c r="S526" s="6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</row>
    <row r="527" spans="12:27">
      <c r="L527" s="1" t="s">
        <v>1928</v>
      </c>
      <c r="M527" s="1" t="s">
        <v>1860</v>
      </c>
      <c r="N527" s="1" t="s">
        <v>1787</v>
      </c>
      <c r="O527" s="1" t="str">
        <f t="shared" si="8"/>
        <v>LRD_IndlGPL_Rent out</v>
      </c>
      <c r="P527" s="6">
        <v>0</v>
      </c>
      <c r="Q527" s="6">
        <v>0</v>
      </c>
      <c r="R527" s="6">
        <v>0</v>
      </c>
      <c r="S527" s="6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</row>
    <row r="528" spans="12:27">
      <c r="L528" s="1" t="s">
        <v>1928</v>
      </c>
      <c r="M528" s="1" t="s">
        <v>1864</v>
      </c>
      <c r="N528" s="1" t="s">
        <v>1787</v>
      </c>
      <c r="O528" s="1" t="str">
        <f t="shared" si="8"/>
        <v>LRD_IndlIns_Rent out</v>
      </c>
      <c r="P528" s="6">
        <v>10000000</v>
      </c>
      <c r="Q528" s="6">
        <v>100000000</v>
      </c>
      <c r="R528" s="6">
        <v>0</v>
      </c>
      <c r="S528" s="6">
        <v>120</v>
      </c>
      <c r="T528" s="9">
        <v>0</v>
      </c>
      <c r="U528" s="9">
        <v>0</v>
      </c>
      <c r="V528" s="9">
        <v>0</v>
      </c>
      <c r="W528" s="9">
        <v>0.6</v>
      </c>
      <c r="X528" s="9">
        <v>0.5</v>
      </c>
      <c r="Y528" s="9">
        <v>0</v>
      </c>
      <c r="Z528" s="9">
        <v>0</v>
      </c>
      <c r="AA528" s="9">
        <v>0.5</v>
      </c>
    </row>
    <row r="529" spans="12:27">
      <c r="L529" s="1" t="s">
        <v>1928</v>
      </c>
      <c r="M529" s="1" t="s">
        <v>1852</v>
      </c>
      <c r="N529" s="1" t="s">
        <v>1799</v>
      </c>
      <c r="O529" s="1" t="str">
        <f t="shared" si="8"/>
        <v>LRD_Indl_Vacant / Investment</v>
      </c>
      <c r="P529" s="6">
        <v>0</v>
      </c>
      <c r="Q529" s="6">
        <v>0</v>
      </c>
      <c r="R529" s="6">
        <v>0</v>
      </c>
      <c r="S529" s="6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</row>
    <row r="530" spans="12:27">
      <c r="L530" s="1" t="s">
        <v>1928</v>
      </c>
      <c r="M530" s="1" t="s">
        <v>1856</v>
      </c>
      <c r="N530" s="1" t="s">
        <v>1799</v>
      </c>
      <c r="O530" s="1" t="str">
        <f t="shared" si="8"/>
        <v>LRD_IndlGPLIns_Vacant / Investment</v>
      </c>
      <c r="P530" s="6">
        <v>0</v>
      </c>
      <c r="Q530" s="6">
        <v>0</v>
      </c>
      <c r="R530" s="6">
        <v>0</v>
      </c>
      <c r="S530" s="6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</row>
    <row r="531" spans="12:27">
      <c r="L531" s="1" t="s">
        <v>1928</v>
      </c>
      <c r="M531" s="1" t="s">
        <v>1860</v>
      </c>
      <c r="N531" s="1" t="s">
        <v>1799</v>
      </c>
      <c r="O531" s="1" t="str">
        <f t="shared" si="8"/>
        <v>LRD_IndlGPL_Vacant / Investment</v>
      </c>
      <c r="P531" s="6">
        <v>0</v>
      </c>
      <c r="Q531" s="6">
        <v>0</v>
      </c>
      <c r="R531" s="6">
        <v>0</v>
      </c>
      <c r="S531" s="6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</row>
    <row r="532" spans="12:27">
      <c r="L532" s="1" t="s">
        <v>1928</v>
      </c>
      <c r="M532" s="1" t="s">
        <v>1864</v>
      </c>
      <c r="N532" s="1" t="s">
        <v>1799</v>
      </c>
      <c r="O532" s="1" t="str">
        <f t="shared" si="8"/>
        <v>LRD_IndlIns_Vacant / Investment</v>
      </c>
      <c r="P532" s="6">
        <v>0</v>
      </c>
      <c r="Q532" s="6">
        <v>0</v>
      </c>
      <c r="R532" s="6">
        <v>0</v>
      </c>
      <c r="S532" s="6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</row>
    <row r="533" spans="12:27">
      <c r="L533" s="1" t="s">
        <v>1928</v>
      </c>
      <c r="M533" s="1" t="s">
        <v>1890</v>
      </c>
      <c r="N533" s="1" t="s">
        <v>1774</v>
      </c>
      <c r="O533" s="1" t="str">
        <f t="shared" si="8"/>
        <v>LRD_GPL_Self-occupation</v>
      </c>
      <c r="P533" s="6">
        <v>0</v>
      </c>
      <c r="Q533" s="6">
        <v>0</v>
      </c>
      <c r="R533" s="6">
        <v>0</v>
      </c>
      <c r="S533" s="6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</row>
    <row r="534" spans="12:27">
      <c r="L534" s="1" t="s">
        <v>1928</v>
      </c>
      <c r="M534" s="1" t="s">
        <v>1893</v>
      </c>
      <c r="N534" s="1" t="s">
        <v>1774</v>
      </c>
      <c r="O534" s="1" t="str">
        <f t="shared" si="8"/>
        <v>LRD_GPLIns_Self-occupation</v>
      </c>
      <c r="P534" s="6">
        <v>0</v>
      </c>
      <c r="Q534" s="6">
        <v>0</v>
      </c>
      <c r="R534" s="6">
        <v>0</v>
      </c>
      <c r="S534" s="6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</row>
    <row r="535" spans="12:27">
      <c r="L535" s="1" t="s">
        <v>1928</v>
      </c>
      <c r="M535" s="1" t="s">
        <v>1897</v>
      </c>
      <c r="N535" s="1" t="s">
        <v>1774</v>
      </c>
      <c r="O535" s="1" t="str">
        <f t="shared" si="8"/>
        <v>LRD_Ins_Self-occupation</v>
      </c>
      <c r="P535" s="6">
        <v>0</v>
      </c>
      <c r="Q535" s="6">
        <v>0</v>
      </c>
      <c r="R535" s="6">
        <v>0</v>
      </c>
      <c r="S535" s="6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</row>
    <row r="536" spans="12:27">
      <c r="L536" s="1" t="s">
        <v>1928</v>
      </c>
      <c r="M536" s="1" t="s">
        <v>1890</v>
      </c>
      <c r="N536" s="1" t="s">
        <v>1787</v>
      </c>
      <c r="O536" s="1" t="str">
        <f t="shared" si="8"/>
        <v>LRD_GPL_Rent out</v>
      </c>
      <c r="P536" s="6">
        <v>1</v>
      </c>
      <c r="Q536" s="6">
        <v>4000000</v>
      </c>
      <c r="R536" s="6">
        <v>0</v>
      </c>
      <c r="S536" s="6">
        <v>120</v>
      </c>
      <c r="T536" s="9">
        <v>0</v>
      </c>
      <c r="U536" s="9">
        <v>0</v>
      </c>
      <c r="V536" s="9">
        <v>0</v>
      </c>
      <c r="W536" s="9">
        <v>0.9</v>
      </c>
      <c r="X536" s="9">
        <v>0.1</v>
      </c>
      <c r="Y536" s="9">
        <v>0</v>
      </c>
      <c r="Z536" s="9">
        <v>0</v>
      </c>
      <c r="AA536" s="9">
        <v>0.1</v>
      </c>
    </row>
    <row r="537" spans="12:27">
      <c r="L537" s="1" t="s">
        <v>1928</v>
      </c>
      <c r="M537" s="1" t="s">
        <v>1893</v>
      </c>
      <c r="N537" s="1" t="s">
        <v>1787</v>
      </c>
      <c r="O537" s="1" t="str">
        <f t="shared" si="8"/>
        <v>LRD_GPLIns_Rent out</v>
      </c>
      <c r="P537" s="6">
        <v>1</v>
      </c>
      <c r="Q537" s="6">
        <v>4000000</v>
      </c>
      <c r="R537" s="6">
        <v>0</v>
      </c>
      <c r="S537" s="6">
        <v>120</v>
      </c>
      <c r="T537" s="9">
        <v>0</v>
      </c>
      <c r="U537" s="9">
        <v>0</v>
      </c>
      <c r="V537" s="9">
        <v>0</v>
      </c>
      <c r="W537" s="9">
        <v>0.9</v>
      </c>
      <c r="X537" s="9">
        <v>0.1</v>
      </c>
      <c r="Y537" s="9">
        <v>0</v>
      </c>
      <c r="Z537" s="9">
        <v>0</v>
      </c>
      <c r="AA537" s="9">
        <v>0.1</v>
      </c>
    </row>
    <row r="538" spans="12:27">
      <c r="L538" s="1" t="s">
        <v>1928</v>
      </c>
      <c r="M538" s="1" t="s">
        <v>1897</v>
      </c>
      <c r="N538" s="1" t="s">
        <v>1787</v>
      </c>
      <c r="O538" s="1" t="str">
        <f t="shared" si="8"/>
        <v>LRD_Ins_Rent out</v>
      </c>
      <c r="P538" s="6">
        <v>1</v>
      </c>
      <c r="Q538" s="6">
        <v>25000000</v>
      </c>
      <c r="R538" s="6">
        <v>180</v>
      </c>
      <c r="S538" s="6">
        <v>180</v>
      </c>
      <c r="T538" s="9">
        <v>0.9</v>
      </c>
      <c r="U538" s="9">
        <v>0.9</v>
      </c>
      <c r="V538" s="9">
        <v>0.9</v>
      </c>
      <c r="W538" s="9">
        <v>0.9</v>
      </c>
      <c r="X538" s="9">
        <v>0.05</v>
      </c>
      <c r="Y538" s="9">
        <v>0.05</v>
      </c>
      <c r="Z538" s="9">
        <v>0.05</v>
      </c>
      <c r="AA538" s="9">
        <v>0.05</v>
      </c>
    </row>
    <row r="539" spans="12:27">
      <c r="L539" s="1" t="s">
        <v>1928</v>
      </c>
      <c r="M539" s="1" t="s">
        <v>1890</v>
      </c>
      <c r="N539" s="1" t="s">
        <v>1799</v>
      </c>
      <c r="O539" s="1" t="str">
        <f t="shared" si="8"/>
        <v>LRD_GPL_Vacant / Investment</v>
      </c>
      <c r="P539" s="6">
        <v>0</v>
      </c>
      <c r="Q539" s="6">
        <v>0</v>
      </c>
      <c r="R539" s="6">
        <v>0</v>
      </c>
      <c r="S539" s="6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</row>
    <row r="540" spans="12:27">
      <c r="L540" s="1" t="s">
        <v>1928</v>
      </c>
      <c r="M540" s="1" t="s">
        <v>1893</v>
      </c>
      <c r="N540" s="1" t="s">
        <v>1799</v>
      </c>
      <c r="O540" s="1" t="str">
        <f t="shared" si="8"/>
        <v>LRD_GPLIns_Vacant / Investment</v>
      </c>
      <c r="P540" s="6">
        <v>0</v>
      </c>
      <c r="Q540" s="6">
        <v>0</v>
      </c>
      <c r="R540" s="6">
        <v>0</v>
      </c>
      <c r="S540" s="6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</row>
    <row r="541" spans="12:27">
      <c r="L541" s="1" t="s">
        <v>1928</v>
      </c>
      <c r="M541" s="1" t="s">
        <v>1897</v>
      </c>
      <c r="N541" s="1" t="s">
        <v>1799</v>
      </c>
      <c r="O541" s="1" t="str">
        <f t="shared" si="8"/>
        <v>LRD_Ins_Vacant / Investment</v>
      </c>
      <c r="P541" s="6">
        <v>0</v>
      </c>
      <c r="Q541" s="6">
        <v>0</v>
      </c>
      <c r="R541" s="6">
        <v>0</v>
      </c>
      <c r="S541" s="6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</row>
    <row r="542" spans="12:27">
      <c r="P542" s="6"/>
      <c r="Q542" s="6"/>
      <c r="R542" s="6"/>
      <c r="S542" s="6"/>
      <c r="T542" s="9"/>
      <c r="U542" s="9"/>
      <c r="V542" s="9"/>
      <c r="W542" s="9"/>
      <c r="X542" s="9"/>
      <c r="Y542" s="9"/>
      <c r="Z542" s="9"/>
      <c r="AA542" s="9"/>
    </row>
    <row r="543" spans="12:27">
      <c r="P543" s="6"/>
      <c r="Q543" s="6"/>
      <c r="R543" s="6"/>
      <c r="S543" s="6"/>
      <c r="T543" s="9"/>
      <c r="U543" s="9"/>
      <c r="V543" s="9"/>
      <c r="W543" s="9"/>
      <c r="X543" s="9"/>
      <c r="Y543" s="9"/>
      <c r="Z543" s="9"/>
      <c r="AA543" s="9"/>
    </row>
    <row r="544" spans="12:27">
      <c r="P544" s="6"/>
      <c r="Q544" s="6"/>
      <c r="R544" s="6"/>
      <c r="S544" s="6"/>
      <c r="T544" s="9"/>
      <c r="U544" s="9"/>
      <c r="V544" s="9"/>
      <c r="W544" s="9"/>
      <c r="X544" s="9"/>
      <c r="Y544" s="9"/>
      <c r="Z544" s="9"/>
      <c r="AA544" s="9"/>
    </row>
    <row r="545" spans="16:27">
      <c r="P545" s="6"/>
      <c r="Q545" s="6"/>
      <c r="R545" s="6"/>
      <c r="S545" s="6"/>
      <c r="T545" s="9"/>
      <c r="U545" s="9"/>
      <c r="V545" s="9"/>
      <c r="W545" s="9"/>
      <c r="X545" s="9"/>
      <c r="Y545" s="9"/>
      <c r="Z545" s="9"/>
      <c r="AA545" s="9"/>
    </row>
    <row r="546" spans="16:27">
      <c r="P546" s="6"/>
      <c r="Q546" s="6"/>
      <c r="R546" s="6"/>
      <c r="S546" s="6"/>
      <c r="T546" s="9"/>
      <c r="U546" s="9"/>
      <c r="V546" s="9"/>
      <c r="W546" s="9"/>
      <c r="X546" s="9"/>
      <c r="Y546" s="9"/>
      <c r="Z546" s="9"/>
      <c r="AA546" s="9"/>
    </row>
    <row r="547" spans="16:27">
      <c r="P547" s="6"/>
      <c r="Q547" s="6"/>
      <c r="R547" s="6"/>
      <c r="S547" s="6"/>
      <c r="T547" s="9"/>
      <c r="U547" s="9"/>
      <c r="V547" s="9"/>
      <c r="W547" s="9"/>
      <c r="X547" s="9"/>
      <c r="Y547" s="9"/>
      <c r="Z547" s="9"/>
      <c r="AA547" s="9"/>
    </row>
    <row r="548" spans="16:27">
      <c r="P548" s="6"/>
      <c r="Q548" s="6"/>
      <c r="R548" s="6"/>
      <c r="S548" s="6"/>
      <c r="T548" s="9"/>
      <c r="U548" s="9"/>
      <c r="V548" s="9"/>
      <c r="W548" s="9"/>
      <c r="X548" s="9"/>
      <c r="Y548" s="9"/>
      <c r="Z548" s="9"/>
      <c r="AA548" s="9"/>
    </row>
    <row r="549" spans="16:27">
      <c r="P549" s="6"/>
      <c r="Q549" s="6"/>
      <c r="R549" s="6"/>
      <c r="S549" s="6"/>
      <c r="T549" s="9"/>
      <c r="U549" s="9"/>
      <c r="V549" s="9"/>
      <c r="W549" s="9"/>
      <c r="X549" s="9"/>
      <c r="Y549" s="9"/>
      <c r="Z549" s="9"/>
      <c r="AA549" s="9"/>
    </row>
    <row r="550" spans="16:27">
      <c r="P550" s="6"/>
      <c r="Q550" s="6"/>
      <c r="R550" s="6"/>
      <c r="S550" s="6"/>
      <c r="T550" s="9"/>
      <c r="U550" s="9"/>
      <c r="V550" s="9"/>
      <c r="W550" s="9"/>
      <c r="X550" s="9"/>
      <c r="Y550" s="9"/>
      <c r="Z550" s="9"/>
      <c r="AA550" s="9"/>
    </row>
    <row r="551" spans="16:27">
      <c r="P551" s="6"/>
      <c r="Q551" s="6"/>
      <c r="R551" s="6"/>
      <c r="S551" s="6"/>
      <c r="T551" s="9"/>
      <c r="U551" s="9"/>
      <c r="V551" s="9"/>
      <c r="W551" s="9"/>
      <c r="X551" s="9"/>
      <c r="Y551" s="9"/>
      <c r="Z551" s="9"/>
      <c r="AA551" s="9"/>
    </row>
    <row r="552" spans="16:27">
      <c r="P552" s="6"/>
      <c r="Q552" s="6"/>
      <c r="R552" s="6"/>
      <c r="S552" s="6"/>
      <c r="T552" s="9"/>
      <c r="U552" s="9"/>
      <c r="V552" s="9"/>
      <c r="W552" s="9"/>
      <c r="X552" s="9"/>
      <c r="Y552" s="9"/>
      <c r="Z552" s="9"/>
      <c r="AA552" s="9"/>
    </row>
    <row r="553" spans="16:27">
      <c r="P553" s="6"/>
      <c r="Q553" s="6"/>
      <c r="R553" s="6"/>
      <c r="S553" s="6"/>
      <c r="T553" s="9"/>
      <c r="U553" s="9"/>
      <c r="V553" s="9"/>
      <c r="W553" s="9"/>
      <c r="X553" s="9"/>
      <c r="Y553" s="9"/>
      <c r="Z553" s="9"/>
      <c r="AA553" s="9"/>
    </row>
    <row r="554" spans="16:27">
      <c r="P554" s="6"/>
      <c r="Q554" s="6"/>
      <c r="R554" s="6"/>
      <c r="S554" s="6"/>
      <c r="T554" s="9"/>
      <c r="U554" s="9"/>
      <c r="V554" s="9"/>
      <c r="W554" s="9"/>
      <c r="X554" s="9"/>
      <c r="Y554" s="9"/>
      <c r="Z554" s="9"/>
      <c r="AA554" s="9"/>
    </row>
    <row r="555" spans="16:27">
      <c r="P555" s="6"/>
      <c r="Q555" s="6"/>
      <c r="R555" s="6"/>
      <c r="S555" s="6"/>
      <c r="T555" s="9"/>
      <c r="U555" s="9"/>
      <c r="V555" s="9"/>
      <c r="W555" s="9"/>
      <c r="X555" s="9"/>
      <c r="Y555" s="9"/>
      <c r="Z555" s="9"/>
      <c r="AA555" s="9"/>
    </row>
    <row r="556" spans="16:27">
      <c r="P556" s="6"/>
      <c r="Q556" s="6"/>
      <c r="R556" s="6"/>
      <c r="S556" s="6"/>
      <c r="T556" s="9"/>
      <c r="U556" s="9"/>
      <c r="V556" s="9"/>
      <c r="W556" s="9"/>
      <c r="X556" s="9"/>
      <c r="Y556" s="9"/>
      <c r="Z556" s="9"/>
      <c r="AA556" s="9"/>
    </row>
    <row r="557" spans="16:27">
      <c r="P557" s="6"/>
      <c r="Q557" s="6"/>
      <c r="R557" s="6"/>
      <c r="S557" s="6"/>
      <c r="T557" s="9"/>
      <c r="U557" s="9"/>
      <c r="V557" s="9"/>
      <c r="W557" s="9"/>
      <c r="X557" s="9"/>
      <c r="Y557" s="9"/>
      <c r="Z557" s="9"/>
      <c r="AA557" s="9"/>
    </row>
    <row r="558" spans="16:27">
      <c r="P558" s="6"/>
      <c r="Q558" s="6"/>
      <c r="R558" s="6"/>
      <c r="S558" s="6"/>
      <c r="T558" s="9"/>
      <c r="U558" s="9"/>
      <c r="V558" s="9"/>
      <c r="W558" s="9"/>
      <c r="X558" s="9"/>
      <c r="Y558" s="9"/>
      <c r="Z558" s="9"/>
      <c r="AA558" s="9"/>
    </row>
    <row r="559" spans="16:27">
      <c r="P559" s="6"/>
      <c r="Q559" s="6"/>
      <c r="R559" s="6"/>
      <c r="S559" s="6"/>
      <c r="T559" s="9"/>
      <c r="U559" s="9"/>
      <c r="V559" s="9"/>
      <c r="W559" s="9"/>
      <c r="X559" s="9"/>
      <c r="Y559" s="9"/>
      <c r="Z559" s="9"/>
      <c r="AA559" s="9"/>
    </row>
    <row r="560" spans="16:27">
      <c r="P560" s="6"/>
      <c r="Q560" s="6"/>
      <c r="R560" s="6"/>
      <c r="S560" s="6"/>
      <c r="T560" s="9"/>
      <c r="U560" s="9"/>
      <c r="V560" s="9"/>
      <c r="W560" s="9"/>
      <c r="X560" s="9"/>
      <c r="Y560" s="9"/>
      <c r="Z560" s="9"/>
      <c r="AA560" s="9"/>
    </row>
    <row r="561" spans="16:27">
      <c r="P561" s="6"/>
      <c r="Q561" s="6"/>
      <c r="R561" s="6"/>
      <c r="S561" s="6"/>
      <c r="T561" s="9"/>
      <c r="U561" s="9"/>
      <c r="V561" s="9"/>
      <c r="W561" s="9"/>
      <c r="X561" s="9"/>
      <c r="Y561" s="9"/>
      <c r="Z561" s="9"/>
      <c r="AA561" s="9"/>
    </row>
    <row r="562" spans="16:27">
      <c r="P562" s="6"/>
      <c r="Q562" s="6"/>
      <c r="R562" s="6"/>
      <c r="S562" s="6"/>
      <c r="T562" s="9"/>
      <c r="U562" s="9"/>
      <c r="V562" s="9"/>
      <c r="W562" s="9"/>
      <c r="X562" s="9"/>
      <c r="Y562" s="9"/>
      <c r="Z562" s="9"/>
      <c r="AA562" s="9"/>
    </row>
    <row r="563" spans="16:27">
      <c r="P563" s="6"/>
      <c r="Q563" s="6"/>
      <c r="R563" s="6"/>
      <c r="S563" s="6"/>
      <c r="T563" s="9"/>
      <c r="U563" s="9"/>
      <c r="V563" s="9"/>
      <c r="W563" s="9"/>
      <c r="X563" s="9"/>
      <c r="Y563" s="9"/>
      <c r="Z563" s="9"/>
      <c r="AA563" s="9"/>
    </row>
    <row r="564" spans="16:27">
      <c r="P564" s="6"/>
      <c r="Q564" s="6"/>
      <c r="R564" s="6"/>
      <c r="S564" s="6"/>
      <c r="T564" s="9"/>
      <c r="U564" s="9"/>
      <c r="V564" s="9"/>
      <c r="W564" s="9"/>
      <c r="X564" s="9"/>
      <c r="Y564" s="9"/>
      <c r="Z564" s="9"/>
      <c r="AA564" s="9"/>
    </row>
    <row r="565" spans="16:27">
      <c r="P565" s="6"/>
      <c r="Q565" s="6"/>
      <c r="R565" s="6"/>
      <c r="S565" s="6"/>
      <c r="T565" s="9"/>
      <c r="U565" s="9"/>
      <c r="V565" s="9"/>
      <c r="W565" s="9"/>
      <c r="X565" s="9"/>
      <c r="Y565" s="9"/>
      <c r="Z565" s="9"/>
      <c r="AA565" s="9"/>
    </row>
    <row r="566" spans="16:27">
      <c r="P566" s="6"/>
      <c r="Q566" s="6"/>
      <c r="R566" s="6"/>
      <c r="S566" s="6"/>
      <c r="T566" s="9"/>
      <c r="U566" s="9"/>
      <c r="V566" s="9"/>
      <c r="W566" s="9"/>
      <c r="X566" s="9"/>
      <c r="Y566" s="9"/>
      <c r="Z566" s="9"/>
      <c r="AA566" s="9"/>
    </row>
    <row r="567" spans="16:27">
      <c r="P567" s="6"/>
      <c r="Q567" s="6"/>
      <c r="R567" s="6"/>
      <c r="S567" s="6"/>
      <c r="T567" s="9"/>
      <c r="U567" s="9"/>
      <c r="V567" s="9"/>
      <c r="W567" s="9"/>
      <c r="X567" s="9"/>
      <c r="Y567" s="9"/>
      <c r="Z567" s="9"/>
      <c r="AA567" s="9"/>
    </row>
    <row r="568" spans="16:27">
      <c r="P568" s="6"/>
      <c r="Q568" s="6"/>
      <c r="R568" s="6"/>
      <c r="S568" s="6"/>
      <c r="T568" s="9"/>
      <c r="U568" s="9"/>
      <c r="V568" s="9"/>
      <c r="W568" s="9"/>
      <c r="X568" s="9"/>
      <c r="Y568" s="9"/>
      <c r="Z568" s="9"/>
      <c r="AA568" s="9"/>
    </row>
    <row r="569" spans="16:27">
      <c r="P569" s="6"/>
      <c r="Q569" s="6"/>
      <c r="R569" s="6"/>
      <c r="S569" s="6"/>
      <c r="T569" s="9"/>
      <c r="U569" s="9"/>
      <c r="V569" s="9"/>
      <c r="W569" s="9"/>
      <c r="X569" s="9"/>
      <c r="Y569" s="9"/>
      <c r="Z569" s="9"/>
      <c r="AA569" s="9"/>
    </row>
    <row r="570" spans="16:27">
      <c r="P570" s="6"/>
      <c r="Q570" s="6"/>
      <c r="R570" s="6"/>
      <c r="S570" s="6"/>
      <c r="T570" s="9"/>
      <c r="U570" s="9"/>
      <c r="V570" s="9"/>
      <c r="W570" s="9"/>
      <c r="X570" s="9"/>
      <c r="Y570" s="9"/>
      <c r="Z570" s="9"/>
      <c r="AA570" s="9"/>
    </row>
    <row r="571" spans="16:27">
      <c r="P571" s="6"/>
      <c r="Q571" s="6"/>
      <c r="R571" s="6"/>
      <c r="S571" s="6"/>
      <c r="T571" s="9"/>
      <c r="U571" s="9"/>
      <c r="V571" s="9"/>
      <c r="W571" s="9"/>
      <c r="X571" s="9"/>
      <c r="Y571" s="9"/>
      <c r="Z571" s="9"/>
      <c r="AA571" s="9"/>
    </row>
    <row r="572" spans="16:27">
      <c r="P572" s="6"/>
      <c r="Q572" s="6"/>
      <c r="R572" s="6"/>
      <c r="S572" s="6"/>
      <c r="T572" s="9"/>
      <c r="U572" s="9"/>
      <c r="V572" s="9"/>
      <c r="W572" s="9"/>
      <c r="X572" s="9"/>
      <c r="Y572" s="9"/>
      <c r="Z572" s="9"/>
      <c r="AA572" s="9"/>
    </row>
    <row r="573" spans="16:27">
      <c r="P573" s="6"/>
      <c r="Q573" s="6"/>
      <c r="R573" s="6"/>
      <c r="S573" s="6"/>
      <c r="T573" s="9"/>
      <c r="U573" s="9"/>
      <c r="V573" s="9"/>
      <c r="W573" s="9"/>
      <c r="X573" s="9"/>
      <c r="Y573" s="9"/>
      <c r="Z573" s="9"/>
      <c r="AA573" s="9"/>
    </row>
    <row r="574" spans="16:27">
      <c r="P574" s="6"/>
      <c r="Q574" s="6"/>
      <c r="R574" s="6"/>
      <c r="S574" s="6"/>
      <c r="T574" s="9"/>
      <c r="U574" s="9"/>
      <c r="V574" s="9"/>
      <c r="W574" s="9"/>
      <c r="X574" s="9"/>
      <c r="Y574" s="9"/>
      <c r="Z574" s="9"/>
      <c r="AA574" s="9"/>
    </row>
    <row r="575" spans="16:27">
      <c r="P575" s="6"/>
      <c r="Q575" s="6"/>
      <c r="R575" s="6"/>
      <c r="S575" s="6"/>
      <c r="T575" s="9"/>
      <c r="U575" s="9"/>
      <c r="V575" s="9"/>
      <c r="W575" s="9"/>
      <c r="X575" s="9"/>
      <c r="Y575" s="9"/>
      <c r="Z575" s="9"/>
      <c r="AA575" s="9"/>
    </row>
    <row r="576" spans="16:27">
      <c r="P576" s="6"/>
      <c r="Q576" s="6"/>
      <c r="R576" s="6"/>
      <c r="S576" s="6"/>
      <c r="T576" s="9"/>
      <c r="U576" s="9"/>
      <c r="V576" s="9"/>
      <c r="W576" s="9"/>
      <c r="X576" s="9"/>
      <c r="Y576" s="9"/>
      <c r="Z576" s="9"/>
      <c r="AA576" s="9"/>
    </row>
    <row r="577" spans="16:27">
      <c r="P577" s="6"/>
      <c r="Q577" s="6"/>
      <c r="R577" s="6"/>
      <c r="S577" s="6"/>
      <c r="T577" s="9"/>
      <c r="U577" s="9"/>
      <c r="V577" s="9"/>
      <c r="W577" s="9"/>
      <c r="X577" s="9"/>
      <c r="Y577" s="9"/>
      <c r="Z577" s="9"/>
      <c r="AA577" s="9"/>
    </row>
    <row r="578" spans="16:27">
      <c r="P578" s="6"/>
      <c r="Q578" s="6"/>
      <c r="R578" s="6"/>
      <c r="S578" s="6"/>
      <c r="T578" s="9"/>
      <c r="U578" s="9"/>
      <c r="V578" s="9"/>
      <c r="W578" s="9"/>
      <c r="X578" s="9"/>
      <c r="Y578" s="9"/>
      <c r="Z578" s="9"/>
      <c r="AA578" s="9"/>
    </row>
    <row r="579" spans="16:27">
      <c r="P579" s="6"/>
      <c r="Q579" s="6"/>
      <c r="R579" s="6"/>
      <c r="S579" s="6"/>
      <c r="T579" s="9"/>
      <c r="U579" s="9"/>
      <c r="V579" s="9"/>
      <c r="W579" s="9"/>
      <c r="X579" s="9"/>
      <c r="Y579" s="9"/>
      <c r="Z579" s="9"/>
      <c r="AA579" s="9"/>
    </row>
    <row r="580" spans="16:27">
      <c r="P580" s="6"/>
      <c r="Q580" s="6"/>
      <c r="R580" s="6"/>
      <c r="S580" s="6"/>
      <c r="T580" s="9"/>
      <c r="U580" s="9"/>
      <c r="V580" s="9"/>
      <c r="W580" s="9"/>
      <c r="X580" s="9"/>
      <c r="Y580" s="9"/>
      <c r="Z580" s="9"/>
      <c r="AA580" s="9"/>
    </row>
    <row r="581" spans="16:27">
      <c r="P581" s="6"/>
      <c r="Q581" s="6"/>
      <c r="R581" s="6"/>
      <c r="S581" s="6"/>
      <c r="T581" s="9"/>
      <c r="U581" s="9"/>
      <c r="V581" s="9"/>
      <c r="W581" s="9"/>
      <c r="X581" s="9"/>
      <c r="Y581" s="9"/>
      <c r="Z581" s="9"/>
      <c r="AA581" s="9"/>
    </row>
    <row r="582" spans="16:27">
      <c r="P582" s="6"/>
      <c r="Q582" s="6"/>
      <c r="R582" s="6"/>
      <c r="S582" s="6"/>
      <c r="T582" s="9"/>
      <c r="U582" s="9"/>
      <c r="V582" s="9"/>
      <c r="W582" s="9"/>
      <c r="X582" s="9"/>
      <c r="Y582" s="9"/>
      <c r="Z582" s="9"/>
      <c r="AA582" s="9"/>
    </row>
    <row r="583" spans="16:27">
      <c r="P583" s="6"/>
      <c r="Q583" s="6"/>
      <c r="R583" s="6"/>
      <c r="S583" s="6"/>
      <c r="T583" s="9"/>
      <c r="U583" s="9"/>
      <c r="V583" s="9"/>
      <c r="W583" s="9"/>
      <c r="X583" s="9"/>
      <c r="Y583" s="9"/>
      <c r="Z583" s="9"/>
      <c r="AA583" s="9"/>
    </row>
    <row r="584" spans="16:27">
      <c r="P584" s="6"/>
      <c r="Q584" s="6"/>
      <c r="R584" s="6"/>
      <c r="S584" s="6"/>
      <c r="T584" s="9"/>
      <c r="U584" s="9"/>
      <c r="V584" s="9"/>
      <c r="W584" s="9"/>
      <c r="X584" s="9"/>
      <c r="Y584" s="9"/>
      <c r="Z584" s="9"/>
      <c r="AA584" s="9"/>
    </row>
    <row r="585" spans="16:27">
      <c r="P585" s="6"/>
      <c r="Q585" s="6"/>
      <c r="R585" s="6"/>
      <c r="S585" s="6"/>
      <c r="T585" s="9"/>
      <c r="U585" s="9"/>
      <c r="V585" s="9"/>
      <c r="W585" s="9"/>
      <c r="X585" s="9"/>
      <c r="Y585" s="9"/>
      <c r="Z585" s="9"/>
      <c r="AA585" s="9"/>
    </row>
    <row r="586" spans="16:27">
      <c r="P586" s="6"/>
      <c r="Q586" s="6"/>
      <c r="R586" s="6"/>
      <c r="S586" s="6"/>
      <c r="T586" s="9"/>
      <c r="U586" s="9"/>
      <c r="V586" s="9"/>
      <c r="W586" s="9"/>
      <c r="X586" s="9"/>
      <c r="Y586" s="9"/>
      <c r="Z586" s="9"/>
      <c r="AA586" s="9"/>
    </row>
    <row r="587" spans="16:27">
      <c r="P587" s="6"/>
      <c r="Q587" s="6"/>
      <c r="R587" s="6"/>
      <c r="S587" s="6"/>
      <c r="T587" s="9"/>
      <c r="U587" s="9"/>
      <c r="V587" s="9"/>
      <c r="W587" s="9"/>
      <c r="X587" s="9"/>
      <c r="Y587" s="9"/>
      <c r="Z587" s="9"/>
      <c r="AA587" s="9"/>
    </row>
    <row r="588" spans="16:27">
      <c r="P588" s="6"/>
      <c r="Q588" s="6"/>
      <c r="R588" s="6"/>
      <c r="S588" s="6"/>
      <c r="T588" s="9"/>
      <c r="U588" s="9"/>
      <c r="V588" s="9"/>
      <c r="W588" s="9"/>
      <c r="X588" s="9"/>
      <c r="Y588" s="9"/>
      <c r="Z588" s="9"/>
      <c r="AA588" s="9"/>
    </row>
    <row r="589" spans="16:27">
      <c r="P589" s="6"/>
      <c r="Q589" s="6"/>
      <c r="R589" s="6"/>
      <c r="S589" s="6"/>
      <c r="T589" s="9"/>
      <c r="U589" s="9"/>
      <c r="V589" s="9"/>
      <c r="W589" s="9"/>
      <c r="X589" s="9"/>
      <c r="Y589" s="9"/>
      <c r="Z589" s="9"/>
      <c r="AA589" s="9"/>
    </row>
    <row r="590" spans="16:27">
      <c r="P590" s="6"/>
      <c r="Q590" s="6"/>
      <c r="R590" s="6"/>
      <c r="S590" s="6"/>
      <c r="T590" s="9"/>
      <c r="U590" s="9"/>
      <c r="V590" s="9"/>
      <c r="W590" s="9"/>
      <c r="X590" s="9"/>
      <c r="Y590" s="9"/>
      <c r="Z590" s="9"/>
      <c r="AA590" s="9"/>
    </row>
    <row r="591" spans="16:27">
      <c r="P591" s="6"/>
      <c r="Q591" s="6"/>
      <c r="R591" s="6"/>
      <c r="S591" s="6"/>
      <c r="T591" s="9"/>
      <c r="U591" s="9"/>
      <c r="V591" s="9"/>
      <c r="W591" s="9"/>
      <c r="X591" s="9"/>
      <c r="Y591" s="9"/>
      <c r="Z591" s="9"/>
      <c r="AA591" s="9"/>
    </row>
    <row r="592" spans="16:27">
      <c r="P592" s="6"/>
      <c r="Q592" s="6"/>
      <c r="R592" s="6"/>
      <c r="S592" s="6"/>
      <c r="T592" s="9"/>
      <c r="U592" s="9"/>
      <c r="V592" s="9"/>
      <c r="W592" s="9"/>
      <c r="X592" s="9"/>
      <c r="Y592" s="9"/>
      <c r="Z592" s="9"/>
      <c r="AA592" s="9"/>
    </row>
    <row r="593" spans="16:27">
      <c r="P593" s="6"/>
      <c r="Q593" s="6"/>
      <c r="R593" s="6"/>
      <c r="S593" s="6"/>
      <c r="T593" s="9"/>
      <c r="U593" s="9"/>
      <c r="V593" s="9"/>
      <c r="W593" s="9"/>
      <c r="X593" s="9"/>
      <c r="Y593" s="9"/>
      <c r="Z593" s="9"/>
      <c r="AA593" s="9"/>
    </row>
    <row r="594" spans="16:27">
      <c r="P594" s="6"/>
      <c r="Q594" s="6"/>
      <c r="R594" s="6"/>
      <c r="S594" s="6"/>
      <c r="T594" s="9"/>
      <c r="U594" s="9"/>
      <c r="V594" s="9"/>
      <c r="W594" s="9"/>
      <c r="X594" s="9"/>
      <c r="Y594" s="9"/>
      <c r="Z594" s="9"/>
      <c r="AA594" s="9"/>
    </row>
    <row r="595" spans="16:27">
      <c r="P595" s="6"/>
      <c r="Q595" s="6"/>
      <c r="R595" s="6"/>
      <c r="S595" s="6"/>
      <c r="T595" s="9"/>
      <c r="U595" s="9"/>
      <c r="V595" s="9"/>
      <c r="W595" s="9"/>
      <c r="X595" s="9"/>
      <c r="Y595" s="9"/>
      <c r="Z595" s="9"/>
      <c r="AA595" s="9"/>
    </row>
    <row r="596" spans="16:27">
      <c r="P596" s="6"/>
      <c r="Q596" s="6"/>
      <c r="R596" s="6"/>
      <c r="S596" s="6"/>
      <c r="T596" s="9"/>
      <c r="U596" s="9"/>
      <c r="V596" s="9"/>
      <c r="W596" s="9"/>
      <c r="X596" s="9"/>
      <c r="Y596" s="9"/>
      <c r="Z596" s="9"/>
      <c r="AA596" s="9"/>
    </row>
    <row r="597" spans="16:27">
      <c r="P597" s="6"/>
      <c r="Q597" s="6"/>
      <c r="R597" s="6"/>
      <c r="S597" s="6"/>
      <c r="T597" s="9"/>
      <c r="U597" s="9"/>
      <c r="V597" s="9"/>
      <c r="W597" s="9"/>
      <c r="X597" s="9"/>
      <c r="Y597" s="9"/>
      <c r="Z597" s="9"/>
      <c r="AA597" s="9"/>
    </row>
    <row r="598" spans="16:27">
      <c r="P598" s="6"/>
      <c r="Q598" s="6"/>
      <c r="R598" s="6"/>
      <c r="S598" s="6"/>
      <c r="T598" s="9"/>
      <c r="U598" s="9"/>
      <c r="V598" s="9"/>
      <c r="W598" s="9"/>
      <c r="X598" s="9"/>
      <c r="Y598" s="9"/>
      <c r="Z598" s="9"/>
      <c r="AA598" s="9"/>
    </row>
    <row r="599" spans="16:27">
      <c r="P599" s="6"/>
      <c r="Q599" s="6"/>
      <c r="R599" s="6"/>
      <c r="S599" s="6"/>
      <c r="T599" s="9"/>
      <c r="U599" s="9"/>
      <c r="V599" s="9"/>
      <c r="W599" s="9"/>
      <c r="X599" s="9"/>
      <c r="Y599" s="9"/>
      <c r="Z599" s="9"/>
      <c r="AA599" s="9"/>
    </row>
    <row r="600" spans="16:27">
      <c r="P600" s="6"/>
      <c r="Q600" s="6"/>
      <c r="R600" s="6"/>
      <c r="S600" s="6"/>
      <c r="T600" s="9"/>
      <c r="U600" s="9"/>
      <c r="V600" s="9"/>
      <c r="W600" s="9"/>
      <c r="X600" s="9"/>
      <c r="Y600" s="9"/>
      <c r="Z600" s="9"/>
      <c r="AA600" s="9"/>
    </row>
    <row r="601" spans="16:27">
      <c r="P601" s="6"/>
      <c r="Q601" s="6"/>
      <c r="R601" s="6"/>
      <c r="S601" s="6"/>
      <c r="T601" s="9"/>
      <c r="U601" s="9"/>
      <c r="V601" s="9"/>
      <c r="W601" s="9"/>
      <c r="X601" s="9"/>
      <c r="Y601" s="9"/>
      <c r="Z601" s="9"/>
      <c r="AA601" s="9"/>
    </row>
    <row r="602" spans="16:27">
      <c r="P602" s="6"/>
      <c r="Q602" s="6"/>
      <c r="R602" s="6"/>
      <c r="S602" s="6"/>
      <c r="T602" s="9"/>
      <c r="U602" s="9"/>
      <c r="V602" s="9"/>
      <c r="W602" s="9"/>
      <c r="X602" s="9"/>
      <c r="Y602" s="9"/>
      <c r="Z602" s="9"/>
      <c r="AA602" s="9"/>
    </row>
    <row r="603" spans="16:27">
      <c r="P603" s="6"/>
      <c r="Q603" s="6"/>
      <c r="R603" s="6"/>
      <c r="S603" s="6"/>
      <c r="T603" s="9"/>
      <c r="U603" s="9"/>
      <c r="V603" s="9"/>
      <c r="W603" s="9"/>
      <c r="X603" s="9"/>
      <c r="Y603" s="9"/>
      <c r="Z603" s="9"/>
      <c r="AA603" s="9"/>
    </row>
    <row r="604" spans="16:27">
      <c r="P604" s="6"/>
      <c r="Q604" s="6"/>
      <c r="R604" s="6"/>
      <c r="S604" s="6"/>
      <c r="T604" s="9"/>
      <c r="U604" s="9"/>
      <c r="V604" s="9"/>
      <c r="W604" s="9"/>
      <c r="X604" s="9"/>
      <c r="Y604" s="9"/>
      <c r="Z604" s="9"/>
      <c r="AA604" s="9"/>
    </row>
    <row r="605" spans="16:27">
      <c r="P605" s="6"/>
      <c r="Q605" s="6"/>
      <c r="R605" s="6"/>
      <c r="S605" s="6"/>
      <c r="T605" s="9"/>
      <c r="U605" s="9"/>
      <c r="V605" s="9"/>
      <c r="W605" s="9"/>
      <c r="X605" s="9"/>
      <c r="Y605" s="9"/>
      <c r="Z605" s="9"/>
      <c r="AA605" s="9"/>
    </row>
    <row r="606" spans="16:27">
      <c r="P606" s="6"/>
      <c r="Q606" s="6"/>
      <c r="R606" s="6"/>
      <c r="S606" s="6"/>
      <c r="T606" s="9"/>
      <c r="U606" s="9"/>
      <c r="V606" s="9"/>
      <c r="W606" s="9"/>
      <c r="X606" s="9"/>
      <c r="Y606" s="9"/>
      <c r="Z606" s="9"/>
      <c r="AA606" s="9"/>
    </row>
    <row r="607" spans="16:27">
      <c r="P607" s="6"/>
      <c r="Q607" s="6"/>
      <c r="R607" s="6"/>
      <c r="S607" s="6"/>
      <c r="T607" s="9"/>
      <c r="U607" s="9"/>
      <c r="V607" s="9"/>
      <c r="W607" s="9"/>
      <c r="X607" s="9"/>
      <c r="Y607" s="9"/>
      <c r="Z607" s="9"/>
      <c r="AA607" s="9"/>
    </row>
    <row r="608" spans="16:27">
      <c r="P608" s="6"/>
      <c r="Q608" s="6"/>
      <c r="R608" s="6"/>
      <c r="S608" s="6"/>
      <c r="T608" s="9"/>
      <c r="U608" s="9"/>
      <c r="V608" s="9"/>
      <c r="W608" s="9"/>
      <c r="X608" s="9"/>
      <c r="Y608" s="9"/>
      <c r="Z608" s="9"/>
      <c r="AA608" s="9"/>
    </row>
    <row r="609" spans="16:27">
      <c r="P609" s="6"/>
      <c r="Q609" s="6"/>
      <c r="R609" s="6"/>
      <c r="S609" s="6"/>
      <c r="T609" s="9"/>
      <c r="U609" s="9"/>
      <c r="V609" s="9"/>
      <c r="W609" s="9"/>
      <c r="X609" s="9"/>
      <c r="Y609" s="9"/>
      <c r="Z609" s="9"/>
      <c r="AA609" s="9"/>
    </row>
    <row r="610" spans="16:27">
      <c r="P610" s="6"/>
      <c r="Q610" s="6"/>
      <c r="R610" s="6"/>
      <c r="S610" s="6"/>
      <c r="T610" s="9"/>
      <c r="U610" s="9"/>
      <c r="V610" s="9"/>
      <c r="W610" s="9"/>
      <c r="X610" s="9"/>
      <c r="Y610" s="9"/>
      <c r="Z610" s="9"/>
      <c r="AA610" s="9"/>
    </row>
    <row r="611" spans="16:27">
      <c r="P611" s="6"/>
      <c r="Q611" s="6"/>
      <c r="R611" s="6"/>
      <c r="S611" s="6"/>
      <c r="T611" s="9"/>
      <c r="U611" s="9"/>
      <c r="V611" s="9"/>
      <c r="W611" s="9"/>
      <c r="X611" s="9"/>
      <c r="Y611" s="9"/>
      <c r="Z611" s="9"/>
      <c r="AA611" s="9"/>
    </row>
    <row r="612" spans="16:27">
      <c r="P612" s="6"/>
      <c r="Q612" s="6"/>
      <c r="R612" s="6"/>
      <c r="S612" s="6"/>
      <c r="T612" s="9"/>
      <c r="U612" s="9"/>
      <c r="V612" s="9"/>
      <c r="W612" s="9"/>
      <c r="X612" s="9"/>
      <c r="Y612" s="9"/>
      <c r="Z612" s="9"/>
      <c r="AA612" s="9"/>
    </row>
    <row r="613" spans="16:27">
      <c r="P613" s="6"/>
      <c r="Q613" s="6"/>
      <c r="R613" s="6"/>
      <c r="S613" s="6"/>
      <c r="T613" s="9"/>
      <c r="U613" s="9"/>
      <c r="V613" s="9"/>
      <c r="W613" s="9"/>
      <c r="X613" s="9"/>
      <c r="Y613" s="9"/>
      <c r="Z613" s="9"/>
      <c r="AA613" s="9"/>
    </row>
    <row r="614" spans="16:27">
      <c r="P614" s="6"/>
      <c r="Q614" s="6"/>
      <c r="R614" s="6"/>
      <c r="S614" s="6"/>
      <c r="T614" s="9"/>
      <c r="U614" s="9"/>
      <c r="V614" s="9"/>
      <c r="W614" s="9"/>
      <c r="X614" s="9"/>
      <c r="Y614" s="9"/>
      <c r="Z614" s="9"/>
      <c r="AA614" s="9"/>
    </row>
    <row r="615" spans="16:27">
      <c r="P615" s="6"/>
      <c r="Q615" s="6"/>
      <c r="R615" s="6"/>
      <c r="S615" s="6"/>
      <c r="T615" s="9"/>
      <c r="U615" s="9"/>
      <c r="V615" s="9"/>
      <c r="W615" s="9"/>
      <c r="X615" s="9"/>
      <c r="Y615" s="9"/>
      <c r="Z615" s="9"/>
      <c r="AA615" s="9"/>
    </row>
    <row r="616" spans="16:27">
      <c r="P616" s="6"/>
      <c r="Q616" s="6"/>
      <c r="R616" s="6"/>
      <c r="S616" s="6"/>
      <c r="T616" s="9"/>
      <c r="U616" s="9"/>
      <c r="V616" s="9"/>
      <c r="W616" s="9"/>
      <c r="X616" s="9"/>
      <c r="Y616" s="9"/>
      <c r="Z616" s="9"/>
      <c r="AA616" s="9"/>
    </row>
    <row r="617" spans="16:27">
      <c r="P617" s="6"/>
      <c r="Q617" s="6"/>
      <c r="R617" s="6"/>
      <c r="S617" s="6"/>
      <c r="T617" s="9"/>
      <c r="U617" s="9"/>
      <c r="V617" s="9"/>
      <c r="W617" s="9"/>
      <c r="X617" s="9"/>
      <c r="Y617" s="9"/>
      <c r="Z617" s="9"/>
      <c r="AA617" s="9"/>
    </row>
    <row r="618" spans="16:27">
      <c r="P618" s="6"/>
      <c r="Q618" s="6"/>
      <c r="R618" s="6"/>
      <c r="S618" s="6"/>
      <c r="T618" s="9"/>
      <c r="U618" s="9"/>
      <c r="V618" s="9"/>
      <c r="W618" s="9"/>
      <c r="X618" s="9"/>
      <c r="Y618" s="9"/>
      <c r="Z618" s="9"/>
      <c r="AA618" s="9"/>
    </row>
    <row r="619" spans="16:27">
      <c r="P619" s="6"/>
      <c r="Q619" s="6"/>
      <c r="R619" s="6"/>
      <c r="S619" s="6"/>
      <c r="T619" s="9"/>
      <c r="U619" s="9"/>
      <c r="V619" s="9"/>
      <c r="W619" s="9"/>
      <c r="X619" s="9"/>
      <c r="Y619" s="9"/>
      <c r="Z619" s="9"/>
      <c r="AA619" s="9"/>
    </row>
    <row r="620" spans="16:27">
      <c r="P620" s="6"/>
      <c r="Q620" s="6"/>
      <c r="R620" s="6"/>
      <c r="S620" s="6"/>
      <c r="T620" s="9"/>
      <c r="U620" s="9"/>
      <c r="V620" s="9"/>
      <c r="W620" s="9"/>
      <c r="X620" s="9"/>
      <c r="Y620" s="9"/>
      <c r="Z620" s="9"/>
      <c r="AA620" s="9"/>
    </row>
    <row r="621" spans="16:27">
      <c r="P621" s="6"/>
      <c r="Q621" s="6"/>
      <c r="R621" s="6"/>
      <c r="S621" s="6"/>
      <c r="T621" s="9"/>
      <c r="U621" s="9"/>
      <c r="V621" s="9"/>
      <c r="W621" s="9"/>
      <c r="X621" s="9"/>
      <c r="Y621" s="9"/>
      <c r="Z621" s="9"/>
      <c r="AA621" s="9"/>
    </row>
    <row r="622" spans="16:27">
      <c r="P622" s="6"/>
      <c r="Q622" s="6"/>
      <c r="R622" s="6"/>
      <c r="S622" s="6"/>
      <c r="T622" s="9"/>
      <c r="U622" s="9"/>
      <c r="V622" s="9"/>
      <c r="W622" s="9"/>
      <c r="X622" s="9"/>
      <c r="Y622" s="9"/>
      <c r="Z622" s="9"/>
      <c r="AA622" s="9"/>
    </row>
    <row r="623" spans="16:27">
      <c r="P623" s="6"/>
      <c r="Q623" s="6"/>
      <c r="R623" s="6"/>
      <c r="S623" s="6"/>
      <c r="T623" s="9"/>
      <c r="U623" s="9"/>
      <c r="V623" s="9"/>
      <c r="W623" s="9"/>
      <c r="X623" s="9"/>
      <c r="Y623" s="9"/>
      <c r="Z623" s="9"/>
      <c r="AA623" s="9"/>
    </row>
    <row r="624" spans="16:27">
      <c r="P624" s="6"/>
      <c r="Q624" s="6"/>
      <c r="R624" s="6"/>
      <c r="S624" s="6"/>
      <c r="T624" s="9"/>
      <c r="U624" s="9"/>
      <c r="V624" s="9"/>
      <c r="W624" s="9"/>
      <c r="X624" s="9"/>
      <c r="Y624" s="9"/>
      <c r="Z624" s="9"/>
      <c r="AA624" s="9"/>
    </row>
    <row r="625" spans="16:27">
      <c r="P625" s="6"/>
      <c r="Q625" s="6"/>
      <c r="R625" s="6"/>
      <c r="S625" s="6"/>
      <c r="T625" s="9"/>
      <c r="U625" s="9"/>
      <c r="V625" s="9"/>
      <c r="W625" s="9"/>
      <c r="X625" s="9"/>
      <c r="Y625" s="9"/>
      <c r="Z625" s="9"/>
      <c r="AA625" s="9"/>
    </row>
    <row r="626" spans="16:27">
      <c r="P626" s="6"/>
      <c r="Q626" s="6"/>
      <c r="R626" s="6"/>
      <c r="S626" s="6"/>
      <c r="T626" s="9"/>
      <c r="U626" s="9"/>
      <c r="V626" s="9"/>
      <c r="W626" s="9"/>
      <c r="X626" s="9"/>
      <c r="Y626" s="9"/>
      <c r="Z626" s="9"/>
      <c r="AA626" s="9"/>
    </row>
    <row r="627" spans="16:27">
      <c r="P627" s="6"/>
      <c r="Q627" s="6"/>
      <c r="R627" s="6"/>
      <c r="S627" s="6"/>
      <c r="T627" s="9"/>
      <c r="U627" s="9"/>
      <c r="V627" s="9"/>
      <c r="W627" s="9"/>
      <c r="X627" s="9"/>
      <c r="Y627" s="9"/>
      <c r="Z627" s="9"/>
      <c r="AA627" s="9"/>
    </row>
    <row r="628" spans="16:27">
      <c r="P628" s="6"/>
      <c r="Q628" s="6"/>
      <c r="R628" s="6"/>
      <c r="S628" s="6"/>
      <c r="T628" s="9"/>
      <c r="U628" s="9"/>
      <c r="V628" s="9"/>
      <c r="W628" s="9"/>
      <c r="X628" s="9"/>
      <c r="Y628" s="9"/>
      <c r="Z628" s="9"/>
      <c r="AA628" s="9"/>
    </row>
    <row r="629" spans="16:27">
      <c r="P629" s="6"/>
      <c r="Q629" s="6"/>
      <c r="R629" s="6"/>
      <c r="S629" s="6"/>
      <c r="T629" s="9"/>
      <c r="U629" s="9"/>
      <c r="V629" s="9"/>
      <c r="W629" s="9"/>
      <c r="X629" s="9"/>
      <c r="Y629" s="9"/>
      <c r="Z629" s="9"/>
      <c r="AA629" s="9"/>
    </row>
    <row r="630" spans="16:27">
      <c r="P630" s="6"/>
      <c r="Q630" s="6"/>
      <c r="R630" s="6"/>
      <c r="S630" s="6"/>
      <c r="T630" s="9"/>
      <c r="U630" s="9"/>
      <c r="V630" s="9"/>
      <c r="W630" s="9"/>
      <c r="X630" s="9"/>
      <c r="Y630" s="9"/>
      <c r="Z630" s="9"/>
      <c r="AA630" s="9"/>
    </row>
    <row r="631" spans="16:27">
      <c r="P631" s="6"/>
      <c r="Q631" s="6"/>
      <c r="R631" s="6"/>
      <c r="S631" s="6"/>
      <c r="T631" s="9"/>
      <c r="U631" s="9"/>
      <c r="V631" s="9"/>
      <c r="W631" s="9"/>
      <c r="X631" s="9"/>
      <c r="Y631" s="9"/>
      <c r="Z631" s="9"/>
      <c r="AA631" s="9"/>
    </row>
  </sheetData>
  <sheetProtection algorithmName="SHA-512" hashValue="Y2YdpXW1Sjhfhm9vWUCotXsmKwwtHCTBPCm8gkSsP5dt+xAGyiK8y3U3PhOE99YEpLOY6UR11j7iuxp5NceT4w==" saltValue="nOzkMmBJyMqNS0ukVaW6mA==" spinCount="100000" sheet="1" formatCells="0" formatColumns="0" formatRows="0" insertColumns="0" insertRows="0" autoFilter="0"/>
  <autoFilter ref="L1:AA586"/>
  <sortState ref="A89:A119">
    <sortCondition ref="A89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3</vt:i4>
      </vt:variant>
    </vt:vector>
  </HeadingPairs>
  <TitlesOfParts>
    <vt:vector size="54" baseType="lpstr">
      <vt:lpstr>BasicInput</vt:lpstr>
      <vt:lpstr>SalariedEligibility</vt:lpstr>
      <vt:lpstr>ApplicantSalary</vt:lpstr>
      <vt:lpstr>Co-app1Salary</vt:lpstr>
      <vt:lpstr>Co-app2Salary</vt:lpstr>
      <vt:lpstr>Co-app3Salary</vt:lpstr>
      <vt:lpstr>A3SP&amp;L</vt:lpstr>
      <vt:lpstr>A3SBalSheet</vt:lpstr>
      <vt:lpstr>44AD,44ADA,44AEIncome</vt:lpstr>
      <vt:lpstr>26ASMapping</vt:lpstr>
      <vt:lpstr>GSTSummary</vt:lpstr>
      <vt:lpstr>Banking - Non PDF</vt:lpstr>
      <vt:lpstr>ExistingLoans&amp;Facilities&amp;RTR</vt:lpstr>
      <vt:lpstr>SelfEmployedEligibility</vt:lpstr>
      <vt:lpstr>AffordableCMAssessedIncome</vt:lpstr>
      <vt:lpstr>CAAssessment</vt:lpstr>
      <vt:lpstr>AverageBankingProgram</vt:lpstr>
      <vt:lpstr>AffordConsolidated</vt:lpstr>
      <vt:lpstr>Afford1</vt:lpstr>
      <vt:lpstr>Afford2</vt:lpstr>
      <vt:lpstr>Afford3</vt:lpstr>
      <vt:lpstr>Afford4</vt:lpstr>
      <vt:lpstr>Afford5</vt:lpstr>
      <vt:lpstr>PrimeCashProfitMethod</vt:lpstr>
      <vt:lpstr>PrimeConsolidated</vt:lpstr>
      <vt:lpstr>PrimeRatios&amp;Indicators</vt:lpstr>
      <vt:lpstr>PrimeCashFlow</vt:lpstr>
      <vt:lpstr>Prime1</vt:lpstr>
      <vt:lpstr>Prime2</vt:lpstr>
      <vt:lpstr>Prime3</vt:lpstr>
      <vt:lpstr>Prime4</vt:lpstr>
      <vt:lpstr>Prime5</vt:lpstr>
      <vt:lpstr>Prime6</vt:lpstr>
      <vt:lpstr>Prime7</vt:lpstr>
      <vt:lpstr>Prime8</vt:lpstr>
      <vt:lpstr>Prime9</vt:lpstr>
      <vt:lpstr>Prime10</vt:lpstr>
      <vt:lpstr>CSV1</vt:lpstr>
      <vt:lpstr>CSV2</vt:lpstr>
      <vt:lpstr>CSV3</vt:lpstr>
      <vt:lpstr>CSV4</vt:lpstr>
      <vt:lpstr>CSV5</vt:lpstr>
      <vt:lpstr>CSV6</vt:lpstr>
      <vt:lpstr>CSV7</vt:lpstr>
      <vt:lpstr>CSV8</vt:lpstr>
      <vt:lpstr>CSV9</vt:lpstr>
      <vt:lpstr>CSV10</vt:lpstr>
      <vt:lpstr>PrimeGrossTurnover</vt:lpstr>
      <vt:lpstr>PrimeGrossReceipts</vt:lpstr>
      <vt:lpstr>PrimeGrossProfit</vt:lpstr>
      <vt:lpstr>Validation</vt:lpstr>
      <vt:lpstr>Manufacturing</vt:lpstr>
      <vt:lpstr>Services</vt:lpstr>
      <vt:lpstr>Trading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Iyer</dc:creator>
  <cp:lastModifiedBy>Dharmendra Dalwe</cp:lastModifiedBy>
  <dcterms:created xsi:type="dcterms:W3CDTF">2018-07-07T16:14:00Z</dcterms:created>
  <dcterms:modified xsi:type="dcterms:W3CDTF">2024-03-07T13:04:10Z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BSLI\HF288001</vt:lpwstr>
  </property>
  <property fmtid="{D5CDD505-2E9C-101B-9397-08002B2CF9AE}" pid="4" name="DLPManualFileClassificationLastModificationDate">
    <vt:lpwstr>1679130719</vt:lpwstr>
  </property>
  <property fmtid="{D5CDD505-2E9C-101B-9397-08002B2CF9AE}" pid="5" name="DLPManualFileClassificationVersion">
    <vt:lpwstr>11.6.401.28</vt:lpwstr>
  </property>
  <property fmtid="{D5CDD505-2E9C-101B-9397-08002B2CF9AE}" pid="6" name="KSOProductBuildVer">
    <vt:lpwstr>1033-11.2.0.10017</vt:lpwstr>
  </property>
</Properties>
</file>