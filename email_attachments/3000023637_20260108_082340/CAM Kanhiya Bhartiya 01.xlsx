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Happy Flow Docs\"/>
    </mc:Choice>
  </mc:AlternateContent>
  <xr:revisionPtr revIDLastSave="0" documentId="13_ncr:1_{B49324C4-0CA6-44DF-AC04-D5AECCC6C1EC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G79" i="14"/>
  <c r="E79" i="14"/>
  <c r="D79" i="14"/>
  <c r="C79" i="14"/>
  <c r="F79" i="14" s="1"/>
  <c r="E78" i="14"/>
  <c r="D78" i="14"/>
  <c r="G78" i="14" s="1"/>
  <c r="C78" i="14"/>
  <c r="F78" i="14" s="1"/>
  <c r="E77" i="14"/>
  <c r="G77" i="14" s="1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C71" i="14"/>
  <c r="F71" i="14" s="1"/>
  <c r="G70" i="14"/>
  <c r="F70" i="14"/>
  <c r="F68" i="14"/>
  <c r="E68" i="14"/>
  <c r="D68" i="14"/>
  <c r="G68" i="14" s="1"/>
  <c r="C68" i="14"/>
  <c r="E67" i="14"/>
  <c r="E115" i="14" s="1"/>
  <c r="D67" i="14"/>
  <c r="C67" i="14"/>
  <c r="E65" i="14"/>
  <c r="D65" i="14"/>
  <c r="C65" i="14"/>
  <c r="E64" i="14"/>
  <c r="G64" i="14" s="1"/>
  <c r="D64" i="14"/>
  <c r="C64" i="14"/>
  <c r="F64" i="14" s="1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D52" i="14"/>
  <c r="G52" i="14" s="1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G44" i="14"/>
  <c r="E44" i="14"/>
  <c r="D44" i="14"/>
  <c r="C44" i="14"/>
  <c r="G42" i="14"/>
  <c r="F42" i="14"/>
  <c r="G41" i="14"/>
  <c r="F41" i="14"/>
  <c r="E40" i="14"/>
  <c r="D40" i="14"/>
  <c r="C40" i="14"/>
  <c r="F40" i="14" s="1"/>
  <c r="G39" i="14"/>
  <c r="E39" i="14"/>
  <c r="E106" i="14" s="1"/>
  <c r="D39" i="14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E28" i="14" s="1"/>
  <c r="D31" i="14"/>
  <c r="C31" i="14"/>
  <c r="E30" i="14"/>
  <c r="D30" i="14"/>
  <c r="G30" i="14" s="1"/>
  <c r="C30" i="14"/>
  <c r="F30" i="14" s="1"/>
  <c r="E29" i="14"/>
  <c r="D29" i="14"/>
  <c r="D28" i="14" s="1"/>
  <c r="G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G21" i="14"/>
  <c r="E21" i="14"/>
  <c r="D21" i="14"/>
  <c r="H13" i="30" s="1"/>
  <c r="C21" i="14"/>
  <c r="G20" i="14"/>
  <c r="F20" i="14"/>
  <c r="F19" i="14"/>
  <c r="E19" i="14"/>
  <c r="D19" i="14"/>
  <c r="G19" i="14" s="1"/>
  <c r="C19" i="14"/>
  <c r="G18" i="14"/>
  <c r="E18" i="14"/>
  <c r="D18" i="14"/>
  <c r="C18" i="14"/>
  <c r="G17" i="14"/>
  <c r="E17" i="14"/>
  <c r="D17" i="14"/>
  <c r="F17" i="14" s="1"/>
  <c r="C17" i="14"/>
  <c r="G16" i="14"/>
  <c r="F16" i="14"/>
  <c r="E15" i="14"/>
  <c r="E107" i="14" s="1"/>
  <c r="D15" i="14"/>
  <c r="G15" i="14" s="1"/>
  <c r="C15" i="14"/>
  <c r="F15" i="14" s="1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E95" i="13"/>
  <c r="D95" i="13"/>
  <c r="G95" i="13" s="1"/>
  <c r="C95" i="13"/>
  <c r="G94" i="13"/>
  <c r="F94" i="13"/>
  <c r="F93" i="13"/>
  <c r="E93" i="13"/>
  <c r="D93" i="13"/>
  <c r="C93" i="13"/>
  <c r="G92" i="13"/>
  <c r="F92" i="13"/>
  <c r="E90" i="13"/>
  <c r="G90" i="13" s="1"/>
  <c r="D90" i="13"/>
  <c r="C90" i="13"/>
  <c r="F90" i="13" s="1"/>
  <c r="E89" i="13"/>
  <c r="G89" i="13" s="1"/>
  <c r="D89" i="13"/>
  <c r="C89" i="13"/>
  <c r="E88" i="13"/>
  <c r="D88" i="13"/>
  <c r="C88" i="13"/>
  <c r="F87" i="13"/>
  <c r="E87" i="13"/>
  <c r="D87" i="13"/>
  <c r="C87" i="13"/>
  <c r="C86" i="13"/>
  <c r="C117" i="13" s="1"/>
  <c r="B86" i="13"/>
  <c r="B117" i="13" s="1"/>
  <c r="E85" i="13"/>
  <c r="D85" i="13"/>
  <c r="F85" i="13" s="1"/>
  <c r="C85" i="13"/>
  <c r="E84" i="13"/>
  <c r="D84" i="13"/>
  <c r="C84" i="13"/>
  <c r="E83" i="13"/>
  <c r="D83" i="13"/>
  <c r="G83" i="13" s="1"/>
  <c r="C83" i="13"/>
  <c r="E82" i="13"/>
  <c r="D82" i="13"/>
  <c r="G82" i="13" s="1"/>
  <c r="C82" i="13"/>
  <c r="E81" i="13"/>
  <c r="E80" i="13" s="1"/>
  <c r="D81" i="13"/>
  <c r="C81" i="13"/>
  <c r="B80" i="13"/>
  <c r="F79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G73" i="13"/>
  <c r="E73" i="13"/>
  <c r="D73" i="13"/>
  <c r="C73" i="13"/>
  <c r="F73" i="13" s="1"/>
  <c r="E72" i="13"/>
  <c r="D72" i="13"/>
  <c r="C72" i="13"/>
  <c r="G71" i="13"/>
  <c r="E71" i="13"/>
  <c r="D71" i="13"/>
  <c r="C71" i="13"/>
  <c r="F71" i="13" s="1"/>
  <c r="G70" i="13"/>
  <c r="F70" i="13"/>
  <c r="E68" i="13"/>
  <c r="D68" i="13"/>
  <c r="G68" i="13" s="1"/>
  <c r="C68" i="13"/>
  <c r="E67" i="13"/>
  <c r="D67" i="13"/>
  <c r="D115" i="13" s="1"/>
  <c r="C67" i="13"/>
  <c r="C115" i="13" s="1"/>
  <c r="F65" i="13"/>
  <c r="E65" i="13"/>
  <c r="D65" i="13"/>
  <c r="G65" i="13" s="1"/>
  <c r="C65" i="13"/>
  <c r="E64" i="13"/>
  <c r="D64" i="13"/>
  <c r="C64" i="13"/>
  <c r="B63" i="13"/>
  <c r="B66" i="13" s="1"/>
  <c r="G62" i="13"/>
  <c r="E62" i="13"/>
  <c r="D62" i="13"/>
  <c r="C62" i="13"/>
  <c r="F62" i="13" s="1"/>
  <c r="E61" i="13"/>
  <c r="D61" i="13"/>
  <c r="G61" i="13" s="1"/>
  <c r="C61" i="13"/>
  <c r="G60" i="13"/>
  <c r="E60" i="13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E50" i="13"/>
  <c r="D50" i="13"/>
  <c r="C50" i="13"/>
  <c r="F50" i="13" s="1"/>
  <c r="E48" i="13"/>
  <c r="G48" i="13" s="1"/>
  <c r="D48" i="13"/>
  <c r="C48" i="13"/>
  <c r="F48" i="13" s="1"/>
  <c r="G47" i="13"/>
  <c r="F47" i="13"/>
  <c r="F46" i="13"/>
  <c r="E46" i="13"/>
  <c r="D46" i="13"/>
  <c r="G46" i="13" s="1"/>
  <c r="C46" i="13"/>
  <c r="G45" i="13"/>
  <c r="F45" i="13"/>
  <c r="E44" i="13"/>
  <c r="G44" i="13" s="1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G39" i="13" s="1"/>
  <c r="C39" i="13"/>
  <c r="E37" i="13"/>
  <c r="D37" i="13"/>
  <c r="C37" i="13"/>
  <c r="E36" i="13"/>
  <c r="G36" i="13" s="1"/>
  <c r="D36" i="13"/>
  <c r="C36" i="13"/>
  <c r="F36" i="13" s="1"/>
  <c r="F35" i="13"/>
  <c r="E35" i="13"/>
  <c r="D35" i="13"/>
  <c r="G35" i="13" s="1"/>
  <c r="C35" i="13"/>
  <c r="E34" i="13"/>
  <c r="D34" i="13"/>
  <c r="C34" i="13"/>
  <c r="F32" i="13"/>
  <c r="E32" i="13"/>
  <c r="D32" i="13"/>
  <c r="G32" i="13" s="1"/>
  <c r="C32" i="13"/>
  <c r="E31" i="13"/>
  <c r="D31" i="13"/>
  <c r="C31" i="13"/>
  <c r="F30" i="13"/>
  <c r="E30" i="13"/>
  <c r="D30" i="13"/>
  <c r="G30" i="13" s="1"/>
  <c r="C30" i="13"/>
  <c r="F29" i="13"/>
  <c r="E29" i="13"/>
  <c r="D29" i="13"/>
  <c r="C29" i="13"/>
  <c r="C28" i="13"/>
  <c r="B28" i="13"/>
  <c r="B112" i="13" s="1"/>
  <c r="B27" i="13"/>
  <c r="B33" i="13" s="1"/>
  <c r="F26" i="13"/>
  <c r="E26" i="13"/>
  <c r="D26" i="13"/>
  <c r="G26" i="13" s="1"/>
  <c r="C26" i="13"/>
  <c r="E25" i="13"/>
  <c r="D25" i="13"/>
  <c r="C25" i="13"/>
  <c r="F25" i="13" s="1"/>
  <c r="F24" i="13"/>
  <c r="E24" i="13"/>
  <c r="D24" i="13"/>
  <c r="G24" i="13" s="1"/>
  <c r="C24" i="13"/>
  <c r="E22" i="13"/>
  <c r="D22" i="13"/>
  <c r="C22" i="13"/>
  <c r="E21" i="13"/>
  <c r="D21" i="13"/>
  <c r="H12" i="30" s="1"/>
  <c r="C21" i="13"/>
  <c r="G20" i="13"/>
  <c r="F20" i="13"/>
  <c r="E19" i="13"/>
  <c r="D19" i="13"/>
  <c r="G19" i="13" s="1"/>
  <c r="C19" i="13"/>
  <c r="E18" i="13"/>
  <c r="D18" i="13"/>
  <c r="F18" i="13" s="1"/>
  <c r="C18" i="13"/>
  <c r="E17" i="13"/>
  <c r="D17" i="13"/>
  <c r="C17" i="13"/>
  <c r="F17" i="13" s="1"/>
  <c r="G16" i="13"/>
  <c r="F16" i="13"/>
  <c r="E15" i="13"/>
  <c r="D15" i="13"/>
  <c r="G15" i="13" s="1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G97" i="12"/>
  <c r="E97" i="12"/>
  <c r="D97" i="12"/>
  <c r="C97" i="12"/>
  <c r="F95" i="12"/>
  <c r="E95" i="12"/>
  <c r="D95" i="12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E87" i="12"/>
  <c r="D87" i="12"/>
  <c r="G87" i="12" s="1"/>
  <c r="C87" i="12"/>
  <c r="B86" i="12"/>
  <c r="B117" i="12" s="1"/>
  <c r="E85" i="12"/>
  <c r="D85" i="12"/>
  <c r="C85" i="12"/>
  <c r="F85" i="12" s="1"/>
  <c r="E84" i="12"/>
  <c r="D84" i="12"/>
  <c r="C84" i="12"/>
  <c r="E83" i="12"/>
  <c r="D83" i="12"/>
  <c r="C83" i="12"/>
  <c r="F83" i="12" s="1"/>
  <c r="E82" i="12"/>
  <c r="D82" i="12"/>
  <c r="G82" i="12" s="1"/>
  <c r="C82" i="12"/>
  <c r="E81" i="12"/>
  <c r="D81" i="12"/>
  <c r="C81" i="12"/>
  <c r="C80" i="12" s="1"/>
  <c r="E80" i="12"/>
  <c r="B80" i="12"/>
  <c r="B111" i="12" s="1"/>
  <c r="G79" i="12"/>
  <c r="E79" i="12"/>
  <c r="D79" i="12"/>
  <c r="C79" i="12"/>
  <c r="F79" i="12" s="1"/>
  <c r="E78" i="12"/>
  <c r="D78" i="12"/>
  <c r="C78" i="12"/>
  <c r="F78" i="12" s="1"/>
  <c r="E77" i="12"/>
  <c r="D77" i="12"/>
  <c r="C77" i="12"/>
  <c r="F76" i="12"/>
  <c r="E76" i="12"/>
  <c r="D76" i="12"/>
  <c r="C76" i="12"/>
  <c r="E75" i="12"/>
  <c r="E74" i="12" s="1"/>
  <c r="B75" i="12"/>
  <c r="B74" i="12"/>
  <c r="B116" i="12" s="1"/>
  <c r="E73" i="12"/>
  <c r="G73" i="12" s="1"/>
  <c r="D73" i="12"/>
  <c r="C73" i="12"/>
  <c r="F73" i="12" s="1"/>
  <c r="E72" i="12"/>
  <c r="D72" i="12"/>
  <c r="G72" i="12" s="1"/>
  <c r="C72" i="12"/>
  <c r="F72" i="12" s="1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G67" i="12" s="1"/>
  <c r="C67" i="12"/>
  <c r="F65" i="12"/>
  <c r="E65" i="12"/>
  <c r="D65" i="12"/>
  <c r="C65" i="12"/>
  <c r="G64" i="12"/>
  <c r="E64" i="12"/>
  <c r="D64" i="12"/>
  <c r="C64" i="12"/>
  <c r="B63" i="12"/>
  <c r="B66" i="12" s="1"/>
  <c r="E62" i="12"/>
  <c r="D62" i="12"/>
  <c r="G62" i="12" s="1"/>
  <c r="C62" i="12"/>
  <c r="F62" i="12" s="1"/>
  <c r="E61" i="12"/>
  <c r="D61" i="12"/>
  <c r="G61" i="12" s="1"/>
  <c r="C61" i="12"/>
  <c r="E60" i="12"/>
  <c r="D60" i="12"/>
  <c r="C60" i="12"/>
  <c r="E59" i="12"/>
  <c r="D59" i="12"/>
  <c r="G59" i="12" s="1"/>
  <c r="C59" i="12"/>
  <c r="F59" i="12" s="1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G52" i="12"/>
  <c r="E52" i="12"/>
  <c r="D52" i="12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G39" i="12"/>
  <c r="E39" i="12"/>
  <c r="E106" i="12" s="1"/>
  <c r="D39" i="12"/>
  <c r="C39" i="12"/>
  <c r="C106" i="12" s="1"/>
  <c r="E37" i="12"/>
  <c r="D37" i="12"/>
  <c r="C37" i="12"/>
  <c r="G36" i="12"/>
  <c r="E36" i="12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G21" i="12"/>
  <c r="E21" i="12"/>
  <c r="D21" i="12"/>
  <c r="H11" i="30" s="1"/>
  <c r="C21" i="12"/>
  <c r="G11" i="30" s="1"/>
  <c r="G20" i="12"/>
  <c r="F20" i="12"/>
  <c r="E19" i="12"/>
  <c r="G19" i="12" s="1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E107" i="12" s="1"/>
  <c r="D15" i="12"/>
  <c r="G15" i="12" s="1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E90" i="46"/>
  <c r="D90" i="46"/>
  <c r="G90" i="46" s="1"/>
  <c r="C90" i="46"/>
  <c r="E89" i="46"/>
  <c r="D89" i="46"/>
  <c r="C89" i="46"/>
  <c r="E88" i="46"/>
  <c r="D88" i="46"/>
  <c r="C88" i="46"/>
  <c r="F87" i="46"/>
  <c r="E87" i="46"/>
  <c r="D87" i="46"/>
  <c r="C87" i="46"/>
  <c r="C86" i="46"/>
  <c r="C117" i="46" s="1"/>
  <c r="B86" i="46"/>
  <c r="B117" i="46" s="1"/>
  <c r="E85" i="46"/>
  <c r="D85" i="46"/>
  <c r="C85" i="46"/>
  <c r="E84" i="46"/>
  <c r="D84" i="46"/>
  <c r="G84" i="46" s="1"/>
  <c r="C84" i="46"/>
  <c r="F84" i="46" s="1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G79" i="46"/>
  <c r="E79" i="46"/>
  <c r="D79" i="46"/>
  <c r="C79" i="46"/>
  <c r="F79" i="46" s="1"/>
  <c r="E78" i="46"/>
  <c r="D78" i="46"/>
  <c r="C78" i="46"/>
  <c r="E77" i="46"/>
  <c r="D77" i="46"/>
  <c r="D75" i="46" s="1"/>
  <c r="C77" i="46"/>
  <c r="F76" i="46"/>
  <c r="E76" i="46"/>
  <c r="G76" i="46" s="1"/>
  <c r="D76" i="46"/>
  <c r="C76" i="46"/>
  <c r="C75" i="46"/>
  <c r="B75" i="46"/>
  <c r="E73" i="46"/>
  <c r="G73" i="46" s="1"/>
  <c r="D73" i="46"/>
  <c r="C73" i="46"/>
  <c r="F73" i="46" s="1"/>
  <c r="E72" i="46"/>
  <c r="D72" i="46"/>
  <c r="C72" i="46"/>
  <c r="E71" i="46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C67" i="46"/>
  <c r="G65" i="46"/>
  <c r="F65" i="46"/>
  <c r="E65" i="46"/>
  <c r="D65" i="46"/>
  <c r="C65" i="46"/>
  <c r="G64" i="46"/>
  <c r="E64" i="46"/>
  <c r="D64" i="46"/>
  <c r="C64" i="46"/>
  <c r="F64" i="46" s="1"/>
  <c r="B63" i="46"/>
  <c r="B66" i="46" s="1"/>
  <c r="F62" i="46"/>
  <c r="E62" i="46"/>
  <c r="G62" i="46" s="1"/>
  <c r="D62" i="46"/>
  <c r="C62" i="46"/>
  <c r="E61" i="46"/>
  <c r="G61" i="46" s="1"/>
  <c r="D61" i="46"/>
  <c r="C61" i="46"/>
  <c r="E60" i="46"/>
  <c r="D60" i="46"/>
  <c r="C60" i="46"/>
  <c r="E59" i="46"/>
  <c r="D59" i="46"/>
  <c r="F59" i="46" s="1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C53" i="46"/>
  <c r="E52" i="46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E34" i="46"/>
  <c r="G34" i="46" s="1"/>
  <c r="D34" i="46"/>
  <c r="C34" i="46"/>
  <c r="F34" i="46" s="1"/>
  <c r="E32" i="46"/>
  <c r="D32" i="46"/>
  <c r="C32" i="46"/>
  <c r="E31" i="46"/>
  <c r="E28" i="46" s="1"/>
  <c r="D31" i="46"/>
  <c r="G31" i="46" s="1"/>
  <c r="C31" i="46"/>
  <c r="E30" i="46"/>
  <c r="D30" i="46"/>
  <c r="F30" i="46" s="1"/>
  <c r="C30" i="46"/>
  <c r="E29" i="46"/>
  <c r="D29" i="46"/>
  <c r="C29" i="46"/>
  <c r="F29" i="46" s="1"/>
  <c r="B28" i="46"/>
  <c r="B112" i="46" s="1"/>
  <c r="B27" i="46"/>
  <c r="B33" i="46" s="1"/>
  <c r="E26" i="46"/>
  <c r="D26" i="46"/>
  <c r="C26" i="46"/>
  <c r="F26" i="46" s="1"/>
  <c r="E25" i="46"/>
  <c r="G25" i="46" s="1"/>
  <c r="D25" i="46"/>
  <c r="C25" i="46"/>
  <c r="F25" i="46" s="1"/>
  <c r="E24" i="46"/>
  <c r="D24" i="46"/>
  <c r="G24" i="46" s="1"/>
  <c r="C24" i="46"/>
  <c r="E22" i="46"/>
  <c r="D22" i="46"/>
  <c r="C22" i="46"/>
  <c r="F22" i="46" s="1"/>
  <c r="E21" i="46"/>
  <c r="D21" i="46"/>
  <c r="H10" i="30" s="1"/>
  <c r="C21" i="46"/>
  <c r="G10" i="30" s="1"/>
  <c r="I10" i="30" s="1"/>
  <c r="G20" i="46"/>
  <c r="F20" i="46"/>
  <c r="G19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7" i="10"/>
  <c r="E87" i="10"/>
  <c r="D87" i="10"/>
  <c r="G87" i="10" s="1"/>
  <c r="C87" i="10"/>
  <c r="B86" i="10"/>
  <c r="B117" i="10" s="1"/>
  <c r="E85" i="10"/>
  <c r="D85" i="10"/>
  <c r="C85" i="10"/>
  <c r="E84" i="10"/>
  <c r="D84" i="10"/>
  <c r="G84" i="10" s="1"/>
  <c r="C84" i="10"/>
  <c r="F84" i="10" s="1"/>
  <c r="E83" i="10"/>
  <c r="D83" i="10"/>
  <c r="G83" i="10" s="1"/>
  <c r="C83" i="10"/>
  <c r="F83" i="10" s="1"/>
  <c r="E82" i="10"/>
  <c r="D82" i="10"/>
  <c r="C82" i="10"/>
  <c r="E81" i="10"/>
  <c r="E80" i="10" s="1"/>
  <c r="D81" i="10"/>
  <c r="C81" i="10"/>
  <c r="F81" i="10" s="1"/>
  <c r="B80" i="10"/>
  <c r="E79" i="10"/>
  <c r="D79" i="10"/>
  <c r="F79" i="10" s="1"/>
  <c r="C79" i="10"/>
  <c r="E78" i="10"/>
  <c r="D78" i="10"/>
  <c r="C78" i="10"/>
  <c r="F78" i="10" s="1"/>
  <c r="E77" i="10"/>
  <c r="G77" i="10" s="1"/>
  <c r="D77" i="10"/>
  <c r="C77" i="10"/>
  <c r="F77" i="10" s="1"/>
  <c r="G76" i="10"/>
  <c r="E76" i="10"/>
  <c r="D76" i="10"/>
  <c r="C76" i="10"/>
  <c r="F76" i="10" s="1"/>
  <c r="E75" i="10"/>
  <c r="B75" i="10"/>
  <c r="E73" i="10"/>
  <c r="D73" i="10"/>
  <c r="F73" i="10" s="1"/>
  <c r="C73" i="10"/>
  <c r="E72" i="10"/>
  <c r="D72" i="10"/>
  <c r="C72" i="10"/>
  <c r="E71" i="10"/>
  <c r="D71" i="10"/>
  <c r="C71" i="10"/>
  <c r="G70" i="10"/>
  <c r="F70" i="10"/>
  <c r="G68" i="10"/>
  <c r="E68" i="10"/>
  <c r="D68" i="10"/>
  <c r="C68" i="10"/>
  <c r="E67" i="10"/>
  <c r="D67" i="10"/>
  <c r="C67" i="10"/>
  <c r="C115" i="10" s="1"/>
  <c r="E65" i="10"/>
  <c r="D65" i="10"/>
  <c r="C65" i="10"/>
  <c r="E64" i="10"/>
  <c r="D64" i="10"/>
  <c r="C64" i="10"/>
  <c r="B63" i="10"/>
  <c r="B66" i="10" s="1"/>
  <c r="E62" i="10"/>
  <c r="D62" i="10"/>
  <c r="G62" i="10" s="1"/>
  <c r="C62" i="10"/>
  <c r="E61" i="10"/>
  <c r="D61" i="10"/>
  <c r="C61" i="10"/>
  <c r="E60" i="10"/>
  <c r="D60" i="10"/>
  <c r="C60" i="10"/>
  <c r="G59" i="10"/>
  <c r="E59" i="10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F53" i="10" s="1"/>
  <c r="G52" i="10"/>
  <c r="E52" i="10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E39" i="10"/>
  <c r="D39" i="10"/>
  <c r="D106" i="10" s="1"/>
  <c r="C39" i="10"/>
  <c r="E37" i="10"/>
  <c r="D37" i="10"/>
  <c r="C37" i="10"/>
  <c r="E36" i="10"/>
  <c r="D36" i="10"/>
  <c r="G36" i="10" s="1"/>
  <c r="C36" i="10"/>
  <c r="E35" i="10"/>
  <c r="D35" i="10"/>
  <c r="C35" i="10"/>
  <c r="E34" i="10"/>
  <c r="D34" i="10"/>
  <c r="C34" i="10"/>
  <c r="E32" i="10"/>
  <c r="E110" i="10" s="1"/>
  <c r="D32" i="10"/>
  <c r="C32" i="10"/>
  <c r="E31" i="10"/>
  <c r="D31" i="10"/>
  <c r="F31" i="10" s="1"/>
  <c r="C31" i="10"/>
  <c r="E30" i="10"/>
  <c r="D30" i="10"/>
  <c r="G30" i="10" s="1"/>
  <c r="C30" i="10"/>
  <c r="F30" i="10" s="1"/>
  <c r="E29" i="10"/>
  <c r="D29" i="10"/>
  <c r="G29" i="10" s="1"/>
  <c r="C29" i="10"/>
  <c r="B28" i="10"/>
  <c r="B112" i="10" s="1"/>
  <c r="B27" i="10"/>
  <c r="E26" i="10"/>
  <c r="D26" i="10"/>
  <c r="G26" i="10" s="1"/>
  <c r="C26" i="10"/>
  <c r="F26" i="10" s="1"/>
  <c r="E25" i="10"/>
  <c r="D25" i="10"/>
  <c r="C25" i="10"/>
  <c r="F24" i="10"/>
  <c r="E24" i="10"/>
  <c r="D24" i="10"/>
  <c r="C24" i="10"/>
  <c r="E22" i="10"/>
  <c r="D22" i="10"/>
  <c r="C22" i="10"/>
  <c r="F22" i="10" s="1"/>
  <c r="E21" i="10"/>
  <c r="G21" i="10" s="1"/>
  <c r="D21" i="10"/>
  <c r="H9" i="30" s="1"/>
  <c r="C21" i="10"/>
  <c r="G9" i="30" s="1"/>
  <c r="I9" i="30" s="1"/>
  <c r="G20" i="10"/>
  <c r="F20" i="10"/>
  <c r="F19" i="10"/>
  <c r="E19" i="10"/>
  <c r="D19" i="10"/>
  <c r="C19" i="10"/>
  <c r="E18" i="10"/>
  <c r="D18" i="10"/>
  <c r="C18" i="10"/>
  <c r="E17" i="10"/>
  <c r="D17" i="10"/>
  <c r="F17" i="10" s="1"/>
  <c r="C17" i="10"/>
  <c r="G16" i="10"/>
  <c r="F16" i="10"/>
  <c r="G15" i="10"/>
  <c r="E15" i="10"/>
  <c r="D15" i="10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D97" i="9"/>
  <c r="G97" i="9" s="1"/>
  <c r="C97" i="9"/>
  <c r="E95" i="9"/>
  <c r="D95" i="9"/>
  <c r="G95" i="9" s="1"/>
  <c r="C95" i="9"/>
  <c r="G94" i="9"/>
  <c r="F94" i="9"/>
  <c r="E93" i="9"/>
  <c r="G93" i="9" s="1"/>
  <c r="D93" i="9"/>
  <c r="C93" i="9"/>
  <c r="F93" i="9" s="1"/>
  <c r="G92" i="9"/>
  <c r="F92" i="9"/>
  <c r="F90" i="9"/>
  <c r="E90" i="9"/>
  <c r="D90" i="9"/>
  <c r="G90" i="9" s="1"/>
  <c r="C90" i="9"/>
  <c r="E89" i="9"/>
  <c r="D89" i="9"/>
  <c r="C89" i="9"/>
  <c r="E88" i="9"/>
  <c r="D88" i="9"/>
  <c r="F88" i="9" s="1"/>
  <c r="C88" i="9"/>
  <c r="E87" i="9"/>
  <c r="D87" i="9"/>
  <c r="C87" i="9"/>
  <c r="F87" i="9" s="1"/>
  <c r="B86" i="9"/>
  <c r="B117" i="9" s="1"/>
  <c r="E85" i="9"/>
  <c r="D85" i="9"/>
  <c r="F85" i="9" s="1"/>
  <c r="C85" i="9"/>
  <c r="E84" i="9"/>
  <c r="D84" i="9"/>
  <c r="C84" i="9"/>
  <c r="F84" i="9" s="1"/>
  <c r="E83" i="9"/>
  <c r="D83" i="9"/>
  <c r="G83" i="9" s="1"/>
  <c r="C83" i="9"/>
  <c r="E82" i="9"/>
  <c r="D82" i="9"/>
  <c r="G82" i="9" s="1"/>
  <c r="C82" i="9"/>
  <c r="E81" i="9"/>
  <c r="D81" i="9"/>
  <c r="C81" i="9"/>
  <c r="B80" i="9"/>
  <c r="E79" i="9"/>
  <c r="D79" i="9"/>
  <c r="G79" i="9" s="1"/>
  <c r="C79" i="9"/>
  <c r="E78" i="9"/>
  <c r="D78" i="9"/>
  <c r="C78" i="9"/>
  <c r="E77" i="9"/>
  <c r="D77" i="9"/>
  <c r="C77" i="9"/>
  <c r="F77" i="9" s="1"/>
  <c r="E76" i="9"/>
  <c r="D76" i="9"/>
  <c r="G76" i="9" s="1"/>
  <c r="C76" i="9"/>
  <c r="F76" i="9" s="1"/>
  <c r="B75" i="9"/>
  <c r="B74" i="9" s="1"/>
  <c r="E73" i="9"/>
  <c r="D73" i="9"/>
  <c r="G73" i="9" s="1"/>
  <c r="C73" i="9"/>
  <c r="E72" i="9"/>
  <c r="D72" i="9"/>
  <c r="C72" i="9"/>
  <c r="E71" i="9"/>
  <c r="G71" i="9" s="1"/>
  <c r="D71" i="9"/>
  <c r="C71" i="9"/>
  <c r="F71" i="9" s="1"/>
  <c r="G70" i="9"/>
  <c r="F70" i="9"/>
  <c r="F68" i="9"/>
  <c r="E68" i="9"/>
  <c r="D68" i="9"/>
  <c r="G68" i="9" s="1"/>
  <c r="C68" i="9"/>
  <c r="G67" i="9"/>
  <c r="E67" i="9"/>
  <c r="D67" i="9"/>
  <c r="C67" i="9"/>
  <c r="G65" i="9"/>
  <c r="E65" i="9"/>
  <c r="D65" i="9"/>
  <c r="C65" i="9"/>
  <c r="F65" i="9" s="1"/>
  <c r="E64" i="9"/>
  <c r="D64" i="9"/>
  <c r="C64" i="9"/>
  <c r="B63" i="9"/>
  <c r="B66" i="9" s="1"/>
  <c r="E62" i="9"/>
  <c r="E63" i="9" s="1"/>
  <c r="D62" i="9"/>
  <c r="G62" i="9" s="1"/>
  <c r="C62" i="9"/>
  <c r="F62" i="9" s="1"/>
  <c r="E61" i="9"/>
  <c r="D61" i="9"/>
  <c r="G61" i="9" s="1"/>
  <c r="C61" i="9"/>
  <c r="F60" i="9"/>
  <c r="E60" i="9"/>
  <c r="D60" i="9"/>
  <c r="G60" i="9" s="1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D53" i="9"/>
  <c r="G53" i="9" s="1"/>
  <c r="C53" i="9"/>
  <c r="F52" i="9"/>
  <c r="E52" i="9"/>
  <c r="D52" i="9"/>
  <c r="C52" i="9"/>
  <c r="G50" i="9"/>
  <c r="E50" i="9"/>
  <c r="D50" i="9"/>
  <c r="C50" i="9"/>
  <c r="F50" i="9" s="1"/>
  <c r="E48" i="9"/>
  <c r="G48" i="9" s="1"/>
  <c r="D48" i="9"/>
  <c r="C48" i="9"/>
  <c r="G47" i="9"/>
  <c r="F47" i="9"/>
  <c r="E46" i="9"/>
  <c r="D46" i="9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D40" i="9"/>
  <c r="G40" i="9" s="1"/>
  <c r="C40" i="9"/>
  <c r="E39" i="9"/>
  <c r="D39" i="9"/>
  <c r="C39" i="9"/>
  <c r="F37" i="9"/>
  <c r="E37" i="9"/>
  <c r="D37" i="9"/>
  <c r="G37" i="9" s="1"/>
  <c r="C37" i="9"/>
  <c r="E36" i="9"/>
  <c r="D36" i="9"/>
  <c r="C36" i="9"/>
  <c r="E35" i="9"/>
  <c r="D35" i="9"/>
  <c r="C35" i="9"/>
  <c r="E34" i="9"/>
  <c r="D34" i="9"/>
  <c r="G34" i="9" s="1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E29" i="9"/>
  <c r="D29" i="9"/>
  <c r="G29" i="9" s="1"/>
  <c r="C29" i="9"/>
  <c r="E28" i="9"/>
  <c r="B28" i="9"/>
  <c r="B112" i="9" s="1"/>
  <c r="B27" i="9"/>
  <c r="B33" i="9" s="1"/>
  <c r="E26" i="9"/>
  <c r="D26" i="9"/>
  <c r="C26" i="9"/>
  <c r="F26" i="9" s="1"/>
  <c r="E25" i="9"/>
  <c r="D25" i="9"/>
  <c r="C25" i="9"/>
  <c r="F25" i="9" s="1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G93" i="8"/>
  <c r="E93" i="8"/>
  <c r="D93" i="8"/>
  <c r="C93" i="8"/>
  <c r="F93" i="8" s="1"/>
  <c r="G92" i="8"/>
  <c r="F92" i="8"/>
  <c r="E90" i="8"/>
  <c r="D90" i="8"/>
  <c r="C90" i="8"/>
  <c r="E89" i="8"/>
  <c r="D89" i="8"/>
  <c r="G89" i="8" s="1"/>
  <c r="C89" i="8"/>
  <c r="F89" i="8" s="1"/>
  <c r="E88" i="8"/>
  <c r="D88" i="8"/>
  <c r="C88" i="8"/>
  <c r="F88" i="8" s="1"/>
  <c r="E87" i="8"/>
  <c r="D87" i="8"/>
  <c r="G87" i="8" s="1"/>
  <c r="C87" i="8"/>
  <c r="B86" i="8"/>
  <c r="B117" i="8" s="1"/>
  <c r="E85" i="8"/>
  <c r="D85" i="8"/>
  <c r="C85" i="8"/>
  <c r="F85" i="8" s="1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F81" i="8" s="1"/>
  <c r="B80" i="8"/>
  <c r="E79" i="8"/>
  <c r="D79" i="8"/>
  <c r="C79" i="8"/>
  <c r="E78" i="8"/>
  <c r="D78" i="8"/>
  <c r="G78" i="8" s="1"/>
  <c r="C78" i="8"/>
  <c r="F78" i="8" s="1"/>
  <c r="F77" i="8"/>
  <c r="E77" i="8"/>
  <c r="D77" i="8"/>
  <c r="G77" i="8" s="1"/>
  <c r="C77" i="8"/>
  <c r="E76" i="8"/>
  <c r="D76" i="8"/>
  <c r="D108" i="8" s="1"/>
  <c r="C76" i="8"/>
  <c r="B75" i="8"/>
  <c r="B74" i="8" s="1"/>
  <c r="E73" i="8"/>
  <c r="D73" i="8"/>
  <c r="C73" i="8"/>
  <c r="E72" i="8"/>
  <c r="D72" i="8"/>
  <c r="G72" i="8" s="1"/>
  <c r="C72" i="8"/>
  <c r="F72" i="8" s="1"/>
  <c r="F71" i="8"/>
  <c r="E71" i="8"/>
  <c r="D71" i="8"/>
  <c r="G71" i="8" s="1"/>
  <c r="C71" i="8"/>
  <c r="G70" i="8"/>
  <c r="F70" i="8"/>
  <c r="E68" i="8"/>
  <c r="D68" i="8"/>
  <c r="C68" i="8"/>
  <c r="E67" i="8"/>
  <c r="D67" i="8"/>
  <c r="C67" i="8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G48" i="8" s="1"/>
  <c r="D48" i="8"/>
  <c r="C48" i="8"/>
  <c r="F48" i="8" s="1"/>
  <c r="G47" i="8"/>
  <c r="F47" i="8"/>
  <c r="E46" i="8"/>
  <c r="D46" i="8"/>
  <c r="F46" i="8" s="1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D106" i="8" s="1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G29" i="8" s="1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E108" i="8" s="1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G97" i="7" s="1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G84" i="7" s="1"/>
  <c r="C84" i="7"/>
  <c r="F83" i="7"/>
  <c r="E83" i="7"/>
  <c r="G83" i="7" s="1"/>
  <c r="D83" i="7"/>
  <c r="C83" i="7"/>
  <c r="E82" i="7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G73" i="7" s="1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E63" i="7" s="1"/>
  <c r="E66" i="7" s="1"/>
  <c r="D60" i="7"/>
  <c r="C60" i="7"/>
  <c r="E59" i="7"/>
  <c r="D59" i="7"/>
  <c r="G59" i="7" s="1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G46" i="7"/>
  <c r="E46" i="7"/>
  <c r="D46" i="7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G30" i="7" s="1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F18" i="7"/>
  <c r="E18" i="7"/>
  <c r="D18" i="7"/>
  <c r="C18" i="7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G87" i="6"/>
  <c r="E87" i="6"/>
  <c r="E86" i="6" s="1"/>
  <c r="D87" i="6"/>
  <c r="D86" i="6" s="1"/>
  <c r="C87" i="6"/>
  <c r="F87" i="6" s="1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G79" i="6" s="1"/>
  <c r="C79" i="6"/>
  <c r="F78" i="6"/>
  <c r="E78" i="6"/>
  <c r="G78" i="6" s="1"/>
  <c r="D78" i="6"/>
  <c r="C78" i="6"/>
  <c r="F77" i="6"/>
  <c r="E77" i="6"/>
  <c r="E75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G61" i="6" s="1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E25" i="6"/>
  <c r="D25" i="6"/>
  <c r="C25" i="6"/>
  <c r="F25" i="6" s="1"/>
  <c r="E24" i="6"/>
  <c r="D24" i="6"/>
  <c r="C24" i="6"/>
  <c r="F24" i="6" s="1"/>
  <c r="G22" i="6"/>
  <c r="E22" i="6"/>
  <c r="D22" i="6"/>
  <c r="C22" i="6"/>
  <c r="F22" i="6" s="1"/>
  <c r="G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4" i="1" s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E75" i="1" s="1"/>
  <c r="D77" i="1"/>
  <c r="C77" i="1"/>
  <c r="G76" i="1"/>
  <c r="F76" i="1"/>
  <c r="E76" i="1"/>
  <c r="B75" i="1"/>
  <c r="B74" i="1"/>
  <c r="G73" i="1"/>
  <c r="F73" i="1"/>
  <c r="E73" i="1"/>
  <c r="E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50" i="1" s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D44" i="1"/>
  <c r="C44" i="1"/>
  <c r="I4" i="31" s="1"/>
  <c r="G42" i="1"/>
  <c r="F42" i="1"/>
  <c r="G41" i="1"/>
  <c r="F41" i="1"/>
  <c r="F40" i="1"/>
  <c r="E40" i="1"/>
  <c r="G40" i="1" s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D35" i="1"/>
  <c r="C35" i="1"/>
  <c r="F34" i="1"/>
  <c r="E34" i="1"/>
  <c r="G34" i="1" s="1"/>
  <c r="E32" i="1"/>
  <c r="D32" i="1"/>
  <c r="C32" i="1"/>
  <c r="F31" i="1"/>
  <c r="E31" i="1"/>
  <c r="G31" i="1" s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E21" i="1"/>
  <c r="D21" i="1"/>
  <c r="H4" i="30" s="1"/>
  <c r="C21" i="1"/>
  <c r="G4" i="30" s="1"/>
  <c r="I4" i="30" s="1"/>
  <c r="G20" i="1"/>
  <c r="F20" i="1"/>
  <c r="F19" i="1"/>
  <c r="E19" i="1"/>
  <c r="G19" i="1" s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B82" i="5"/>
  <c r="E81" i="5"/>
  <c r="C81" i="5"/>
  <c r="B81" i="5"/>
  <c r="E80" i="5"/>
  <c r="D80" i="5"/>
  <c r="C80" i="5"/>
  <c r="B80" i="5"/>
  <c r="G78" i="5"/>
  <c r="D78" i="5"/>
  <c r="C78" i="5"/>
  <c r="F78" i="5" s="1"/>
  <c r="B78" i="5"/>
  <c r="E77" i="5"/>
  <c r="D37" i="15" s="1"/>
  <c r="D77" i="5"/>
  <c r="C37" i="15" s="1"/>
  <c r="C77" i="5"/>
  <c r="B77" i="5"/>
  <c r="E39" i="15" s="1"/>
  <c r="E76" i="5"/>
  <c r="D76" i="5"/>
  <c r="C76" i="5"/>
  <c r="B76" i="5"/>
  <c r="D75" i="5"/>
  <c r="G75" i="5" s="1"/>
  <c r="C75" i="5"/>
  <c r="B75" i="5"/>
  <c r="D74" i="5"/>
  <c r="C74" i="5"/>
  <c r="B74" i="5"/>
  <c r="B73" i="5"/>
  <c r="E72" i="5"/>
  <c r="D72" i="5"/>
  <c r="G72" i="5" s="1"/>
  <c r="B72" i="5"/>
  <c r="E71" i="5"/>
  <c r="D71" i="5"/>
  <c r="B71" i="5"/>
  <c r="E70" i="5"/>
  <c r="E68" i="5" s="1"/>
  <c r="B70" i="5"/>
  <c r="E69" i="5"/>
  <c r="D69" i="5"/>
  <c r="G69" i="5" s="1"/>
  <c r="C69" i="5"/>
  <c r="B69" i="5"/>
  <c r="G66" i="5"/>
  <c r="D66" i="5"/>
  <c r="C66" i="5"/>
  <c r="B66" i="5"/>
  <c r="E21" i="15" s="1"/>
  <c r="E65" i="5"/>
  <c r="D65" i="5"/>
  <c r="C22" i="15" s="1"/>
  <c r="C65" i="5"/>
  <c r="B65" i="5"/>
  <c r="D64" i="5"/>
  <c r="C64" i="5"/>
  <c r="B64" i="5"/>
  <c r="F61" i="5"/>
  <c r="D61" i="5"/>
  <c r="C61" i="5"/>
  <c r="B61" i="5"/>
  <c r="E31" i="15" s="1"/>
  <c r="E60" i="5"/>
  <c r="D60" i="5"/>
  <c r="C20" i="16" s="1"/>
  <c r="C60" i="5"/>
  <c r="B60" i="5"/>
  <c r="B58" i="5"/>
  <c r="G57" i="5"/>
  <c r="E57" i="5"/>
  <c r="D57" i="5"/>
  <c r="C57" i="5"/>
  <c r="F57" i="5" s="1"/>
  <c r="B57" i="5"/>
  <c r="E55" i="5"/>
  <c r="C55" i="5"/>
  <c r="B55" i="5"/>
  <c r="D54" i="5"/>
  <c r="C54" i="5"/>
  <c r="B54" i="5"/>
  <c r="E53" i="5"/>
  <c r="B53" i="5"/>
  <c r="F52" i="5"/>
  <c r="D52" i="5"/>
  <c r="C52" i="5"/>
  <c r="B52" i="5"/>
  <c r="D51" i="5"/>
  <c r="D93" i="5" s="1"/>
  <c r="C51" i="5"/>
  <c r="C93" i="5" s="1"/>
  <c r="E46" i="5"/>
  <c r="D46" i="5"/>
  <c r="G46" i="5" s="1"/>
  <c r="B46" i="5"/>
  <c r="D45" i="5"/>
  <c r="G45" i="5" s="1"/>
  <c r="B45" i="5"/>
  <c r="E43" i="5"/>
  <c r="D43" i="5"/>
  <c r="C43" i="5"/>
  <c r="B43" i="5"/>
  <c r="E15" i="15" s="1"/>
  <c r="E41" i="5"/>
  <c r="G41" i="5" s="1"/>
  <c r="D41" i="5"/>
  <c r="B41" i="5"/>
  <c r="G40" i="5"/>
  <c r="F40" i="5"/>
  <c r="E40" i="5"/>
  <c r="D40" i="5"/>
  <c r="C40" i="5"/>
  <c r="B40" i="5"/>
  <c r="D39" i="5"/>
  <c r="C39" i="5"/>
  <c r="F39" i="5" s="1"/>
  <c r="B39" i="5"/>
  <c r="E38" i="5"/>
  <c r="D38" i="5"/>
  <c r="C7" i="18" s="1"/>
  <c r="C38" i="5"/>
  <c r="B38" i="5"/>
  <c r="E37" i="5"/>
  <c r="D8" i="16" s="1"/>
  <c r="D37" i="5"/>
  <c r="G37" i="5" s="1"/>
  <c r="C37" i="5"/>
  <c r="B37" i="5"/>
  <c r="J30" i="5" s="1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F27" i="5"/>
  <c r="E27" i="5"/>
  <c r="D11" i="16" s="1"/>
  <c r="D27" i="5"/>
  <c r="G27" i="5" s="1"/>
  <c r="C27" i="5"/>
  <c r="B27" i="5"/>
  <c r="E25" i="5"/>
  <c r="C25" i="5"/>
  <c r="B25" i="5"/>
  <c r="E24" i="5"/>
  <c r="D24" i="5"/>
  <c r="C24" i="5"/>
  <c r="B24" i="5"/>
  <c r="K23" i="5"/>
  <c r="J23" i="5"/>
  <c r="E23" i="5"/>
  <c r="D23" i="5"/>
  <c r="C23" i="5"/>
  <c r="B23" i="5"/>
  <c r="K22" i="5"/>
  <c r="J22" i="5"/>
  <c r="F22" i="5"/>
  <c r="E22" i="5"/>
  <c r="D22" i="5"/>
  <c r="G22" i="5" s="1"/>
  <c r="C22" i="5"/>
  <c r="B22" i="5"/>
  <c r="B21" i="5" s="1"/>
  <c r="E19" i="5"/>
  <c r="C19" i="5"/>
  <c r="B19" i="5"/>
  <c r="F18" i="5"/>
  <c r="D18" i="5"/>
  <c r="C18" i="5"/>
  <c r="B18" i="5"/>
  <c r="D17" i="5"/>
  <c r="C17" i="5"/>
  <c r="B17" i="5"/>
  <c r="E20" i="15" s="1"/>
  <c r="E16" i="5"/>
  <c r="D16" i="5"/>
  <c r="G16" i="5" s="1"/>
  <c r="C16" i="5"/>
  <c r="F16" i="5" s="1"/>
  <c r="B16" i="5"/>
  <c r="E15" i="5"/>
  <c r="D15" i="5"/>
  <c r="G15" i="5" s="1"/>
  <c r="B15" i="5"/>
  <c r="G14" i="5"/>
  <c r="E14" i="5"/>
  <c r="D14" i="5"/>
  <c r="C14" i="5"/>
  <c r="F14" i="5" s="1"/>
  <c r="B14" i="5"/>
  <c r="E13" i="5"/>
  <c r="D13" i="5"/>
  <c r="G13" i="5" s="1"/>
  <c r="C13" i="5"/>
  <c r="B13" i="5"/>
  <c r="E12" i="5"/>
  <c r="D12" i="5"/>
  <c r="G12" i="5" s="1"/>
  <c r="C12" i="5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C118" i="65"/>
  <c r="B118" i="65"/>
  <c r="B117" i="65"/>
  <c r="B116" i="65"/>
  <c r="B115" i="65"/>
  <c r="B97" i="65"/>
  <c r="B89" i="65"/>
  <c r="B112" i="65" s="1"/>
  <c r="G86" i="65"/>
  <c r="E86" i="65"/>
  <c r="D86" i="65"/>
  <c r="C86" i="65"/>
  <c r="F86" i="65" s="1"/>
  <c r="E85" i="65"/>
  <c r="E84" i="65" s="1"/>
  <c r="D85" i="65"/>
  <c r="D84" i="65" s="1"/>
  <c r="C85" i="65"/>
  <c r="B84" i="65"/>
  <c r="E83" i="65"/>
  <c r="G83" i="65" s="1"/>
  <c r="D83" i="65"/>
  <c r="C83" i="65"/>
  <c r="E82" i="65"/>
  <c r="E80" i="65" s="1"/>
  <c r="D82" i="65"/>
  <c r="C82" i="65"/>
  <c r="E81" i="65"/>
  <c r="D81" i="65"/>
  <c r="C81" i="65"/>
  <c r="B80" i="65"/>
  <c r="E79" i="65"/>
  <c r="D79" i="65"/>
  <c r="C79" i="65"/>
  <c r="B124" i="65" s="1"/>
  <c r="E78" i="65"/>
  <c r="D78" i="65"/>
  <c r="C78" i="65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F73" i="65" s="1"/>
  <c r="G72" i="65"/>
  <c r="F72" i="65"/>
  <c r="F71" i="65"/>
  <c r="E71" i="65"/>
  <c r="D71" i="65"/>
  <c r="C71" i="65"/>
  <c r="E67" i="65"/>
  <c r="B67" i="65"/>
  <c r="E66" i="65"/>
  <c r="D66" i="65"/>
  <c r="C66" i="65"/>
  <c r="F66" i="65" s="1"/>
  <c r="E65" i="65"/>
  <c r="D65" i="65"/>
  <c r="G65" i="65" s="1"/>
  <c r="C65" i="65"/>
  <c r="F65" i="65" s="1"/>
  <c r="E64" i="65"/>
  <c r="D64" i="65"/>
  <c r="C64" i="65"/>
  <c r="G63" i="65"/>
  <c r="E63" i="65"/>
  <c r="D63" i="65"/>
  <c r="C63" i="65"/>
  <c r="G62" i="65"/>
  <c r="F62" i="65"/>
  <c r="B60" i="65"/>
  <c r="G59" i="65"/>
  <c r="F59" i="65"/>
  <c r="E58" i="65"/>
  <c r="D58" i="65"/>
  <c r="G58" i="65" s="1"/>
  <c r="C58" i="65"/>
  <c r="E57" i="65"/>
  <c r="E60" i="65" s="1"/>
  <c r="D57" i="65"/>
  <c r="C57" i="65"/>
  <c r="G56" i="65"/>
  <c r="F56" i="65"/>
  <c r="B54" i="65"/>
  <c r="E53" i="65"/>
  <c r="D53" i="65"/>
  <c r="G53" i="65" s="1"/>
  <c r="C53" i="65"/>
  <c r="G52" i="65"/>
  <c r="F52" i="65"/>
  <c r="G51" i="65"/>
  <c r="F51" i="65"/>
  <c r="B50" i="65"/>
  <c r="E49" i="65"/>
  <c r="G49" i="65" s="1"/>
  <c r="D49" i="65"/>
  <c r="C49" i="65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C112" i="65" s="1"/>
  <c r="B45" i="65"/>
  <c r="E42" i="65"/>
  <c r="D42" i="65"/>
  <c r="G42" i="65" s="1"/>
  <c r="C42" i="65"/>
  <c r="F41" i="65"/>
  <c r="E41" i="65"/>
  <c r="D41" i="65"/>
  <c r="D118" i="65" s="1"/>
  <c r="C41" i="65"/>
  <c r="F40" i="65"/>
  <c r="E40" i="65"/>
  <c r="D40" i="65"/>
  <c r="C40" i="65"/>
  <c r="C117" i="65" s="1"/>
  <c r="E39" i="65"/>
  <c r="G39" i="65" s="1"/>
  <c r="D39" i="65"/>
  <c r="C39" i="65"/>
  <c r="G36" i="65"/>
  <c r="F36" i="65"/>
  <c r="E36" i="65"/>
  <c r="D36" i="65"/>
  <c r="D129" i="65" s="1"/>
  <c r="C36" i="65"/>
  <c r="C129" i="65" s="1"/>
  <c r="G34" i="65"/>
  <c r="F34" i="65"/>
  <c r="F33" i="65"/>
  <c r="E33" i="65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B27" i="65"/>
  <c r="E26" i="65"/>
  <c r="E27" i="65" s="1"/>
  <c r="D26" i="65"/>
  <c r="F26" i="65" s="1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D15" i="65"/>
  <c r="D17" i="65" s="1"/>
  <c r="D94" i="65" s="1"/>
  <c r="C15" i="65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B116" i="64"/>
  <c r="B115" i="64"/>
  <c r="E86" i="64"/>
  <c r="D86" i="64"/>
  <c r="D80" i="66" s="1"/>
  <c r="C86" i="64"/>
  <c r="E85" i="64"/>
  <c r="D85" i="64"/>
  <c r="C85" i="64"/>
  <c r="B84" i="64"/>
  <c r="F83" i="64"/>
  <c r="E83" i="64"/>
  <c r="D83" i="64"/>
  <c r="C83" i="64"/>
  <c r="G82" i="64"/>
  <c r="E82" i="64"/>
  <c r="D82" i="64"/>
  <c r="C82" i="64"/>
  <c r="F82" i="64" s="1"/>
  <c r="G81" i="64"/>
  <c r="E81" i="64"/>
  <c r="D81" i="64"/>
  <c r="D80" i="64" s="1"/>
  <c r="C81" i="64"/>
  <c r="C75" i="66" s="1"/>
  <c r="E80" i="64"/>
  <c r="B80" i="64"/>
  <c r="B77" i="64" s="1"/>
  <c r="E79" i="64"/>
  <c r="D79" i="64"/>
  <c r="D124" i="64" s="1"/>
  <c r="C79" i="64"/>
  <c r="C124" i="64" s="1"/>
  <c r="E78" i="64"/>
  <c r="D78" i="64"/>
  <c r="C78" i="64"/>
  <c r="F78" i="64" s="1"/>
  <c r="E76" i="64"/>
  <c r="D76" i="64"/>
  <c r="G76" i="64" s="1"/>
  <c r="C76" i="64"/>
  <c r="G75" i="64"/>
  <c r="F75" i="64"/>
  <c r="G74" i="64"/>
  <c r="F74" i="64"/>
  <c r="E73" i="64"/>
  <c r="D73" i="64"/>
  <c r="G73" i="64" s="1"/>
  <c r="C73" i="64"/>
  <c r="G72" i="64"/>
  <c r="F72" i="64"/>
  <c r="E71" i="64"/>
  <c r="G71" i="64" s="1"/>
  <c r="D71" i="64"/>
  <c r="C71" i="64"/>
  <c r="B67" i="64"/>
  <c r="G66" i="64"/>
  <c r="E66" i="64"/>
  <c r="D66" i="64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D58" i="64"/>
  <c r="C58" i="64"/>
  <c r="E57" i="64"/>
  <c r="D57" i="64"/>
  <c r="C57" i="64"/>
  <c r="G56" i="64"/>
  <c r="F56" i="64"/>
  <c r="E53" i="64"/>
  <c r="D53" i="64"/>
  <c r="G53" i="64" s="1"/>
  <c r="C53" i="64"/>
  <c r="F53" i="64" s="1"/>
  <c r="G52" i="64"/>
  <c r="F52" i="64"/>
  <c r="G51" i="64"/>
  <c r="F51" i="64"/>
  <c r="B50" i="64"/>
  <c r="B54" i="64" s="1"/>
  <c r="G49" i="64"/>
  <c r="E49" i="64"/>
  <c r="D49" i="64"/>
  <c r="C49" i="64"/>
  <c r="F49" i="64" s="1"/>
  <c r="E48" i="64"/>
  <c r="D48" i="64"/>
  <c r="C48" i="64"/>
  <c r="G47" i="64"/>
  <c r="F47" i="64"/>
  <c r="E47" i="64"/>
  <c r="E50" i="64" s="1"/>
  <c r="E54" i="64" s="1"/>
  <c r="D47" i="64"/>
  <c r="C47" i="64"/>
  <c r="E45" i="64"/>
  <c r="E89" i="64" s="1"/>
  <c r="E112" i="64" s="1"/>
  <c r="D45" i="64"/>
  <c r="D89" i="64" s="1"/>
  <c r="D112" i="64" s="1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F40" i="64"/>
  <c r="E40" i="64"/>
  <c r="D40" i="64"/>
  <c r="D117" i="64" s="1"/>
  <c r="C40" i="64"/>
  <c r="C117" i="64" s="1"/>
  <c r="E39" i="64"/>
  <c r="G39" i="64" s="1"/>
  <c r="D39" i="64"/>
  <c r="C39" i="64"/>
  <c r="E36" i="64"/>
  <c r="D36" i="64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B27" i="64"/>
  <c r="E26" i="64"/>
  <c r="D26" i="64"/>
  <c r="G26" i="64" s="1"/>
  <c r="C26" i="64"/>
  <c r="C116" i="64" s="1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E86" i="63"/>
  <c r="D86" i="63"/>
  <c r="C86" i="63"/>
  <c r="E85" i="63"/>
  <c r="D85" i="63"/>
  <c r="C85" i="63"/>
  <c r="B84" i="63"/>
  <c r="E83" i="63"/>
  <c r="G83" i="63" s="1"/>
  <c r="D83" i="63"/>
  <c r="F83" i="63" s="1"/>
  <c r="C83" i="63"/>
  <c r="E82" i="63"/>
  <c r="D82" i="63"/>
  <c r="G82" i="63" s="1"/>
  <c r="C82" i="63"/>
  <c r="F81" i="63"/>
  <c r="E81" i="63"/>
  <c r="E80" i="63" s="1"/>
  <c r="D81" i="63"/>
  <c r="G81" i="63" s="1"/>
  <c r="C81" i="63"/>
  <c r="C80" i="63"/>
  <c r="B80" i="63"/>
  <c r="B97" i="63" s="1"/>
  <c r="E79" i="63"/>
  <c r="D79" i="63"/>
  <c r="C79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5" i="63"/>
  <c r="E65" i="63"/>
  <c r="D65" i="63"/>
  <c r="C65" i="63"/>
  <c r="E64" i="63"/>
  <c r="D64" i="63"/>
  <c r="C64" i="63"/>
  <c r="E63" i="63"/>
  <c r="D63" i="63"/>
  <c r="C63" i="63"/>
  <c r="F63" i="63" s="1"/>
  <c r="G62" i="63"/>
  <c r="F62" i="63"/>
  <c r="E60" i="63"/>
  <c r="B60" i="63"/>
  <c r="G59" i="63"/>
  <c r="F59" i="63"/>
  <c r="E58" i="63"/>
  <c r="D58" i="63"/>
  <c r="G58" i="63" s="1"/>
  <c r="C58" i="63"/>
  <c r="F58" i="63" s="1"/>
  <c r="E57" i="63"/>
  <c r="D57" i="63"/>
  <c r="C57" i="63"/>
  <c r="G56" i="63"/>
  <c r="F56" i="63"/>
  <c r="E53" i="63"/>
  <c r="D53" i="63"/>
  <c r="G53" i="63" s="1"/>
  <c r="C53" i="63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E47" i="63"/>
  <c r="G47" i="63" s="1"/>
  <c r="D47" i="63"/>
  <c r="C47" i="63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E39" i="63"/>
  <c r="D39" i="63"/>
  <c r="C39" i="63"/>
  <c r="F39" i="63" s="1"/>
  <c r="E36" i="63"/>
  <c r="D36" i="63"/>
  <c r="C36" i="63"/>
  <c r="C129" i="63" s="1"/>
  <c r="G34" i="63"/>
  <c r="F34" i="63"/>
  <c r="E33" i="63"/>
  <c r="D33" i="63"/>
  <c r="C33" i="63"/>
  <c r="C121" i="63" s="1"/>
  <c r="F31" i="63"/>
  <c r="E31" i="63"/>
  <c r="D31" i="63"/>
  <c r="D120" i="63" s="1"/>
  <c r="C31" i="63"/>
  <c r="C120" i="63" s="1"/>
  <c r="E29" i="63"/>
  <c r="D29" i="63"/>
  <c r="C29" i="63"/>
  <c r="B27" i="63"/>
  <c r="E26" i="63"/>
  <c r="D26" i="63"/>
  <c r="C26" i="63"/>
  <c r="G25" i="63"/>
  <c r="F25" i="63"/>
  <c r="E25" i="63"/>
  <c r="D25" i="63"/>
  <c r="C25" i="63"/>
  <c r="D23" i="63"/>
  <c r="D95" i="63" s="1"/>
  <c r="B23" i="63"/>
  <c r="E22" i="63"/>
  <c r="D22" i="63"/>
  <c r="G22" i="63" s="1"/>
  <c r="C22" i="63"/>
  <c r="C23" i="63" s="1"/>
  <c r="F23" i="63" s="1"/>
  <c r="F21" i="63"/>
  <c r="E21" i="63"/>
  <c r="E23" i="63" s="1"/>
  <c r="E99" i="63" s="1"/>
  <c r="D21" i="63"/>
  <c r="G21" i="63" s="1"/>
  <c r="C21" i="63"/>
  <c r="D19" i="63"/>
  <c r="B19" i="63"/>
  <c r="E18" i="63"/>
  <c r="D18" i="63"/>
  <c r="C18" i="63"/>
  <c r="B17" i="63"/>
  <c r="B108" i="63" s="1"/>
  <c r="G16" i="63"/>
  <c r="F16" i="63"/>
  <c r="E15" i="63"/>
  <c r="G15" i="63" s="1"/>
  <c r="D15" i="63"/>
  <c r="D17" i="63" s="1"/>
  <c r="C15" i="63"/>
  <c r="C17" i="63" s="1"/>
  <c r="E13" i="63"/>
  <c r="D13" i="63"/>
  <c r="C13" i="63"/>
  <c r="A11" i="63"/>
  <c r="B129" i="62"/>
  <c r="E128" i="62"/>
  <c r="E130" i="62" s="1"/>
  <c r="C124" i="62"/>
  <c r="B124" i="62"/>
  <c r="E122" i="62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 s="1"/>
  <c r="D123" i="62" s="1"/>
  <c r="D80" i="62"/>
  <c r="C123" i="62" s="1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B67" i="62"/>
  <c r="E66" i="62"/>
  <c r="D66" i="62"/>
  <c r="C66" i="62"/>
  <c r="E65" i="62"/>
  <c r="D65" i="62"/>
  <c r="G65" i="62" s="1"/>
  <c r="C65" i="62"/>
  <c r="E64" i="62"/>
  <c r="D64" i="62"/>
  <c r="C64" i="62"/>
  <c r="E63" i="62"/>
  <c r="D63" i="62"/>
  <c r="G63" i="62" s="1"/>
  <c r="C63" i="62"/>
  <c r="G62" i="62"/>
  <c r="F62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C41" i="62"/>
  <c r="C118" i="62" s="1"/>
  <c r="E40" i="62"/>
  <c r="D40" i="62"/>
  <c r="D117" i="62" s="1"/>
  <c r="C40" i="62"/>
  <c r="E39" i="62"/>
  <c r="G39" i="62" s="1"/>
  <c r="D39" i="62"/>
  <c r="C39" i="62"/>
  <c r="F39" i="62" s="1"/>
  <c r="E36" i="62"/>
  <c r="D36" i="62"/>
  <c r="C36" i="62"/>
  <c r="C129" i="62" s="1"/>
  <c r="G34" i="62"/>
  <c r="F34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C22" i="62"/>
  <c r="C23" i="62" s="1"/>
  <c r="G21" i="62"/>
  <c r="F21" i="62"/>
  <c r="E21" i="62"/>
  <c r="B19" i="62"/>
  <c r="G18" i="62"/>
  <c r="E18" i="62"/>
  <c r="D18" i="62"/>
  <c r="C18" i="62"/>
  <c r="D17" i="62"/>
  <c r="C17" i="62"/>
  <c r="B17" i="62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B119" i="61"/>
  <c r="B118" i="61"/>
  <c r="B117" i="61"/>
  <c r="B116" i="61"/>
  <c r="D115" i="61"/>
  <c r="C115" i="61"/>
  <c r="B115" i="61"/>
  <c r="F86" i="61"/>
  <c r="E86" i="61"/>
  <c r="F85" i="61"/>
  <c r="E85" i="61"/>
  <c r="G85" i="61" s="1"/>
  <c r="D84" i="61"/>
  <c r="C84" i="61"/>
  <c r="B84" i="61"/>
  <c r="F83" i="61"/>
  <c r="E83" i="61"/>
  <c r="E82" i="61"/>
  <c r="E76" i="66" s="1"/>
  <c r="D82" i="61"/>
  <c r="D80" i="61" s="1"/>
  <c r="C82" i="61"/>
  <c r="F81" i="61"/>
  <c r="E81" i="61"/>
  <c r="C80" i="61"/>
  <c r="C97" i="61" s="1"/>
  <c r="B80" i="61"/>
  <c r="B97" i="61" s="1"/>
  <c r="F79" i="61"/>
  <c r="E79" i="61"/>
  <c r="F78" i="61"/>
  <c r="E78" i="61"/>
  <c r="D78" i="6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B67" i="61"/>
  <c r="F66" i="61"/>
  <c r="E66" i="61"/>
  <c r="G66" i="61" s="1"/>
  <c r="E65" i="61"/>
  <c r="D65" i="61"/>
  <c r="G65" i="61" s="1"/>
  <c r="C65" i="61"/>
  <c r="C59" i="66" s="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C53" i="61"/>
  <c r="F53" i="61" s="1"/>
  <c r="G52" i="61"/>
  <c r="F52" i="61"/>
  <c r="G51" i="61"/>
  <c r="F51" i="61"/>
  <c r="B50" i="61"/>
  <c r="B54" i="61" s="1"/>
  <c r="E49" i="61"/>
  <c r="D49" i="61"/>
  <c r="C49" i="61"/>
  <c r="E48" i="61"/>
  <c r="D48" i="61"/>
  <c r="C48" i="61"/>
  <c r="F47" i="61"/>
  <c r="E47" i="61"/>
  <c r="E45" i="61"/>
  <c r="E89" i="61" s="1"/>
  <c r="E112" i="61" s="1"/>
  <c r="D45" i="61"/>
  <c r="D89" i="61" s="1"/>
  <c r="D112" i="61" s="1"/>
  <c r="C45" i="61"/>
  <c r="C89" i="61" s="1"/>
  <c r="C112" i="61" s="1"/>
  <c r="B45" i="61"/>
  <c r="E42" i="61"/>
  <c r="D42" i="61"/>
  <c r="G42" i="61" s="1"/>
  <c r="C42" i="61"/>
  <c r="F42" i="61" s="1"/>
  <c r="E41" i="61"/>
  <c r="D41" i="61"/>
  <c r="C41" i="61"/>
  <c r="C118" i="61" s="1"/>
  <c r="E40" i="61"/>
  <c r="D40" i="61"/>
  <c r="C40" i="61"/>
  <c r="F40" i="61" s="1"/>
  <c r="E39" i="61"/>
  <c r="D39" i="61"/>
  <c r="C39" i="61"/>
  <c r="E36" i="61"/>
  <c r="D36" i="61"/>
  <c r="D119" i="61" s="1"/>
  <c r="C36" i="61"/>
  <c r="G34" i="61"/>
  <c r="F34" i="61"/>
  <c r="F33" i="61"/>
  <c r="E33" i="61"/>
  <c r="E27" i="66" s="1"/>
  <c r="D33" i="61"/>
  <c r="D121" i="61" s="1"/>
  <c r="C33" i="61"/>
  <c r="C121" i="61" s="1"/>
  <c r="F31" i="61"/>
  <c r="E31" i="61"/>
  <c r="D31" i="61"/>
  <c r="D120" i="61" s="1"/>
  <c r="C31" i="61"/>
  <c r="C120" i="61" s="1"/>
  <c r="G29" i="61"/>
  <c r="F29" i="61"/>
  <c r="E29" i="61"/>
  <c r="B27" i="61"/>
  <c r="E26" i="61"/>
  <c r="D26" i="61"/>
  <c r="D27" i="61" s="1"/>
  <c r="C26" i="61"/>
  <c r="C27" i="61" s="1"/>
  <c r="F25" i="61"/>
  <c r="E25" i="61"/>
  <c r="C23" i="61"/>
  <c r="C99" i="61" s="1"/>
  <c r="B23" i="61"/>
  <c r="E22" i="61"/>
  <c r="D22" i="61"/>
  <c r="C22" i="61"/>
  <c r="F21" i="61"/>
  <c r="E21" i="61"/>
  <c r="E15" i="66" s="1"/>
  <c r="C18" i="44" s="1"/>
  <c r="C19" i="61"/>
  <c r="C105" i="61" s="1"/>
  <c r="F18" i="61"/>
  <c r="E18" i="61"/>
  <c r="G18" i="61" s="1"/>
  <c r="F17" i="61"/>
  <c r="D17" i="61"/>
  <c r="D19" i="61" s="1"/>
  <c r="C17" i="61"/>
  <c r="B17" i="61"/>
  <c r="B19" i="61" s="1"/>
  <c r="G16" i="61"/>
  <c r="F16" i="61"/>
  <c r="F15" i="61"/>
  <c r="E15" i="61"/>
  <c r="E13" i="61"/>
  <c r="D13" i="61"/>
  <c r="C13" i="61"/>
  <c r="A11" i="61"/>
  <c r="E122" i="66"/>
  <c r="E124" i="66" s="1"/>
  <c r="E116" i="66"/>
  <c r="C80" i="66"/>
  <c r="F80" i="66" s="1"/>
  <c r="B80" i="66"/>
  <c r="B78" i="66" s="1"/>
  <c r="E79" i="66"/>
  <c r="C79" i="66"/>
  <c r="B79" i="66"/>
  <c r="D77" i="66"/>
  <c r="C77" i="66"/>
  <c r="F77" i="66" s="1"/>
  <c r="B77" i="66"/>
  <c r="D76" i="66"/>
  <c r="C76" i="66"/>
  <c r="B76" i="66"/>
  <c r="D75" i="66"/>
  <c r="D89" i="43" s="1"/>
  <c r="B75" i="66"/>
  <c r="B74" i="66" s="1"/>
  <c r="F73" i="66"/>
  <c r="D73" i="66"/>
  <c r="C73" i="66"/>
  <c r="B73" i="66"/>
  <c r="E72" i="66"/>
  <c r="D72" i="66"/>
  <c r="G72" i="66" s="1"/>
  <c r="C72" i="66"/>
  <c r="E94" i="43" s="1"/>
  <c r="B72" i="66"/>
  <c r="E70" i="66"/>
  <c r="D70" i="66"/>
  <c r="G70" i="66" s="1"/>
  <c r="C70" i="66"/>
  <c r="F70" i="66" s="1"/>
  <c r="B70" i="66"/>
  <c r="F69" i="66"/>
  <c r="E69" i="66"/>
  <c r="C91" i="43" s="1"/>
  <c r="D69" i="66"/>
  <c r="G69" i="66" s="1"/>
  <c r="C69" i="66"/>
  <c r="B69" i="66"/>
  <c r="G68" i="66"/>
  <c r="E68" i="66"/>
  <c r="D68" i="66"/>
  <c r="C68" i="66"/>
  <c r="B68" i="66"/>
  <c r="E67" i="66"/>
  <c r="D67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B60" i="66"/>
  <c r="E59" i="66"/>
  <c r="D59" i="66"/>
  <c r="D16" i="43" s="1"/>
  <c r="B59" i="66"/>
  <c r="E58" i="66"/>
  <c r="D58" i="66"/>
  <c r="B58" i="66"/>
  <c r="D57" i="66"/>
  <c r="B57" i="66"/>
  <c r="E56" i="66"/>
  <c r="C6" i="43" s="1"/>
  <c r="D56" i="66"/>
  <c r="C56" i="66"/>
  <c r="B56" i="66"/>
  <c r="B54" i="66"/>
  <c r="E53" i="66"/>
  <c r="D53" i="66"/>
  <c r="G53" i="66" s="1"/>
  <c r="C53" i="66"/>
  <c r="B53" i="66"/>
  <c r="E52" i="66"/>
  <c r="C52" i="66"/>
  <c r="B52" i="66"/>
  <c r="E51" i="66"/>
  <c r="D51" i="66"/>
  <c r="C51" i="66"/>
  <c r="B51" i="66"/>
  <c r="E50" i="66"/>
  <c r="E54" i="66" s="1"/>
  <c r="D50" i="66"/>
  <c r="C50" i="66"/>
  <c r="F50" i="66" s="1"/>
  <c r="B50" i="66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D43" i="66"/>
  <c r="G43" i="66" s="1"/>
  <c r="B43" i="66"/>
  <c r="D42" i="66"/>
  <c r="D31" i="43" s="1"/>
  <c r="C42" i="66"/>
  <c r="B42" i="66"/>
  <c r="D41" i="66"/>
  <c r="C41" i="66"/>
  <c r="F41" i="66" s="1"/>
  <c r="B41" i="66"/>
  <c r="E39" i="66"/>
  <c r="E83" i="66" s="1"/>
  <c r="E106" i="66" s="1"/>
  <c r="D39" i="66"/>
  <c r="D83" i="66" s="1"/>
  <c r="D106" i="66" s="1"/>
  <c r="E36" i="66"/>
  <c r="D36" i="66"/>
  <c r="B36" i="66"/>
  <c r="G35" i="66"/>
  <c r="E35" i="66"/>
  <c r="D35" i="66"/>
  <c r="D112" i="66" s="1"/>
  <c r="C35" i="66"/>
  <c r="B35" i="66"/>
  <c r="B112" i="66" s="1"/>
  <c r="E34" i="66"/>
  <c r="D34" i="66"/>
  <c r="C34" i="66"/>
  <c r="C111" i="66" s="1"/>
  <c r="B34" i="66"/>
  <c r="B111" i="66" s="1"/>
  <c r="E33" i="66"/>
  <c r="C33" i="66"/>
  <c r="B33" i="66"/>
  <c r="E30" i="66"/>
  <c r="B30" i="66"/>
  <c r="E28" i="66"/>
  <c r="D28" i="66"/>
  <c r="G28" i="66" s="1"/>
  <c r="C28" i="66"/>
  <c r="B28" i="66"/>
  <c r="D27" i="66"/>
  <c r="D115" i="66" s="1"/>
  <c r="C27" i="66"/>
  <c r="B27" i="66"/>
  <c r="B115" i="66" s="1"/>
  <c r="D25" i="66"/>
  <c r="D114" i="66" s="1"/>
  <c r="C25" i="66"/>
  <c r="B25" i="66"/>
  <c r="B114" i="66" s="1"/>
  <c r="F23" i="66"/>
  <c r="E23" i="66"/>
  <c r="C16" i="44" s="1"/>
  <c r="D23" i="66"/>
  <c r="D109" i="66" s="1"/>
  <c r="C23" i="66"/>
  <c r="C109" i="66" s="1"/>
  <c r="B23" i="66"/>
  <c r="B109" i="66" s="1"/>
  <c r="E20" i="66"/>
  <c r="G20" i="66" s="1"/>
  <c r="D20" i="66"/>
  <c r="D110" i="66" s="1"/>
  <c r="C20" i="66"/>
  <c r="B20" i="66"/>
  <c r="B110" i="66" s="1"/>
  <c r="D19" i="66"/>
  <c r="D21" i="66" s="1"/>
  <c r="C19" i="66"/>
  <c r="F19" i="66" s="1"/>
  <c r="B19" i="66"/>
  <c r="B21" i="66" s="1"/>
  <c r="E16" i="66"/>
  <c r="C16" i="66"/>
  <c r="B16" i="66"/>
  <c r="D15" i="66"/>
  <c r="C15" i="66"/>
  <c r="B15" i="66"/>
  <c r="B17" i="66" s="1"/>
  <c r="B93" i="66" s="1"/>
  <c r="E12" i="66"/>
  <c r="D12" i="66"/>
  <c r="G12" i="66" s="1"/>
  <c r="C12" i="66"/>
  <c r="F12" i="66" s="1"/>
  <c r="B12" i="66"/>
  <c r="B11" i="66"/>
  <c r="E10" i="66"/>
  <c r="D10" i="66"/>
  <c r="G10" i="66" s="1"/>
  <c r="C10" i="66"/>
  <c r="E4" i="44" s="1"/>
  <c r="B10" i="66"/>
  <c r="F9" i="66"/>
  <c r="E9" i="66"/>
  <c r="E11" i="66" s="1"/>
  <c r="D9" i="66"/>
  <c r="G9" i="66" s="1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N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P339" i="17" s="1"/>
  <c r="G326" i="17"/>
  <c r="A326" i="17"/>
  <c r="T315" i="17"/>
  <c r="T316" i="17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H316" i="17" s="1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T293" i="17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P247" i="17" s="1"/>
  <c r="G234" i="17"/>
  <c r="A234" i="17"/>
  <c r="T223" i="17"/>
  <c r="M12" i="51" s="1"/>
  <c r="S223" i="17"/>
  <c r="L12" i="51" s="1"/>
  <c r="N12" i="51" s="1"/>
  <c r="R223" i="17"/>
  <c r="Q223" i="17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N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V201" i="17" s="1"/>
  <c r="U188" i="17"/>
  <c r="P188" i="17"/>
  <c r="G188" i="17"/>
  <c r="A188" i="17"/>
  <c r="S178" i="17"/>
  <c r="T177" i="17"/>
  <c r="M10" i="51" s="1"/>
  <c r="N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P155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T109" i="17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P63" i="17" s="1"/>
  <c r="G50" i="17"/>
  <c r="A50" i="17"/>
  <c r="O40" i="17"/>
  <c r="T39" i="17"/>
  <c r="M4" i="51" s="1"/>
  <c r="S39" i="17"/>
  <c r="L4" i="51" s="1"/>
  <c r="R39" i="17"/>
  <c r="S40" i="17" s="1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I37" i="17"/>
  <c r="H37" i="17"/>
  <c r="P37" i="17" s="1"/>
  <c r="G37" i="17"/>
  <c r="I36" i="17"/>
  <c r="V36" i="17" s="1"/>
  <c r="H36" i="17"/>
  <c r="G36" i="17"/>
  <c r="I35" i="17"/>
  <c r="V35" i="17" s="1"/>
  <c r="H35" i="17"/>
  <c r="G35" i="17"/>
  <c r="I34" i="17"/>
  <c r="V34" i="17" s="1"/>
  <c r="H34" i="17"/>
  <c r="H11" i="17" s="1"/>
  <c r="G34" i="17"/>
  <c r="I33" i="17"/>
  <c r="V33" i="17" s="1"/>
  <c r="H33" i="17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U4" i="17" s="1"/>
  <c r="P27" i="17"/>
  <c r="G27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B15" i="17"/>
  <c r="G15" i="17" s="1"/>
  <c r="A15" i="17"/>
  <c r="T14" i="17"/>
  <c r="S14" i="17"/>
  <c r="R14" i="17"/>
  <c r="Q14" i="17"/>
  <c r="O14" i="17"/>
  <c r="N14" i="17"/>
  <c r="M14" i="17"/>
  <c r="L14" i="17"/>
  <c r="K14" i="17"/>
  <c r="J14" i="17"/>
  <c r="I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F12" i="17"/>
  <c r="E12" i="17"/>
  <c r="D12" i="17"/>
  <c r="C12" i="17"/>
  <c r="B12" i="17"/>
  <c r="G12" i="17" s="1"/>
  <c r="A12" i="17"/>
  <c r="T11" i="17"/>
  <c r="S11" i="17"/>
  <c r="R11" i="17"/>
  <c r="Q11" i="17"/>
  <c r="O11" i="17"/>
  <c r="N11" i="17"/>
  <c r="M11" i="17"/>
  <c r="L11" i="17"/>
  <c r="K11" i="17"/>
  <c r="J11" i="17"/>
  <c r="I11" i="17"/>
  <c r="F11" i="17"/>
  <c r="E11" i="17"/>
  <c r="D11" i="17"/>
  <c r="C11" i="17"/>
  <c r="B11" i="17"/>
  <c r="G11" i="17" s="1"/>
  <c r="A11" i="17"/>
  <c r="T10" i="17"/>
  <c r="S10" i="17"/>
  <c r="R10" i="17"/>
  <c r="Q10" i="17"/>
  <c r="O10" i="17"/>
  <c r="N10" i="17"/>
  <c r="M10" i="17"/>
  <c r="L10" i="17"/>
  <c r="K10" i="17"/>
  <c r="J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D16" i="17" s="1"/>
  <c r="C9" i="17"/>
  <c r="B9" i="17"/>
  <c r="A9" i="17"/>
  <c r="U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G8" i="17" s="1"/>
  <c r="A8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T4" i="17"/>
  <c r="S4" i="17"/>
  <c r="R4" i="17"/>
  <c r="Q4" i="17"/>
  <c r="O4" i="17"/>
  <c r="N4" i="17"/>
  <c r="M4" i="17"/>
  <c r="L4" i="17"/>
  <c r="L16" i="17" s="1"/>
  <c r="K4" i="17"/>
  <c r="J4" i="17"/>
  <c r="I4" i="17"/>
  <c r="H4" i="17"/>
  <c r="F4" i="17"/>
  <c r="E4" i="17"/>
  <c r="D4" i="17"/>
  <c r="C4" i="17"/>
  <c r="C16" i="17" s="1"/>
  <c r="B4" i="17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D111" i="60"/>
  <c r="C111" i="60"/>
  <c r="B111" i="60"/>
  <c r="B117" i="60" s="1"/>
  <c r="D110" i="60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D94" i="43"/>
  <c r="C94" i="43"/>
  <c r="C93" i="43"/>
  <c r="E91" i="43"/>
  <c r="D91" i="43"/>
  <c r="E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E30" i="43"/>
  <c r="D30" i="43"/>
  <c r="D27" i="43"/>
  <c r="C27" i="43"/>
  <c r="E26" i="43"/>
  <c r="C26" i="43"/>
  <c r="C21" i="43"/>
  <c r="C16" i="43"/>
  <c r="E13" i="43"/>
  <c r="D13" i="43"/>
  <c r="C13" i="43"/>
  <c r="E9" i="43"/>
  <c r="C9" i="43"/>
  <c r="E8" i="43"/>
  <c r="D8" i="43"/>
  <c r="C8" i="43"/>
  <c r="E6" i="43"/>
  <c r="D6" i="43"/>
  <c r="D5" i="43"/>
  <c r="E3" i="43"/>
  <c r="D3" i="43"/>
  <c r="C3" i="43"/>
  <c r="D2" i="43"/>
  <c r="E1" i="43"/>
  <c r="G1" i="43" s="1"/>
  <c r="C1" i="43"/>
  <c r="E52" i="44"/>
  <c r="C52" i="44"/>
  <c r="D50" i="44"/>
  <c r="C50" i="44"/>
  <c r="E49" i="44"/>
  <c r="C49" i="44"/>
  <c r="C44" i="44"/>
  <c r="E42" i="44"/>
  <c r="D42" i="44"/>
  <c r="D41" i="44"/>
  <c r="C41" i="44"/>
  <c r="E40" i="44"/>
  <c r="D40" i="44"/>
  <c r="C40" i="44"/>
  <c r="D35" i="44"/>
  <c r="E27" i="44"/>
  <c r="D27" i="44"/>
  <c r="C27" i="44"/>
  <c r="D25" i="44"/>
  <c r="E24" i="44"/>
  <c r="D24" i="44"/>
  <c r="C24" i="44"/>
  <c r="E18" i="44"/>
  <c r="D18" i="44"/>
  <c r="E16" i="44"/>
  <c r="D16" i="44"/>
  <c r="E15" i="44"/>
  <c r="D14" i="44"/>
  <c r="C14" i="44"/>
  <c r="E5" i="44"/>
  <c r="D5" i="44"/>
  <c r="C5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E23" i="56" s="1"/>
  <c r="D15" i="56"/>
  <c r="D23" i="56" s="1"/>
  <c r="C15" i="56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D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0" i="54"/>
  <c r="G9" i="54"/>
  <c r="G8" i="54"/>
  <c r="G36" i="53"/>
  <c r="G29" i="53"/>
  <c r="G28" i="53"/>
  <c r="G27" i="53"/>
  <c r="E22" i="53"/>
  <c r="D22" i="53"/>
  <c r="C22" i="53"/>
  <c r="B22" i="53"/>
  <c r="G21" i="53"/>
  <c r="G20" i="53"/>
  <c r="G19" i="53"/>
  <c r="G18" i="53"/>
  <c r="G17" i="53"/>
  <c r="G22" i="53" s="1"/>
  <c r="E15" i="53"/>
  <c r="D15" i="53"/>
  <c r="D23" i="53" s="1"/>
  <c r="C15" i="53"/>
  <c r="C23" i="53" s="1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D43" i="52"/>
  <c r="F43" i="52" s="1"/>
  <c r="F40" i="52"/>
  <c r="D40" i="52"/>
  <c r="D39" i="52"/>
  <c r="F39" i="52" s="1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F477" i="17" l="1"/>
  <c r="T477" i="17"/>
  <c r="M23" i="51"/>
  <c r="V85" i="17"/>
  <c r="D109" i="17"/>
  <c r="D110" i="17" s="1"/>
  <c r="D293" i="17"/>
  <c r="D294" i="17" s="1"/>
  <c r="C114" i="66"/>
  <c r="F25" i="59"/>
  <c r="K25" i="59" s="1"/>
  <c r="E25" i="44"/>
  <c r="G57" i="62"/>
  <c r="E60" i="62"/>
  <c r="E23" i="55"/>
  <c r="R16" i="17"/>
  <c r="P4" i="17"/>
  <c r="P7" i="17"/>
  <c r="P8" i="17"/>
  <c r="P33" i="17"/>
  <c r="P10" i="17" s="1"/>
  <c r="U33" i="17"/>
  <c r="U10" i="17" s="1"/>
  <c r="H10" i="17"/>
  <c r="V6" i="17"/>
  <c r="I63" i="17"/>
  <c r="V5" i="17"/>
  <c r="E224" i="17"/>
  <c r="I247" i="17"/>
  <c r="I385" i="17"/>
  <c r="U6" i="17"/>
  <c r="G15" i="66"/>
  <c r="D111" i="66"/>
  <c r="G34" i="66"/>
  <c r="D52" i="44"/>
  <c r="F53" i="66"/>
  <c r="E27" i="43"/>
  <c r="B89" i="61"/>
  <c r="B112" i="61" s="1"/>
  <c r="B39" i="66"/>
  <c r="B83" i="66" s="1"/>
  <c r="B106" i="66" s="1"/>
  <c r="G48" i="61"/>
  <c r="E42" i="66"/>
  <c r="C31" i="43" s="1"/>
  <c r="F59" i="66"/>
  <c r="E16" i="43"/>
  <c r="G33" i="62"/>
  <c r="D121" i="62"/>
  <c r="D44" i="44"/>
  <c r="F86" i="17"/>
  <c r="M109" i="17"/>
  <c r="V269" i="17"/>
  <c r="F270" i="17"/>
  <c r="M293" i="17"/>
  <c r="E17" i="66"/>
  <c r="C15" i="44"/>
  <c r="J16" i="17"/>
  <c r="J17" i="17" s="1"/>
  <c r="N16" i="17"/>
  <c r="N17" i="17" s="1"/>
  <c r="U7" i="17"/>
  <c r="V10" i="17"/>
  <c r="U36" i="17"/>
  <c r="U13" i="17" s="1"/>
  <c r="H13" i="17"/>
  <c r="P36" i="17"/>
  <c r="P13" i="17" s="1"/>
  <c r="V108" i="17"/>
  <c r="V177" i="17"/>
  <c r="F178" i="17"/>
  <c r="D201" i="17"/>
  <c r="D202" i="17" s="1"/>
  <c r="M201" i="17"/>
  <c r="V292" i="17"/>
  <c r="V361" i="17"/>
  <c r="F362" i="17"/>
  <c r="V384" i="17"/>
  <c r="J385" i="17"/>
  <c r="N385" i="17"/>
  <c r="F28" i="66"/>
  <c r="E41" i="44"/>
  <c r="C2" i="43"/>
  <c r="G58" i="66"/>
  <c r="G31" i="61"/>
  <c r="E25" i="66"/>
  <c r="C25" i="44" s="1"/>
  <c r="G27" i="66"/>
  <c r="C35" i="44"/>
  <c r="C129" i="61"/>
  <c r="F36" i="61"/>
  <c r="C30" i="66"/>
  <c r="D33" i="66"/>
  <c r="G39" i="61"/>
  <c r="F75" i="66"/>
  <c r="C74" i="66"/>
  <c r="E89" i="43"/>
  <c r="D21" i="52"/>
  <c r="E44" i="44"/>
  <c r="B16" i="17"/>
  <c r="G4" i="17"/>
  <c r="F16" i="17"/>
  <c r="F17" i="17" s="1"/>
  <c r="H12" i="17"/>
  <c r="P35" i="17"/>
  <c r="P12" i="17" s="1"/>
  <c r="V14" i="17"/>
  <c r="E132" i="17"/>
  <c r="I155" i="17"/>
  <c r="E316" i="17"/>
  <c r="I339" i="17"/>
  <c r="G14" i="48"/>
  <c r="C115" i="66"/>
  <c r="E35" i="44"/>
  <c r="F27" i="66"/>
  <c r="D21" i="43"/>
  <c r="G60" i="66"/>
  <c r="D23" i="61"/>
  <c r="D16" i="66"/>
  <c r="G25" i="61"/>
  <c r="E27" i="61"/>
  <c r="G27" i="61" s="1"/>
  <c r="E19" i="66"/>
  <c r="C67" i="62"/>
  <c r="F63" i="62"/>
  <c r="G15" i="55"/>
  <c r="G22" i="55"/>
  <c r="D22" i="52"/>
  <c r="C17" i="17"/>
  <c r="K16" i="17"/>
  <c r="K17" i="17" s="1"/>
  <c r="O16" i="17"/>
  <c r="O17" i="17" s="1"/>
  <c r="G6" i="17"/>
  <c r="G10" i="17"/>
  <c r="E63" i="17"/>
  <c r="O6" i="51"/>
  <c r="E109" i="17"/>
  <c r="N7" i="51"/>
  <c r="V131" i="17"/>
  <c r="I132" i="17"/>
  <c r="F132" i="17"/>
  <c r="E155" i="17"/>
  <c r="T178" i="17"/>
  <c r="E201" i="17"/>
  <c r="V223" i="17"/>
  <c r="U223" i="17"/>
  <c r="I224" i="17"/>
  <c r="F224" i="17"/>
  <c r="E247" i="17"/>
  <c r="O14" i="51"/>
  <c r="E293" i="17"/>
  <c r="N15" i="51"/>
  <c r="V315" i="17"/>
  <c r="I316" i="17"/>
  <c r="F316" i="17"/>
  <c r="E339" i="17"/>
  <c r="P407" i="17"/>
  <c r="P408" i="17" s="1"/>
  <c r="J431" i="17"/>
  <c r="S431" i="17"/>
  <c r="I477" i="17"/>
  <c r="V9" i="17"/>
  <c r="C477" i="17"/>
  <c r="C478" i="17" s="1"/>
  <c r="O23" i="51"/>
  <c r="H14" i="48"/>
  <c r="J9" i="51"/>
  <c r="O9" i="51" s="1"/>
  <c r="D11" i="66"/>
  <c r="B44" i="66"/>
  <c r="B61" i="66"/>
  <c r="G22" i="61"/>
  <c r="G79" i="61"/>
  <c r="D124" i="61"/>
  <c r="G81" i="61"/>
  <c r="E80" i="61"/>
  <c r="E97" i="61" s="1"/>
  <c r="E75" i="66"/>
  <c r="F85" i="65"/>
  <c r="C84" i="65"/>
  <c r="G22" i="54"/>
  <c r="D25" i="52" s="1"/>
  <c r="D117" i="60"/>
  <c r="D119" i="60" s="1"/>
  <c r="C116" i="60"/>
  <c r="T16" i="17"/>
  <c r="G9" i="17"/>
  <c r="I10" i="17"/>
  <c r="I12" i="17"/>
  <c r="G14" i="17"/>
  <c r="H14" i="17"/>
  <c r="O63" i="17"/>
  <c r="V4" i="17"/>
  <c r="U5" i="17"/>
  <c r="P6" i="17"/>
  <c r="V8" i="17"/>
  <c r="V12" i="17"/>
  <c r="P14" i="17"/>
  <c r="F63" i="17"/>
  <c r="M86" i="17"/>
  <c r="U108" i="17"/>
  <c r="N109" i="17"/>
  <c r="U9" i="17"/>
  <c r="F109" i="17"/>
  <c r="H132" i="17"/>
  <c r="U131" i="17"/>
  <c r="O155" i="17"/>
  <c r="V154" i="17"/>
  <c r="U154" i="17"/>
  <c r="F155" i="17"/>
  <c r="M178" i="17"/>
  <c r="U200" i="17"/>
  <c r="N201" i="17"/>
  <c r="F201" i="17"/>
  <c r="T224" i="17"/>
  <c r="O247" i="17"/>
  <c r="V246" i="17"/>
  <c r="U246" i="17"/>
  <c r="F247" i="17"/>
  <c r="M270" i="17"/>
  <c r="U292" i="17"/>
  <c r="N293" i="17"/>
  <c r="F293" i="17"/>
  <c r="U315" i="17"/>
  <c r="O339" i="17"/>
  <c r="V338" i="17"/>
  <c r="U338" i="17"/>
  <c r="G17" i="51" s="1"/>
  <c r="F339" i="17"/>
  <c r="G384" i="17"/>
  <c r="G385" i="17" s="1"/>
  <c r="I19" i="51" s="1"/>
  <c r="U384" i="17"/>
  <c r="O19" i="51"/>
  <c r="I431" i="17"/>
  <c r="T431" i="17"/>
  <c r="N22" i="51"/>
  <c r="N103" i="3"/>
  <c r="B14" i="52" s="1"/>
  <c r="B52" i="52" s="1"/>
  <c r="G23" i="66"/>
  <c r="D30" i="66"/>
  <c r="G30" i="66" s="1"/>
  <c r="F33" i="66"/>
  <c r="F34" i="66"/>
  <c r="C36" i="66"/>
  <c r="F36" i="66" s="1"/>
  <c r="C39" i="66"/>
  <c r="C83" i="66" s="1"/>
  <c r="C106" i="66" s="1"/>
  <c r="C47" i="66"/>
  <c r="E93" i="43" s="1"/>
  <c r="G50" i="66"/>
  <c r="G51" i="66"/>
  <c r="C57" i="66"/>
  <c r="C58" i="66"/>
  <c r="C78" i="66"/>
  <c r="E17" i="61"/>
  <c r="E94" i="61" s="1"/>
  <c r="G15" i="61"/>
  <c r="F27" i="61"/>
  <c r="G83" i="61"/>
  <c r="E77" i="66"/>
  <c r="D129" i="61"/>
  <c r="B105" i="62"/>
  <c r="C117" i="62"/>
  <c r="F40" i="62"/>
  <c r="D118" i="62"/>
  <c r="G41" i="62"/>
  <c r="F71" i="62"/>
  <c r="B123" i="62"/>
  <c r="C97" i="62"/>
  <c r="E17" i="63"/>
  <c r="E94" i="63" s="1"/>
  <c r="G78" i="63"/>
  <c r="D99" i="63"/>
  <c r="D80" i="63"/>
  <c r="D97" i="63" s="1"/>
  <c r="F25" i="64"/>
  <c r="B87" i="64"/>
  <c r="B101" i="64"/>
  <c r="G85" i="64"/>
  <c r="D84" i="64"/>
  <c r="D79" i="66"/>
  <c r="D116" i="64"/>
  <c r="E17" i="65"/>
  <c r="G15" i="65"/>
  <c r="F25" i="5"/>
  <c r="E23" i="53"/>
  <c r="D20" i="52"/>
  <c r="C23" i="54"/>
  <c r="G15" i="56"/>
  <c r="G23" i="56" s="1"/>
  <c r="C23" i="56"/>
  <c r="G22" i="56"/>
  <c r="D116" i="60"/>
  <c r="B116" i="60"/>
  <c r="C117" i="60"/>
  <c r="C120" i="60" s="1"/>
  <c r="D23" i="44" s="1"/>
  <c r="E16" i="17"/>
  <c r="E17" i="17" s="1"/>
  <c r="I16" i="17"/>
  <c r="I17" i="17" s="1"/>
  <c r="M16" i="17"/>
  <c r="M17" i="17" s="1"/>
  <c r="Q16" i="17"/>
  <c r="G13" i="17"/>
  <c r="U37" i="17"/>
  <c r="U14" i="17" s="1"/>
  <c r="E86" i="17"/>
  <c r="N6" i="51"/>
  <c r="M132" i="17"/>
  <c r="S132" i="17"/>
  <c r="E178" i="17"/>
  <c r="M224" i="17"/>
  <c r="S224" i="17"/>
  <c r="E270" i="17"/>
  <c r="N14" i="51"/>
  <c r="M316" i="17"/>
  <c r="S316" i="17"/>
  <c r="O408" i="17"/>
  <c r="U407" i="17"/>
  <c r="V407" i="17"/>
  <c r="V408" i="17" s="1"/>
  <c r="B408" i="17"/>
  <c r="B409" i="17" s="1"/>
  <c r="F408" i="17"/>
  <c r="K408" i="17"/>
  <c r="F431" i="17"/>
  <c r="V430" i="17"/>
  <c r="N454" i="17"/>
  <c r="U453" i="17"/>
  <c r="V453" i="17"/>
  <c r="F454" i="17"/>
  <c r="N477" i="17"/>
  <c r="N23" i="51"/>
  <c r="J10" i="51"/>
  <c r="G49" i="51"/>
  <c r="G36" i="66"/>
  <c r="D61" i="66"/>
  <c r="C60" i="66"/>
  <c r="E73" i="66"/>
  <c r="F76" i="66"/>
  <c r="G76" i="66"/>
  <c r="F22" i="61"/>
  <c r="D116" i="61"/>
  <c r="G26" i="61"/>
  <c r="F39" i="61"/>
  <c r="F41" i="61"/>
  <c r="G41" i="61"/>
  <c r="F66" i="62"/>
  <c r="G66" i="62"/>
  <c r="D97" i="62"/>
  <c r="E27" i="63"/>
  <c r="F36" i="63"/>
  <c r="G36" i="63"/>
  <c r="E60" i="64"/>
  <c r="G57" i="64"/>
  <c r="D123" i="64"/>
  <c r="B97" i="64"/>
  <c r="D60" i="65"/>
  <c r="G57" i="65"/>
  <c r="F57" i="65"/>
  <c r="G36" i="64"/>
  <c r="D119" i="64"/>
  <c r="F81" i="64"/>
  <c r="C80" i="64"/>
  <c r="C124" i="65"/>
  <c r="G79" i="65"/>
  <c r="F79" i="65"/>
  <c r="D105" i="63"/>
  <c r="G39" i="63"/>
  <c r="C60" i="63"/>
  <c r="F27" i="64"/>
  <c r="E84" i="64"/>
  <c r="E77" i="64" s="1"/>
  <c r="E68" i="65"/>
  <c r="E90" i="65" s="1"/>
  <c r="E97" i="65"/>
  <c r="C21" i="5"/>
  <c r="F24" i="5"/>
  <c r="C29" i="15"/>
  <c r="B20" i="16"/>
  <c r="C39" i="15"/>
  <c r="F77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F60" i="6"/>
  <c r="G64" i="7"/>
  <c r="F64" i="7"/>
  <c r="F88" i="7"/>
  <c r="G88" i="7"/>
  <c r="C108" i="61"/>
  <c r="G36" i="61"/>
  <c r="D50" i="61"/>
  <c r="G53" i="61"/>
  <c r="B68" i="61"/>
  <c r="B69" i="61" s="1"/>
  <c r="F71" i="61"/>
  <c r="G78" i="61"/>
  <c r="B108" i="62"/>
  <c r="F18" i="62"/>
  <c r="E23" i="62"/>
  <c r="G22" i="62"/>
  <c r="D23" i="62"/>
  <c r="F23" i="62" s="1"/>
  <c r="F33" i="62"/>
  <c r="G49" i="62"/>
  <c r="E67" i="62"/>
  <c r="G64" i="62"/>
  <c r="G71" i="62"/>
  <c r="C108" i="63"/>
  <c r="F47" i="63"/>
  <c r="F48" i="63"/>
  <c r="G57" i="63"/>
  <c r="F66" i="63"/>
  <c r="B77" i="63"/>
  <c r="C23" i="64"/>
  <c r="F23" i="64" s="1"/>
  <c r="F26" i="64"/>
  <c r="F39" i="64"/>
  <c r="G40" i="64"/>
  <c r="F48" i="64"/>
  <c r="D67" i="64"/>
  <c r="F71" i="64"/>
  <c r="F15" i="65"/>
  <c r="F29" i="65"/>
  <c r="G33" i="65"/>
  <c r="F39" i="65"/>
  <c r="G41" i="65"/>
  <c r="C50" i="65"/>
  <c r="F49" i="65"/>
  <c r="G71" i="65"/>
  <c r="F83" i="65"/>
  <c r="B77" i="65"/>
  <c r="B87" i="65" s="1"/>
  <c r="D125" i="65"/>
  <c r="G23" i="5"/>
  <c r="D21" i="5"/>
  <c r="L30" i="5"/>
  <c r="F33" i="5"/>
  <c r="F54" i="5"/>
  <c r="F65" i="5"/>
  <c r="C21" i="15"/>
  <c r="G74" i="5"/>
  <c r="D73" i="5"/>
  <c r="G76" i="5"/>
  <c r="D13" i="15"/>
  <c r="F21" i="1"/>
  <c r="E110" i="1"/>
  <c r="D25" i="5"/>
  <c r="G32" i="1"/>
  <c r="F62" i="1"/>
  <c r="E63" i="1"/>
  <c r="E100" i="1"/>
  <c r="E28" i="6"/>
  <c r="G60" i="6"/>
  <c r="C106" i="6"/>
  <c r="G72" i="6"/>
  <c r="F80" i="6"/>
  <c r="G48" i="7"/>
  <c r="F48" i="7"/>
  <c r="E114" i="7"/>
  <c r="E69" i="7"/>
  <c r="B91" i="66"/>
  <c r="G71" i="61"/>
  <c r="G82" i="61"/>
  <c r="C108" i="62"/>
  <c r="G36" i="62"/>
  <c r="E50" i="62"/>
  <c r="B126" i="62"/>
  <c r="G78" i="62"/>
  <c r="F86" i="62"/>
  <c r="F53" i="63"/>
  <c r="D60" i="63"/>
  <c r="F64" i="63"/>
  <c r="D67" i="63"/>
  <c r="F82" i="63"/>
  <c r="G42" i="64"/>
  <c r="G48" i="64"/>
  <c r="F76" i="64"/>
  <c r="G79" i="64"/>
  <c r="G18" i="65"/>
  <c r="E23" i="65"/>
  <c r="F58" i="65"/>
  <c r="F76" i="65"/>
  <c r="F82" i="65"/>
  <c r="G85" i="65"/>
  <c r="B95" i="65"/>
  <c r="F12" i="5"/>
  <c r="F15" i="5"/>
  <c r="J19" i="5"/>
  <c r="J27" i="5" s="1"/>
  <c r="L23" i="5"/>
  <c r="E21" i="5"/>
  <c r="F37" i="5"/>
  <c r="E56" i="5"/>
  <c r="D18" i="16" s="1"/>
  <c r="G61" i="5"/>
  <c r="C71" i="5"/>
  <c r="E74" i="5"/>
  <c r="E73" i="5" s="1"/>
  <c r="E27" i="1"/>
  <c r="G62" i="1"/>
  <c r="D55" i="5"/>
  <c r="F95" i="1"/>
  <c r="F21" i="6"/>
  <c r="G53" i="7"/>
  <c r="F53" i="7"/>
  <c r="G67" i="7"/>
  <c r="F67" i="7"/>
  <c r="D106" i="7"/>
  <c r="G72" i="7"/>
  <c r="E17" i="5"/>
  <c r="E18" i="5"/>
  <c r="G18" i="5" s="1"/>
  <c r="D19" i="5"/>
  <c r="F23" i="5"/>
  <c r="G24" i="5"/>
  <c r="C99" i="5"/>
  <c r="E33" i="5"/>
  <c r="G38" i="5"/>
  <c r="E39" i="5"/>
  <c r="C45" i="5"/>
  <c r="F45" i="5" s="1"/>
  <c r="C46" i="5"/>
  <c r="F60" i="5"/>
  <c r="E61" i="5"/>
  <c r="F66" i="5"/>
  <c r="F69" i="5"/>
  <c r="G71" i="5"/>
  <c r="F74" i="5"/>
  <c r="G77" i="5"/>
  <c r="D81" i="5"/>
  <c r="F82" i="5"/>
  <c r="G72" i="1"/>
  <c r="C106" i="1"/>
  <c r="E80" i="1"/>
  <c r="E108" i="1"/>
  <c r="E27" i="6"/>
  <c r="E33" i="6" s="1"/>
  <c r="E101" i="6" s="1"/>
  <c r="G15" i="6"/>
  <c r="D108" i="6"/>
  <c r="D110" i="6"/>
  <c r="F19" i="6"/>
  <c r="B33" i="6"/>
  <c r="F37" i="6"/>
  <c r="F44" i="6"/>
  <c r="G46" i="6"/>
  <c r="F46" i="6"/>
  <c r="E74" i="6"/>
  <c r="G86" i="6"/>
  <c r="E28" i="15"/>
  <c r="B113" i="1"/>
  <c r="C117" i="1"/>
  <c r="B111" i="6"/>
  <c r="G93" i="7"/>
  <c r="F18" i="8"/>
  <c r="F26" i="8"/>
  <c r="E75" i="8"/>
  <c r="G85" i="8"/>
  <c r="C60" i="65"/>
  <c r="G66" i="65"/>
  <c r="B68" i="5"/>
  <c r="C79" i="5"/>
  <c r="E83" i="5"/>
  <c r="G83" i="5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F29" i="8"/>
  <c r="E28" i="8"/>
  <c r="E112" i="8" s="1"/>
  <c r="G46" i="8"/>
  <c r="G64" i="8"/>
  <c r="F67" i="8"/>
  <c r="G68" i="8"/>
  <c r="G95" i="8"/>
  <c r="G19" i="9"/>
  <c r="G26" i="9"/>
  <c r="D28" i="9"/>
  <c r="G46" i="9"/>
  <c r="F48" i="9"/>
  <c r="C75" i="9"/>
  <c r="G77" i="9"/>
  <c r="E80" i="9"/>
  <c r="F18" i="10"/>
  <c r="G19" i="10"/>
  <c r="G39" i="10"/>
  <c r="D63" i="10"/>
  <c r="F60" i="10"/>
  <c r="D75" i="10"/>
  <c r="C86" i="10"/>
  <c r="E110" i="8"/>
  <c r="G18" i="8"/>
  <c r="G26" i="8"/>
  <c r="G39" i="8"/>
  <c r="B106" i="8"/>
  <c r="C80" i="8"/>
  <c r="F83" i="8"/>
  <c r="F84" i="8"/>
  <c r="F97" i="8"/>
  <c r="F61" i="9"/>
  <c r="G64" i="9"/>
  <c r="F79" i="9"/>
  <c r="F82" i="9"/>
  <c r="F83" i="9"/>
  <c r="C86" i="9"/>
  <c r="F95" i="9"/>
  <c r="F97" i="9"/>
  <c r="G18" i="10"/>
  <c r="F25" i="10"/>
  <c r="E28" i="10"/>
  <c r="F39" i="10"/>
  <c r="F40" i="10"/>
  <c r="G44" i="10"/>
  <c r="F46" i="10"/>
  <c r="F50" i="10"/>
  <c r="F71" i="10"/>
  <c r="D107" i="10"/>
  <c r="E28" i="7"/>
  <c r="E80" i="7"/>
  <c r="F29" i="9"/>
  <c r="F30" i="9"/>
  <c r="F35" i="9"/>
  <c r="G36" i="9"/>
  <c r="F73" i="9"/>
  <c r="F78" i="9"/>
  <c r="F81" i="9"/>
  <c r="G84" i="9"/>
  <c r="G89" i="9"/>
  <c r="F36" i="10"/>
  <c r="F37" i="10"/>
  <c r="F61" i="10"/>
  <c r="F64" i="10"/>
  <c r="G65" i="10"/>
  <c r="C80" i="10"/>
  <c r="C27" i="10"/>
  <c r="E9" i="48" s="1"/>
  <c r="G22" i="10"/>
  <c r="E27" i="10"/>
  <c r="E33" i="10" s="1"/>
  <c r="B33" i="10"/>
  <c r="F34" i="10"/>
  <c r="G37" i="10"/>
  <c r="G40" i="10"/>
  <c r="G48" i="10"/>
  <c r="G50" i="10"/>
  <c r="G53" i="10"/>
  <c r="G60" i="10"/>
  <c r="C63" i="10"/>
  <c r="F63" i="10" s="1"/>
  <c r="B106" i="10"/>
  <c r="E108" i="10"/>
  <c r="G93" i="10"/>
  <c r="C107" i="46"/>
  <c r="D63" i="46"/>
  <c r="D63" i="12"/>
  <c r="G63" i="12" s="1"/>
  <c r="E109" i="14"/>
  <c r="C27" i="46"/>
  <c r="E10" i="48" s="1"/>
  <c r="D107" i="46"/>
  <c r="G59" i="46"/>
  <c r="G77" i="46"/>
  <c r="B111" i="46"/>
  <c r="F85" i="46"/>
  <c r="G89" i="46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78" i="12"/>
  <c r="F81" i="12"/>
  <c r="G84" i="12"/>
  <c r="B119" i="12"/>
  <c r="G93" i="12"/>
  <c r="F97" i="12"/>
  <c r="B106" i="12"/>
  <c r="G17" i="13"/>
  <c r="G21" i="13"/>
  <c r="C110" i="13"/>
  <c r="C109" i="13"/>
  <c r="F44" i="13"/>
  <c r="F61" i="13"/>
  <c r="D27" i="14"/>
  <c r="G34" i="14"/>
  <c r="G40" i="14"/>
  <c r="C63" i="14"/>
  <c r="C66" i="14" s="1"/>
  <c r="G71" i="14"/>
  <c r="F82" i="14"/>
  <c r="F85" i="14"/>
  <c r="F89" i="14"/>
  <c r="F97" i="14"/>
  <c r="F85" i="10"/>
  <c r="F21" i="46"/>
  <c r="G22" i="46"/>
  <c r="G29" i="46"/>
  <c r="D106" i="46"/>
  <c r="G52" i="46"/>
  <c r="G71" i="46"/>
  <c r="B74" i="46"/>
  <c r="F88" i="46"/>
  <c r="F90" i="46"/>
  <c r="B33" i="12"/>
  <c r="G46" i="12"/>
  <c r="G65" i="12"/>
  <c r="F67" i="12"/>
  <c r="B113" i="12"/>
  <c r="G76" i="12"/>
  <c r="G77" i="12"/>
  <c r="D80" i="12"/>
  <c r="E86" i="12"/>
  <c r="E117" i="12" s="1"/>
  <c r="F19" i="13"/>
  <c r="E63" i="13"/>
  <c r="E66" i="13" s="1"/>
  <c r="G67" i="13"/>
  <c r="B113" i="13"/>
  <c r="B111" i="13"/>
  <c r="F82" i="13"/>
  <c r="F83" i="13"/>
  <c r="G85" i="13"/>
  <c r="G26" i="14"/>
  <c r="G29" i="14"/>
  <c r="G37" i="14"/>
  <c r="F52" i="14"/>
  <c r="F53" i="14"/>
  <c r="G60" i="14"/>
  <c r="G83" i="14"/>
  <c r="G85" i="14"/>
  <c r="G88" i="14"/>
  <c r="E86" i="14"/>
  <c r="E117" i="14" s="1"/>
  <c r="G93" i="14"/>
  <c r="F95" i="14"/>
  <c r="H47" i="19"/>
  <c r="L12" i="31"/>
  <c r="F68" i="10"/>
  <c r="G71" i="10"/>
  <c r="F72" i="10"/>
  <c r="B113" i="10"/>
  <c r="D108" i="10"/>
  <c r="F82" i="10"/>
  <c r="G85" i="10"/>
  <c r="F88" i="10"/>
  <c r="F93" i="10"/>
  <c r="E27" i="46"/>
  <c r="E33" i="46" s="1"/>
  <c r="F17" i="46"/>
  <c r="G21" i="46"/>
  <c r="G26" i="46"/>
  <c r="F32" i="46"/>
  <c r="G48" i="46"/>
  <c r="C63" i="46"/>
  <c r="G67" i="46"/>
  <c r="B113" i="46"/>
  <c r="F77" i="46"/>
  <c r="F95" i="46"/>
  <c r="F18" i="12"/>
  <c r="F26" i="12"/>
  <c r="E27" i="12"/>
  <c r="F34" i="12"/>
  <c r="E109" i="12"/>
  <c r="G37" i="12"/>
  <c r="F39" i="12"/>
  <c r="F61" i="12"/>
  <c r="G68" i="12"/>
  <c r="C75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F29" i="14"/>
  <c r="F34" i="14"/>
  <c r="G46" i="14"/>
  <c r="F50" i="14"/>
  <c r="G53" i="14"/>
  <c r="F73" i="14"/>
  <c r="E27" i="4"/>
  <c r="F27" i="4"/>
  <c r="B3" i="52" s="1"/>
  <c r="B2" i="52"/>
  <c r="B57" i="52" s="1"/>
  <c r="E31" i="50"/>
  <c r="C45" i="50" s="1"/>
  <c r="H28" i="4"/>
  <c r="Q43" i="31" s="1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U385" i="17"/>
  <c r="G19" i="51"/>
  <c r="G60" i="61"/>
  <c r="V316" i="17"/>
  <c r="H16" i="51"/>
  <c r="D2" i="44"/>
  <c r="J1" i="30"/>
  <c r="E2" i="44"/>
  <c r="B120" i="60"/>
  <c r="E23" i="44" s="1"/>
  <c r="G20" i="51"/>
  <c r="U408" i="17"/>
  <c r="H20" i="51"/>
  <c r="V132" i="17"/>
  <c r="H8" i="51"/>
  <c r="V224" i="17"/>
  <c r="H12" i="51"/>
  <c r="V385" i="17"/>
  <c r="H19" i="51"/>
  <c r="G23" i="55"/>
  <c r="G16" i="17"/>
  <c r="G17" i="17" s="1"/>
  <c r="V13" i="17"/>
  <c r="V16" i="17" s="1"/>
  <c r="V17" i="17" s="1"/>
  <c r="V39" i="17"/>
  <c r="N4" i="51"/>
  <c r="G12" i="51"/>
  <c r="U224" i="17"/>
  <c r="B132" i="17"/>
  <c r="B133" i="17" s="1"/>
  <c r="V476" i="17"/>
  <c r="F20" i="66"/>
  <c r="C110" i="66"/>
  <c r="C21" i="66"/>
  <c r="F21" i="66" s="1"/>
  <c r="B117" i="66"/>
  <c r="C91" i="66"/>
  <c r="C7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B96" i="66" s="1"/>
  <c r="G42" i="66"/>
  <c r="G17" i="61"/>
  <c r="E19" i="61"/>
  <c r="G19" i="61" s="1"/>
  <c r="D99" i="61"/>
  <c r="T17" i="17"/>
  <c r="B17" i="17"/>
  <c r="N132" i="17"/>
  <c r="B316" i="17"/>
  <c r="B317" i="17" s="1"/>
  <c r="F28" i="4"/>
  <c r="B10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L24" i="5"/>
  <c r="K24" i="5"/>
  <c r="J24" i="5"/>
  <c r="J31" i="5"/>
  <c r="L31" i="5"/>
  <c r="K31" i="5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35" i="66"/>
  <c r="F51" i="66"/>
  <c r="B89" i="66"/>
  <c r="K132" i="17"/>
  <c r="B224" i="17"/>
  <c r="B225" i="17" s="1"/>
  <c r="H15" i="51"/>
  <c r="V293" i="17"/>
  <c r="U454" i="17"/>
  <c r="G22" i="51"/>
  <c r="L477" i="17"/>
  <c r="B119" i="66"/>
  <c r="C54" i="62"/>
  <c r="M46" i="19"/>
  <c r="M44" i="30"/>
  <c r="M44" i="31"/>
  <c r="L42" i="18"/>
  <c r="L48" i="51"/>
  <c r="L39" i="48"/>
  <c r="B9" i="52"/>
  <c r="I23" i="30"/>
  <c r="L23" i="31"/>
  <c r="J25" i="19"/>
  <c r="B21" i="18"/>
  <c r="C29" i="51"/>
  <c r="C2" i="59"/>
  <c r="C20" i="48"/>
  <c r="G15" i="54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G40" i="61"/>
  <c r="D117" i="61"/>
  <c r="E68" i="61"/>
  <c r="D95" i="61"/>
  <c r="E98" i="61"/>
  <c r="D98" i="62"/>
  <c r="D94" i="62"/>
  <c r="D19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G67" i="63"/>
  <c r="C123" i="66"/>
  <c r="C113" i="66"/>
  <c r="E92" i="66"/>
  <c r="D118" i="66"/>
  <c r="E93" i="66"/>
  <c r="D105" i="61"/>
  <c r="D28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108" i="62" s="1"/>
  <c r="D95" i="62"/>
  <c r="D99" i="62"/>
  <c r="D116" i="62"/>
  <c r="C119" i="62"/>
  <c r="B105" i="63"/>
  <c r="B28" i="63"/>
  <c r="C67" i="63"/>
  <c r="C68" i="63" s="1"/>
  <c r="C123" i="63"/>
  <c r="G80" i="63"/>
  <c r="B101" i="63"/>
  <c r="B87" i="63"/>
  <c r="E97" i="63"/>
  <c r="C94" i="64"/>
  <c r="C19" i="64"/>
  <c r="B102" i="64"/>
  <c r="B68" i="64"/>
  <c r="G86" i="64"/>
  <c r="F86" i="64"/>
  <c r="B30" i="16"/>
  <c r="C110" i="5"/>
  <c r="E113" i="1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D68" i="65" s="1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E108" i="5"/>
  <c r="G60" i="5"/>
  <c r="F48" i="61"/>
  <c r="C116" i="61"/>
  <c r="F41" i="62"/>
  <c r="G48" i="62"/>
  <c r="F15" i="63"/>
  <c r="F18" i="63"/>
  <c r="C27" i="63"/>
  <c r="F27" i="63" s="1"/>
  <c r="F40" i="63"/>
  <c r="C95" i="63"/>
  <c r="E68" i="63"/>
  <c r="E98" i="63"/>
  <c r="E84" i="63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F17" i="64" s="1"/>
  <c r="D97" i="64"/>
  <c r="C19" i="65"/>
  <c r="F17" i="65"/>
  <c r="C108" i="65"/>
  <c r="C94" i="65"/>
  <c r="G47" i="65"/>
  <c r="D50" i="65"/>
  <c r="F50" i="65" s="1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D16" i="16"/>
  <c r="E33" i="1"/>
  <c r="B114" i="1"/>
  <c r="B118" i="1" s="1"/>
  <c r="B69" i="1"/>
  <c r="F29" i="10"/>
  <c r="C28" i="10"/>
  <c r="F28" i="10" s="1"/>
  <c r="C118" i="64"/>
  <c r="F41" i="64"/>
  <c r="G58" i="64"/>
  <c r="F85" i="64"/>
  <c r="C84" i="64"/>
  <c r="C121" i="64"/>
  <c r="D129" i="64"/>
  <c r="F53" i="65"/>
  <c r="F63" i="65"/>
  <c r="C67" i="65"/>
  <c r="G81" i="65"/>
  <c r="D80" i="65"/>
  <c r="D77" i="65" s="1"/>
  <c r="B101" i="65"/>
  <c r="F9" i="5"/>
  <c r="B67" i="5"/>
  <c r="B109" i="5" s="1"/>
  <c r="E101" i="5"/>
  <c r="E117" i="6"/>
  <c r="G41" i="64"/>
  <c r="D68" i="64"/>
  <c r="E98" i="64"/>
  <c r="G83" i="64"/>
  <c r="F18" i="65"/>
  <c r="D23" i="65"/>
  <c r="G23" i="65" s="1"/>
  <c r="G22" i="65"/>
  <c r="F60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G60" i="65"/>
  <c r="E95" i="65"/>
  <c r="E77" i="65"/>
  <c r="E87" i="65" s="1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B126" i="64" s="1"/>
  <c r="C95" i="64"/>
  <c r="F73" i="64"/>
  <c r="D98" i="65"/>
  <c r="C20" i="5"/>
  <c r="F8" i="5"/>
  <c r="C13" i="15"/>
  <c r="F76" i="5"/>
  <c r="C105" i="5"/>
  <c r="B37" i="16" s="1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E109" i="5" s="1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38" i="6"/>
  <c r="E114" i="8"/>
  <c r="E69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L19" i="5"/>
  <c r="L27" i="5" s="1"/>
  <c r="E6" i="15"/>
  <c r="E30" i="15" s="1"/>
  <c r="B100" i="5"/>
  <c r="D105" i="5"/>
  <c r="C37" i="16" s="1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86" i="7"/>
  <c r="D117" i="7" s="1"/>
  <c r="F87" i="7"/>
  <c r="B38" i="8"/>
  <c r="B101" i="8"/>
  <c r="C110" i="8"/>
  <c r="E74" i="8"/>
  <c r="E116" i="8" s="1"/>
  <c r="B114" i="10"/>
  <c r="B120" i="10" s="1"/>
  <c r="B69" i="10"/>
  <c r="C119" i="65"/>
  <c r="B5" i="16"/>
  <c r="G3" i="16" s="1"/>
  <c r="D99" i="5"/>
  <c r="D5" i="15"/>
  <c r="C9" i="16"/>
  <c r="B8" i="16"/>
  <c r="C6" i="15"/>
  <c r="C30" i="15" s="1"/>
  <c r="C31" i="15"/>
  <c r="B21" i="16"/>
  <c r="E105" i="5"/>
  <c r="D37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H10" i="19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C23" i="16" s="1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B99" i="9" s="1"/>
  <c r="G89" i="10"/>
  <c r="D86" i="10"/>
  <c r="F86" i="10" s="1"/>
  <c r="E107" i="7"/>
  <c r="G31" i="8"/>
  <c r="F31" i="8"/>
  <c r="D107" i="8"/>
  <c r="B114" i="8"/>
  <c r="B120" i="8" s="1"/>
  <c r="B69" i="8"/>
  <c r="D86" i="8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F21" i="8"/>
  <c r="G35" i="8"/>
  <c r="G40" i="8"/>
  <c r="G62" i="8"/>
  <c r="D63" i="8"/>
  <c r="G63" i="8" s="1"/>
  <c r="C66" i="8"/>
  <c r="F65" i="8"/>
  <c r="F68" i="8"/>
  <c r="F73" i="8"/>
  <c r="E86" i="8"/>
  <c r="E117" i="8" s="1"/>
  <c r="G25" i="9"/>
  <c r="F59" i="9"/>
  <c r="E108" i="9"/>
  <c r="G78" i="9"/>
  <c r="D75" i="9"/>
  <c r="G81" i="9"/>
  <c r="D80" i="9"/>
  <c r="E101" i="10"/>
  <c r="E3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118" i="9" s="1"/>
  <c r="B69" i="9"/>
  <c r="F67" i="9"/>
  <c r="E111" i="9"/>
  <c r="B120" i="9"/>
  <c r="E106" i="10"/>
  <c r="E113" i="10"/>
  <c r="E74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C33" i="46" s="1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G12" i="30"/>
  <c r="I12" i="30" s="1"/>
  <c r="F21" i="13"/>
  <c r="F28" i="13"/>
  <c r="C112" i="13"/>
  <c r="G37" i="13"/>
  <c r="G40" i="13"/>
  <c r="C75" i="13"/>
  <c r="G78" i="13"/>
  <c r="D75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G87" i="13"/>
  <c r="D86" i="13"/>
  <c r="E27" i="14"/>
  <c r="G35" i="14"/>
  <c r="D109" i="14"/>
  <c r="G48" i="14"/>
  <c r="F60" i="14"/>
  <c r="C109" i="14"/>
  <c r="D75" i="12"/>
  <c r="F75" i="12" s="1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C61" i="50" l="1"/>
  <c r="F64" i="50" s="1"/>
  <c r="C3" i="59"/>
  <c r="P36" i="48"/>
  <c r="P37" i="48"/>
  <c r="J22" i="4"/>
  <c r="Q40" i="30"/>
  <c r="P48" i="51"/>
  <c r="Q42" i="19"/>
  <c r="P45" i="51"/>
  <c r="P39" i="18"/>
  <c r="J2" i="30"/>
  <c r="Q40" i="31"/>
  <c r="N34" i="4"/>
  <c r="M38" i="18" s="1"/>
  <c r="D1" i="18"/>
  <c r="D2" i="18" s="1"/>
  <c r="Q42" i="30"/>
  <c r="Q41" i="31"/>
  <c r="P46" i="51"/>
  <c r="N37" i="4"/>
  <c r="N43" i="30" s="1"/>
  <c r="P47" i="51"/>
  <c r="P39" i="48"/>
  <c r="P38" i="18"/>
  <c r="Q44" i="19"/>
  <c r="Q41" i="30"/>
  <c r="O41" i="30" s="1"/>
  <c r="Q46" i="19"/>
  <c r="Q42" i="31"/>
  <c r="N35" i="4"/>
  <c r="N43" i="19" s="1"/>
  <c r="P44" i="51"/>
  <c r="P35" i="48"/>
  <c r="H1" i="48"/>
  <c r="N37" i="48" s="1"/>
  <c r="P40" i="18"/>
  <c r="K2" i="19"/>
  <c r="Q43" i="19"/>
  <c r="K1" i="19"/>
  <c r="K25" i="19" s="1"/>
  <c r="M2" i="31"/>
  <c r="O41" i="31" s="1"/>
  <c r="Q44" i="31"/>
  <c r="E96" i="64"/>
  <c r="E87" i="64"/>
  <c r="E101" i="64"/>
  <c r="E100" i="64"/>
  <c r="B126" i="63"/>
  <c r="U16" i="17"/>
  <c r="U17" i="17" s="1"/>
  <c r="G81" i="5"/>
  <c r="F81" i="5"/>
  <c r="D9" i="43"/>
  <c r="F46" i="5"/>
  <c r="E50" i="44"/>
  <c r="G33" i="5"/>
  <c r="C42" i="44"/>
  <c r="G19" i="5"/>
  <c r="F19" i="5"/>
  <c r="D12" i="15"/>
  <c r="G73" i="5"/>
  <c r="F60" i="66"/>
  <c r="E21" i="43"/>
  <c r="C55" i="43"/>
  <c r="G77" i="66"/>
  <c r="E5" i="43"/>
  <c r="F57" i="66"/>
  <c r="G79" i="66"/>
  <c r="D78" i="66"/>
  <c r="D84" i="43"/>
  <c r="C61" i="66"/>
  <c r="B120" i="66"/>
  <c r="B121" i="66" s="1"/>
  <c r="G16" i="66"/>
  <c r="D17" i="66"/>
  <c r="D99" i="66" s="1"/>
  <c r="D15" i="44"/>
  <c r="E69" i="65"/>
  <c r="E88" i="65" s="1"/>
  <c r="F28" i="7"/>
  <c r="F63" i="9"/>
  <c r="B23" i="16"/>
  <c r="B88" i="61"/>
  <c r="E102" i="63"/>
  <c r="D18" i="17"/>
  <c r="E119" i="12"/>
  <c r="I14" i="30"/>
  <c r="D110" i="5"/>
  <c r="D95" i="65"/>
  <c r="E90" i="61"/>
  <c r="E90" i="62"/>
  <c r="B18" i="17"/>
  <c r="B84" i="66"/>
  <c r="E91" i="12"/>
  <c r="E96" i="12" s="1"/>
  <c r="E98" i="12" s="1"/>
  <c r="D21" i="16"/>
  <c r="D23" i="16" s="1"/>
  <c r="D26" i="16" s="1"/>
  <c r="C30" i="43"/>
  <c r="F79" i="66"/>
  <c r="N105" i="3"/>
  <c r="G19" i="66"/>
  <c r="E21" i="66"/>
  <c r="G21" i="66" s="1"/>
  <c r="G33" i="66"/>
  <c r="D49" i="44"/>
  <c r="B99" i="12"/>
  <c r="G63" i="46"/>
  <c r="D98" i="64"/>
  <c r="D125" i="63"/>
  <c r="E98" i="62"/>
  <c r="D26" i="52"/>
  <c r="F26" i="52" s="1"/>
  <c r="F45" i="52" s="1"/>
  <c r="B51" i="52" s="1"/>
  <c r="C18" i="17"/>
  <c r="F63" i="13"/>
  <c r="F80" i="10"/>
  <c r="B118" i="10"/>
  <c r="D99" i="65"/>
  <c r="C108" i="64"/>
  <c r="C66" i="13"/>
  <c r="E111" i="13"/>
  <c r="D112" i="13"/>
  <c r="G86" i="9"/>
  <c r="E91" i="10"/>
  <c r="E96" i="10" s="1"/>
  <c r="E98" i="10" s="1"/>
  <c r="G86" i="8"/>
  <c r="C101" i="5"/>
  <c r="D66" i="7"/>
  <c r="D114" i="7" s="1"/>
  <c r="E79" i="5"/>
  <c r="D30" i="16" s="1"/>
  <c r="D112" i="7"/>
  <c r="C99" i="65"/>
  <c r="C100" i="5"/>
  <c r="D123" i="65"/>
  <c r="G17" i="62"/>
  <c r="G50" i="61"/>
  <c r="G23" i="54"/>
  <c r="B11" i="52"/>
  <c r="B56" i="52" s="1"/>
  <c r="C14" i="59"/>
  <c r="C43" i="59" s="1"/>
  <c r="C21" i="48"/>
  <c r="B22" i="18"/>
  <c r="I24" i="30"/>
  <c r="N38" i="4"/>
  <c r="N46" i="19" s="1"/>
  <c r="N36" i="4"/>
  <c r="N44" i="19" s="1"/>
  <c r="H1" i="51"/>
  <c r="C36" i="51" s="1"/>
  <c r="P38" i="48"/>
  <c r="P41" i="18"/>
  <c r="P42" i="18"/>
  <c r="Q43" i="30"/>
  <c r="Q45" i="19"/>
  <c r="Q44" i="30"/>
  <c r="M1" i="31"/>
  <c r="M23" i="31" s="1"/>
  <c r="F71" i="5"/>
  <c r="E64" i="43"/>
  <c r="G21" i="5"/>
  <c r="G63" i="6"/>
  <c r="C65" i="43"/>
  <c r="G73" i="66"/>
  <c r="E19" i="65"/>
  <c r="E94" i="65"/>
  <c r="F58" i="66"/>
  <c r="E2" i="43"/>
  <c r="F16" i="66"/>
  <c r="E74" i="66"/>
  <c r="E91" i="66" s="1"/>
  <c r="C89" i="43"/>
  <c r="F30" i="66"/>
  <c r="C4" i="59"/>
  <c r="B4" i="52"/>
  <c r="C64" i="50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111" i="5" s="1"/>
  <c r="B62" i="5"/>
  <c r="E120" i="13"/>
  <c r="G87" i="64"/>
  <c r="B58" i="52"/>
  <c r="B64" i="52"/>
  <c r="B50" i="52"/>
  <c r="D90" i="61"/>
  <c r="G68" i="61"/>
  <c r="G44" i="66"/>
  <c r="D48" i="66"/>
  <c r="D96" i="66" s="1"/>
  <c r="E33" i="14"/>
  <c r="E111" i="14"/>
  <c r="H13" i="31"/>
  <c r="D101" i="14"/>
  <c r="G33" i="14"/>
  <c r="D38" i="14"/>
  <c r="C118" i="46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F66" i="8" s="1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C74" i="6"/>
  <c r="C113" i="6"/>
  <c r="F75" i="6"/>
  <c r="H5" i="19"/>
  <c r="J5" i="19" s="1"/>
  <c r="J5" i="31"/>
  <c r="F27" i="6"/>
  <c r="C33" i="6"/>
  <c r="C69" i="62"/>
  <c r="E89" i="66"/>
  <c r="G57" i="66"/>
  <c r="C5" i="43"/>
  <c r="I10" i="51"/>
  <c r="G179" i="17"/>
  <c r="F80" i="13"/>
  <c r="C111" i="13"/>
  <c r="M19" i="31"/>
  <c r="L19" i="31"/>
  <c r="L21" i="31" s="1"/>
  <c r="L22" i="31" s="1"/>
  <c r="D113" i="12"/>
  <c r="G75" i="12"/>
  <c r="D74" i="12"/>
  <c r="F74" i="12" s="1"/>
  <c r="G86" i="13"/>
  <c r="D117" i="13"/>
  <c r="K12" i="31"/>
  <c r="I12" i="19"/>
  <c r="D33" i="13"/>
  <c r="G27" i="13"/>
  <c r="G66" i="12"/>
  <c r="D114" i="12"/>
  <c r="D120" i="12" s="1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C102" i="64" s="1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G54" i="66"/>
  <c r="D62" i="66"/>
  <c r="E99" i="66"/>
  <c r="E22" i="66"/>
  <c r="I8" i="51"/>
  <c r="G133" i="17"/>
  <c r="N21" i="51"/>
  <c r="G23" i="61"/>
  <c r="B63" i="66"/>
  <c r="B82" i="66" s="1"/>
  <c r="I14" i="51"/>
  <c r="G271" i="17"/>
  <c r="L24" i="5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B105" i="7"/>
  <c r="B56" i="7"/>
  <c r="B43" i="7"/>
  <c r="B49" i="7" s="1"/>
  <c r="G13" i="66"/>
  <c r="D22" i="66"/>
  <c r="F68" i="63"/>
  <c r="K11" i="31"/>
  <c r="I11" i="19"/>
  <c r="G27" i="12"/>
  <c r="D33" i="12"/>
  <c r="G10" i="31"/>
  <c r="C38" i="46"/>
  <c r="C101" i="46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C69" i="13"/>
  <c r="F66" i="13"/>
  <c r="C114" i="13"/>
  <c r="D114" i="46"/>
  <c r="D118" i="46" s="1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F66" i="46"/>
  <c r="C114" i="46"/>
  <c r="C120" i="46" s="1"/>
  <c r="C69" i="46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38" i="1"/>
  <c r="E101" i="1"/>
  <c r="F27" i="65"/>
  <c r="B125" i="63"/>
  <c r="B127" i="63" s="1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F54" i="62" s="1"/>
  <c r="G50" i="62"/>
  <c r="G47" i="66"/>
  <c r="D93" i="43"/>
  <c r="F47" i="66"/>
  <c r="C90" i="62"/>
  <c r="F68" i="62"/>
  <c r="D90" i="62"/>
  <c r="G68" i="62"/>
  <c r="G84" i="61"/>
  <c r="C117" i="66"/>
  <c r="D91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I29" i="30" s="1"/>
  <c r="L25" i="31"/>
  <c r="B23" i="18"/>
  <c r="C31" i="51"/>
  <c r="C33" i="51" s="1"/>
  <c r="C22" i="48"/>
  <c r="B94" i="66"/>
  <c r="B90" i="66"/>
  <c r="B95" i="66"/>
  <c r="E28" i="61"/>
  <c r="E105" i="61"/>
  <c r="G455" i="17"/>
  <c r="I22" i="51"/>
  <c r="C95" i="66"/>
  <c r="C90" i="66"/>
  <c r="C94" i="66"/>
  <c r="H23" i="51"/>
  <c r="V477" i="17"/>
  <c r="C27" i="48"/>
  <c r="I31" i="30"/>
  <c r="E94" i="5"/>
  <c r="I4" i="16" s="1"/>
  <c r="E3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M44" i="51"/>
  <c r="C114" i="10"/>
  <c r="C118" i="10" s="1"/>
  <c r="F66" i="10"/>
  <c r="C69" i="10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C81" i="66"/>
  <c r="J23" i="30"/>
  <c r="F50" i="62"/>
  <c r="G41" i="66"/>
  <c r="I6" i="51"/>
  <c r="G87" i="17"/>
  <c r="N46" i="51" l="1"/>
  <c r="N40" i="30"/>
  <c r="M45" i="51"/>
  <c r="N42" i="19"/>
  <c r="P42" i="19" s="1"/>
  <c r="N38" i="48"/>
  <c r="N36" i="48"/>
  <c r="N41" i="18"/>
  <c r="M41" i="18"/>
  <c r="O41" i="18" s="1"/>
  <c r="M35" i="48"/>
  <c r="N40" i="31"/>
  <c r="N41" i="31"/>
  <c r="P41" i="31" s="1"/>
  <c r="O44" i="31"/>
  <c r="M38" i="48"/>
  <c r="O38" i="48" s="1"/>
  <c r="M36" i="48"/>
  <c r="O36" i="48" s="1"/>
  <c r="N45" i="19"/>
  <c r="O43" i="31"/>
  <c r="O42" i="19"/>
  <c r="N47" i="51"/>
  <c r="N48" i="51"/>
  <c r="O43" i="30"/>
  <c r="P43" i="30" s="1"/>
  <c r="O44" i="30"/>
  <c r="N39" i="18"/>
  <c r="O40" i="30"/>
  <c r="P40" i="30" s="1"/>
  <c r="N43" i="31"/>
  <c r="D21" i="18"/>
  <c r="M39" i="18"/>
  <c r="N44" i="31"/>
  <c r="N41" i="30"/>
  <c r="P41" i="30" s="1"/>
  <c r="O42" i="31"/>
  <c r="N35" i="48"/>
  <c r="O35" i="48" s="1"/>
  <c r="O46" i="19"/>
  <c r="P46" i="19" s="1"/>
  <c r="N39" i="48"/>
  <c r="O42" i="30"/>
  <c r="M39" i="48"/>
  <c r="O43" i="19"/>
  <c r="P43" i="19" s="1"/>
  <c r="M48" i="51"/>
  <c r="O44" i="19"/>
  <c r="P44" i="19" s="1"/>
  <c r="M47" i="51"/>
  <c r="O40" i="31"/>
  <c r="P40" i="31" s="1"/>
  <c r="N40" i="18"/>
  <c r="N44" i="30"/>
  <c r="P44" i="30" s="1"/>
  <c r="N42" i="18"/>
  <c r="N38" i="18"/>
  <c r="O38" i="18" s="1"/>
  <c r="P43" i="31"/>
  <c r="M42" i="18"/>
  <c r="O45" i="19"/>
  <c r="M40" i="18"/>
  <c r="O47" i="51"/>
  <c r="L30" i="31"/>
  <c r="M30" i="31" s="1"/>
  <c r="L31" i="31"/>
  <c r="D120" i="7"/>
  <c r="D118" i="7"/>
  <c r="G69" i="6"/>
  <c r="L28" i="31"/>
  <c r="M28" i="31" s="1"/>
  <c r="F69" i="46"/>
  <c r="E71" i="66"/>
  <c r="D69" i="7"/>
  <c r="G69" i="7" s="1"/>
  <c r="G69" i="12"/>
  <c r="M46" i="51"/>
  <c r="N42" i="30"/>
  <c r="P42" i="30" s="1"/>
  <c r="N44" i="51"/>
  <c r="O44" i="51" s="1"/>
  <c r="N45" i="51"/>
  <c r="O45" i="51" s="1"/>
  <c r="F69" i="10"/>
  <c r="C25" i="48"/>
  <c r="G74" i="66"/>
  <c r="F66" i="7"/>
  <c r="G66" i="7"/>
  <c r="M37" i="48"/>
  <c r="O37" i="48" s="1"/>
  <c r="N42" i="31"/>
  <c r="C120" i="8"/>
  <c r="C120" i="66"/>
  <c r="F61" i="66"/>
  <c r="E118" i="9"/>
  <c r="G17" i="66"/>
  <c r="D93" i="66"/>
  <c r="D89" i="66"/>
  <c r="N39" i="4"/>
  <c r="J40" i="4" s="1"/>
  <c r="F17" i="66"/>
  <c r="E28" i="65"/>
  <c r="E105" i="65"/>
  <c r="D117" i="66"/>
  <c r="C15" i="59"/>
  <c r="B15" i="52"/>
  <c r="F78" i="66"/>
  <c r="C119" i="66"/>
  <c r="C121" i="66" s="1"/>
  <c r="G78" i="66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B122" i="46"/>
  <c r="B121" i="46"/>
  <c r="C101" i="13"/>
  <c r="F33" i="13"/>
  <c r="C38" i="13"/>
  <c r="G12" i="3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D119" i="9" s="1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B112" i="5"/>
  <c r="B113" i="5"/>
  <c r="E118" i="10"/>
  <c r="E101" i="14"/>
  <c r="E38" i="14"/>
  <c r="G87" i="65"/>
  <c r="D88" i="65"/>
  <c r="P44" i="31" l="1"/>
  <c r="P45" i="19"/>
  <c r="N47" i="19"/>
  <c r="J36" i="19" s="1"/>
  <c r="K36" i="19" s="1"/>
  <c r="M49" i="51"/>
  <c r="C37" i="51" s="1"/>
  <c r="M40" i="48"/>
  <c r="O42" i="18"/>
  <c r="O48" i="51"/>
  <c r="M43" i="18"/>
  <c r="B32" i="18" s="1"/>
  <c r="D32" i="18" s="1"/>
  <c r="O46" i="51"/>
  <c r="O40" i="18"/>
  <c r="O39" i="48"/>
  <c r="O40" i="48" s="1"/>
  <c r="C31" i="48" s="1"/>
  <c r="C32" i="48" s="1"/>
  <c r="N45" i="30"/>
  <c r="I32" i="30" s="1"/>
  <c r="J32" i="30" s="1"/>
  <c r="O39" i="18"/>
  <c r="P42" i="31"/>
  <c r="P45" i="31" s="1"/>
  <c r="N45" i="31"/>
  <c r="L33" i="31" s="1"/>
  <c r="E93" i="65"/>
  <c r="E92" i="65"/>
  <c r="E30" i="65"/>
  <c r="E103" i="65"/>
  <c r="E104" i="65"/>
  <c r="F69" i="8"/>
  <c r="E102" i="12"/>
  <c r="E51" i="12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C38" i="51" l="1"/>
  <c r="J35" i="19"/>
  <c r="K35" i="19" s="1"/>
  <c r="C39" i="51"/>
  <c r="O43" i="18"/>
  <c r="C35" i="18" s="1"/>
  <c r="B30" i="18"/>
  <c r="D30" i="18" s="1"/>
  <c r="I34" i="30"/>
  <c r="J34" i="30" s="1"/>
  <c r="I33" i="30"/>
  <c r="L34" i="31"/>
  <c r="M34" i="31" s="1"/>
  <c r="O49" i="51"/>
  <c r="C40" i="51" s="1"/>
  <c r="C41" i="51" s="1"/>
  <c r="B31" i="18"/>
  <c r="D31" i="18" s="1"/>
  <c r="L32" i="31"/>
  <c r="M32" i="31" s="1"/>
  <c r="M37" i="31"/>
  <c r="L37" i="31" s="1"/>
  <c r="L35" i="31"/>
  <c r="L36" i="31" s="1"/>
  <c r="M36" i="31" s="1"/>
  <c r="E32" i="65"/>
  <c r="E35" i="65" s="1"/>
  <c r="E37" i="65" s="1"/>
  <c r="E91" i="65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F32" i="64" s="1"/>
  <c r="E106" i="65" l="1"/>
  <c r="E110" i="65"/>
  <c r="E38" i="65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E107" i="65" l="1"/>
  <c r="E43" i="6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10" l="1"/>
  <c r="F54" i="12"/>
  <c r="F54" i="46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F43" i="62" l="1"/>
  <c r="J32" i="19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B26" i="18"/>
  <c r="D26" i="18" s="1"/>
  <c r="F43" i="65"/>
  <c r="C44" i="59"/>
  <c r="C45" i="59" s="1"/>
  <c r="C51" i="59" s="1"/>
  <c r="C52" i="59" s="1"/>
  <c r="C54" i="59"/>
  <c r="C58" i="59" s="1"/>
  <c r="D43" i="64"/>
  <c r="G43" i="64" s="1"/>
  <c r="D107" i="64"/>
  <c r="C37" i="66"/>
  <c r="F37" i="66" s="1"/>
  <c r="C101" i="66"/>
  <c r="D27" i="18" l="1"/>
  <c r="B35" i="18"/>
  <c r="F43" i="64"/>
  <c r="K31" i="19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<sst xmlns="http://schemas.openxmlformats.org/spreadsheetml/2006/main" count="13479" uniqueCount="2050">
  <si>
    <t>Segment (select from dropdown):</t>
  </si>
  <si>
    <t>Affordable</t>
  </si>
  <si>
    <t>Customer Type (select from dropdown):</t>
  </si>
  <si>
    <t>Self-employed Non-Professional (SENP)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</si>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</sst>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32" fillId="32" borderId="1" xfId="0" applyFont="1" applyFill="1" applyBorder="1" applyAlignment="1">
      <alignment horizontal="center" vertical="center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43" fontId="1" fillId="0" borderId="1" xfId="1" applyNumberFormat="1" applyFont="1" applyBorder="1" applyAlignment="1" applyProtection="1">
      <alignment horizontal="lef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10" fontId="1" fillId="0" borderId="1" xfId="2" applyNumberFormat="1" applyFont="1" applyBorder="1" applyAlignment="1" applyProtection="1">
      <alignment horizontal="right" vertical="center" indent="1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0" fontId="32" fillId="3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45" borderId="9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right" vertical="center" inden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vertical="top" wrapText="1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  <xf numFmtId="2" fontId="1" fillId="5" borderId="1" xfId="0" applyNumberFormat="1" applyFont="1" applyFill="1" applyBorder="1" applyAlignment="1" applyProtection="1">
      <alignment horizontal="center" vertical="top" wrapText="1"/>
      <protection locked="0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topLeftCell="A7" workbookViewId="0">
      <selection activeCell="I25" sqref="I25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53" t="s">
        <v>2</v>
      </c>
      <c r="F1" s="354"/>
      <c r="G1" s="355"/>
      <c r="H1" s="356" t="s">
        <v>3</v>
      </c>
      <c r="I1" s="357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49" t="s">
        <v>4</v>
      </c>
      <c r="B4" s="349"/>
      <c r="C4" s="349"/>
      <c r="D4" s="349"/>
      <c r="E4" s="349"/>
      <c r="F4" s="349"/>
      <c r="G4" s="349"/>
      <c r="H4" s="349"/>
      <c r="I4" s="349"/>
      <c r="J4" s="349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8" t="s">
        <v>5</v>
      </c>
      <c r="B5" s="358" t="s">
        <v>6</v>
      </c>
      <c r="C5" s="358" t="s">
        <v>7</v>
      </c>
      <c r="D5" s="358" t="s">
        <v>8</v>
      </c>
      <c r="E5" s="358" t="s">
        <v>9</v>
      </c>
      <c r="F5" s="358"/>
      <c r="G5" s="358" t="s">
        <v>10</v>
      </c>
      <c r="H5" s="358" t="s">
        <v>11</v>
      </c>
      <c r="I5" s="358" t="s">
        <v>12</v>
      </c>
      <c r="J5" s="358" t="s">
        <v>13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8"/>
      <c r="B6" s="358"/>
      <c r="C6" s="358"/>
      <c r="D6" s="358"/>
      <c r="E6" s="2" t="s">
        <v>14</v>
      </c>
      <c r="F6" s="2" t="s">
        <v>15</v>
      </c>
      <c r="G6" s="358"/>
      <c r="H6" s="358"/>
      <c r="I6" s="358"/>
      <c r="J6" s="35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16</v>
      </c>
      <c r="C7" s="183" t="s">
        <v>17</v>
      </c>
      <c r="D7" s="324" t="s">
        <v>18</v>
      </c>
      <c r="E7" s="325">
        <f>2024-1975</f>
        <v>49</v>
      </c>
      <c r="F7" s="325">
        <f t="shared" ref="F7:F8" si="0">E7+20</f>
        <v>69</v>
      </c>
      <c r="G7" s="324" t="s">
        <v>19</v>
      </c>
      <c r="H7" s="325">
        <v>781</v>
      </c>
      <c r="I7" s="325" t="s">
        <v>20</v>
      </c>
      <c r="J7" s="325" t="s">
        <v>20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21</v>
      </c>
      <c r="C8" s="183" t="s">
        <v>17</v>
      </c>
      <c r="D8" s="324" t="s">
        <v>22</v>
      </c>
      <c r="E8" s="325">
        <f>2024-1982</f>
        <v>42</v>
      </c>
      <c r="F8" s="325">
        <f t="shared" si="0"/>
        <v>62</v>
      </c>
      <c r="G8" s="324" t="s">
        <v>23</v>
      </c>
      <c r="H8" s="325">
        <v>-1</v>
      </c>
      <c r="I8" s="325" t="s">
        <v>24</v>
      </c>
      <c r="J8" s="325" t="s">
        <v>24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49" t="s">
        <v>25</v>
      </c>
      <c r="B19" s="349"/>
      <c r="C19" s="349"/>
      <c r="D19" s="349"/>
      <c r="E19" s="349"/>
      <c r="F19" s="349"/>
      <c r="G19" s="349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66"/>
      <c r="B20" s="366"/>
      <c r="C20" s="366"/>
      <c r="D20" s="366"/>
      <c r="E20" s="366"/>
      <c r="F20" s="366"/>
      <c r="G20" s="366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32</v>
      </c>
      <c r="C22" s="194" t="s">
        <v>33</v>
      </c>
      <c r="D22" s="326">
        <v>3000000</v>
      </c>
      <c r="E22" s="327">
        <v>240</v>
      </c>
      <c r="F22" s="565">
        <v>12</v>
      </c>
      <c r="G22" s="12">
        <f>IFERROR(CEILING(PMT(F22/12,E22,-D22),1),0)</f>
        <v>3000000</v>
      </c>
      <c r="H22" s="329" t="s">
        <v>34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35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36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37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38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39</v>
      </c>
      <c r="B27" s="347"/>
      <c r="C27" s="348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12</v>
      </c>
      <c r="G27" s="331">
        <f>SUM(G22:G26)</f>
        <v>3000000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40</v>
      </c>
      <c r="D28" s="334">
        <f>D27-SUMIF(B22:B26,Validation!A37,D22:D26)-SUMIF(B22:B26,Validation!A38,D22:D26)</f>
        <v>3000000</v>
      </c>
      <c r="F28" s="335">
        <f>G27/D27</f>
        <v>1</v>
      </c>
      <c r="G28" s="334">
        <f>G27-SUMIF(B22:B26,Validation!A37,G22:G26)-SUMIF(B22:B26,Validation!A38,G22:G26)</f>
        <v>3000000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49" t="s">
        <v>41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44"/>
      <c r="P31" s="44"/>
      <c r="Q31" s="44"/>
      <c r="R31" s="44"/>
      <c r="S31" s="44"/>
      <c r="T31" s="44"/>
      <c r="U31" s="44"/>
    </row>
    <row r="32" spans="1:21">
      <c r="A32" s="350"/>
      <c r="B32" s="350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44"/>
      <c r="P32" s="44"/>
      <c r="Q32" s="44"/>
      <c r="R32" s="44"/>
      <c r="S32" s="44"/>
      <c r="T32" s="44"/>
      <c r="U32" s="44"/>
    </row>
    <row r="33" spans="1:21" ht="63.75">
      <c r="A33" s="2" t="s">
        <v>5</v>
      </c>
      <c r="B33" s="336" t="s">
        <v>42</v>
      </c>
      <c r="C33" s="2" t="s">
        <v>43</v>
      </c>
      <c r="D33" s="336" t="s">
        <v>44</v>
      </c>
      <c r="E33" s="336" t="s">
        <v>45</v>
      </c>
      <c r="F33" s="2" t="s">
        <v>46</v>
      </c>
      <c r="G33" s="336" t="s">
        <v>47</v>
      </c>
      <c r="H33" s="2" t="s">
        <v>48</v>
      </c>
      <c r="I33" s="2" t="s">
        <v>49</v>
      </c>
      <c r="J33" s="2" t="s">
        <v>50</v>
      </c>
      <c r="K33" s="2" t="s">
        <v>51</v>
      </c>
      <c r="L33" s="336" t="s">
        <v>52</v>
      </c>
      <c r="M33" s="2" t="s">
        <v>53</v>
      </c>
      <c r="N33" s="2" t="s">
        <v>54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1" t="str">
        <f>IF(OR(I34="",J34=""),"",IF(M34&gt;15%,"3rd Valuation to be fired if Lowest Valuation not sufficient for Eligibility",""))</f>
        <v/>
      </c>
      <c r="P34" s="352"/>
      <c r="Q34" s="352"/>
      <c r="R34" s="352"/>
      <c r="S34" s="352"/>
      <c r="T34" s="352"/>
      <c r="U34" s="352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1" t="str">
        <f t="shared" ref="O35:O38" si="4">IF(OR(I35="",J35=""),"",IF(M35&gt;15%,"3rd Valuation to be fired if Lowest Valuation not sufficient for Eligibility",""))</f>
        <v/>
      </c>
      <c r="P35" s="352"/>
      <c r="Q35" s="352"/>
      <c r="R35" s="352"/>
      <c r="S35" s="352"/>
      <c r="T35" s="352"/>
      <c r="U35" s="352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1" t="str">
        <f t="shared" si="4"/>
        <v/>
      </c>
      <c r="P36" s="352"/>
      <c r="Q36" s="352"/>
      <c r="R36" s="352"/>
      <c r="S36" s="352"/>
      <c r="T36" s="352"/>
      <c r="U36" s="352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1" t="str">
        <f t="shared" si="4"/>
        <v/>
      </c>
      <c r="P37" s="352"/>
      <c r="Q37" s="352"/>
      <c r="R37" s="352"/>
      <c r="S37" s="352"/>
      <c r="T37" s="352"/>
      <c r="U37" s="352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1" t="str">
        <f t="shared" si="4"/>
        <v/>
      </c>
      <c r="P38" s="352"/>
      <c r="Q38" s="352"/>
      <c r="R38" s="352"/>
      <c r="S38" s="352"/>
      <c r="T38" s="352"/>
      <c r="U38" s="352"/>
    </row>
    <row r="39" spans="1:21">
      <c r="A39" s="359" t="s">
        <v>39</v>
      </c>
      <c r="B39" s="360"/>
      <c r="C39" s="360"/>
      <c r="D39" s="360"/>
      <c r="E39" s="360"/>
      <c r="F39" s="361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55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64" t="s">
        <v>56</v>
      </c>
      <c r="B43" s="364"/>
      <c r="C43" s="364"/>
      <c r="D43" s="364"/>
      <c r="E43" s="36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65" t="s">
        <v>57</v>
      </c>
      <c r="E44" s="36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8" t="s">
        <v>58</v>
      </c>
      <c r="B45" s="358"/>
      <c r="C45" s="358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62" t="s">
        <v>59</v>
      </c>
      <c r="B46" s="362"/>
      <c r="C46" s="362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62" t="s">
        <v>60</v>
      </c>
      <c r="B47" s="362"/>
      <c r="C47" s="362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62" t="s">
        <v>61</v>
      </c>
      <c r="B48" s="362"/>
      <c r="C48" s="362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62" t="s">
        <v>62</v>
      </c>
      <c r="B49" s="362"/>
      <c r="C49" s="362"/>
      <c r="D49" s="326"/>
      <c r="E49" s="367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63" t="s">
        <v>63</v>
      </c>
      <c r="B50" s="362"/>
      <c r="C50" s="362"/>
      <c r="D50" s="326"/>
      <c r="E50" s="368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62" t="s">
        <v>64</v>
      </c>
      <c r="B51" s="362"/>
      <c r="C51" s="362"/>
      <c r="D51" s="326"/>
      <c r="E51" s="368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62" t="s">
        <v>65</v>
      </c>
      <c r="B52" s="362"/>
      <c r="C52" s="362"/>
      <c r="D52" s="326"/>
      <c r="E52" s="368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62" t="s">
        <v>66</v>
      </c>
      <c r="B53" s="362"/>
      <c r="C53" s="362"/>
      <c r="D53" s="326"/>
      <c r="E53" s="368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62" t="s">
        <v>67</v>
      </c>
      <c r="B54" s="362"/>
      <c r="C54" s="362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E49:E53"/>
    <mergeCell ref="G5:G6"/>
    <mergeCell ref="H5:H6"/>
    <mergeCell ref="I5:I6"/>
    <mergeCell ref="J5:J6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O35:U35"/>
    <mergeCell ref="O36:U36"/>
    <mergeCell ref="O37:U37"/>
    <mergeCell ref="O38:U38"/>
    <mergeCell ref="A39:F39"/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69" t="s">
        <v>68</v>
      </c>
      <c r="B1" s="369"/>
      <c r="C1" s="369"/>
      <c r="D1" s="369"/>
      <c r="E1" s="369"/>
      <c r="F1" s="369"/>
    </row>
    <row r="2" spans="1:6" s="295" customFormat="1">
      <c r="A2" s="299" t="s">
        <v>69</v>
      </c>
      <c r="B2" s="370">
        <f>BasicInput!$D$27</f>
        <v>3000000</v>
      </c>
      <c r="C2" s="370"/>
      <c r="D2" s="370"/>
      <c r="E2" s="370"/>
      <c r="F2" s="370"/>
    </row>
    <row r="3" spans="1:6" s="295" customFormat="1">
      <c r="A3" s="299" t="s">
        <v>70</v>
      </c>
      <c r="B3" s="371">
        <f>BasicInput!$F$27</f>
        <v>12</v>
      </c>
      <c r="C3" s="371"/>
      <c r="D3" s="372"/>
      <c r="E3" s="372"/>
      <c r="F3" s="372"/>
    </row>
    <row r="4" spans="1:6" s="295" customFormat="1">
      <c r="A4" s="299" t="s">
        <v>71</v>
      </c>
      <c r="B4" s="373">
        <f>BasicInput!$E$27</f>
        <v>240</v>
      </c>
      <c r="C4" s="372"/>
      <c r="D4" s="372"/>
      <c r="E4" s="372"/>
      <c r="F4" s="372"/>
    </row>
    <row r="5" spans="1:6" s="295" customFormat="1">
      <c r="A5" s="299" t="s">
        <v>72</v>
      </c>
      <c r="B5" s="373">
        <f>BasicInput!$G$27</f>
        <v>3000000</v>
      </c>
      <c r="C5" s="373"/>
      <c r="D5" s="373"/>
      <c r="E5" s="373"/>
      <c r="F5" s="373"/>
    </row>
    <row r="6" spans="1:6" s="295" customFormat="1">
      <c r="A6" s="128"/>
      <c r="B6" s="374"/>
      <c r="C6" s="375"/>
      <c r="D6" s="375"/>
      <c r="E6" s="375"/>
      <c r="F6" s="376"/>
    </row>
    <row r="7" spans="1:6" s="295" customFormat="1">
      <c r="A7" s="299" t="s">
        <v>73</v>
      </c>
      <c r="B7" s="377" t="s">
        <v>32</v>
      </c>
      <c r="C7" s="377"/>
      <c r="D7" s="377"/>
      <c r="E7" s="377"/>
      <c r="F7" s="377"/>
    </row>
    <row r="8" spans="1:6" s="295" customFormat="1">
      <c r="A8" s="300" t="s">
        <v>74</v>
      </c>
      <c r="B8" s="378" t="s">
        <v>75</v>
      </c>
      <c r="C8" s="378"/>
      <c r="D8" s="378"/>
      <c r="E8" s="378"/>
      <c r="F8" s="378"/>
    </row>
    <row r="9" spans="1:6" s="295" customFormat="1">
      <c r="A9" s="128" t="s">
        <v>76</v>
      </c>
      <c r="B9" s="370">
        <f>BasicInput!$I$39</f>
        <v>0</v>
      </c>
      <c r="C9" s="370"/>
      <c r="D9" s="370"/>
      <c r="E9" s="370"/>
      <c r="F9" s="370"/>
    </row>
    <row r="10" spans="1:6" s="295" customFormat="1">
      <c r="A10" s="128" t="s">
        <v>77</v>
      </c>
      <c r="B10" s="370">
        <f>BasicInput!$J$39</f>
        <v>0</v>
      </c>
      <c r="C10" s="370"/>
      <c r="D10" s="370"/>
      <c r="E10" s="370"/>
      <c r="F10" s="370"/>
    </row>
    <row r="11" spans="1:6" s="295" customFormat="1">
      <c r="A11" s="130" t="s">
        <v>78</v>
      </c>
      <c r="B11" s="379">
        <f>IF($B$2&lt;5000000,$B$9,MIN($B$9,$B$10))</f>
        <v>0</v>
      </c>
      <c r="C11" s="379"/>
      <c r="D11" s="379"/>
      <c r="E11" s="379"/>
      <c r="F11" s="379"/>
    </row>
    <row r="12" spans="1:6" s="295" customFormat="1">
      <c r="A12" s="128"/>
      <c r="B12" s="374"/>
      <c r="C12" s="375"/>
      <c r="D12" s="375"/>
      <c r="E12" s="375"/>
      <c r="F12" s="376"/>
    </row>
    <row r="13" spans="1:6" s="295" customFormat="1">
      <c r="A13" s="300" t="s">
        <v>79</v>
      </c>
      <c r="B13" s="378" t="s">
        <v>75</v>
      </c>
      <c r="C13" s="378"/>
      <c r="D13" s="378"/>
      <c r="E13" s="378"/>
      <c r="F13" s="378"/>
    </row>
    <row r="14" spans="1:6" s="295" customFormat="1" ht="25.5">
      <c r="A14" s="128" t="s">
        <v>80</v>
      </c>
      <c r="B14" s="370">
        <f>'ExistingLoans&amp;Facilities&amp;RTR'!$N$103</f>
        <v>0</v>
      </c>
      <c r="C14" s="370"/>
      <c r="D14" s="370"/>
      <c r="E14" s="370"/>
      <c r="F14" s="370"/>
    </row>
    <row r="15" spans="1:6" s="295" customFormat="1">
      <c r="A15" s="128" t="s">
        <v>81</v>
      </c>
      <c r="B15" s="370">
        <f>'ExistingLoans&amp;Facilities&amp;RTR'!$N$105</f>
        <v>0</v>
      </c>
      <c r="C15" s="370"/>
      <c r="D15" s="370"/>
      <c r="E15" s="370"/>
      <c r="F15" s="370"/>
    </row>
    <row r="16" spans="1:6">
      <c r="A16" s="128"/>
      <c r="B16" s="374"/>
      <c r="C16" s="375"/>
      <c r="D16" s="375"/>
      <c r="E16" s="375"/>
      <c r="F16" s="376"/>
    </row>
    <row r="17" spans="1:35">
      <c r="A17" s="380" t="s">
        <v>82</v>
      </c>
      <c r="B17" s="380"/>
      <c r="C17" s="380"/>
      <c r="D17" s="380"/>
      <c r="E17" s="380"/>
      <c r="F17" s="380"/>
    </row>
    <row r="18" spans="1:35" s="296" customFormat="1">
      <c r="A18" s="302" t="s">
        <v>83</v>
      </c>
      <c r="B18" s="303" t="s">
        <v>84</v>
      </c>
      <c r="C18" s="303" t="s">
        <v>85</v>
      </c>
      <c r="D18" s="303" t="s">
        <v>86</v>
      </c>
      <c r="E18" s="303" t="s">
        <v>87</v>
      </c>
      <c r="F18" s="303" t="s">
        <v>88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1" t="s">
        <v>89</v>
      </c>
      <c r="B19" s="381"/>
      <c r="C19" s="381"/>
      <c r="D19" s="381"/>
      <c r="E19" s="381"/>
      <c r="F19" s="381"/>
    </row>
    <row r="20" spans="1:35">
      <c r="A20" s="305" t="s">
        <v>90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91</v>
      </c>
      <c r="F20" s="127"/>
    </row>
    <row r="21" spans="1:35">
      <c r="A21" s="305" t="s">
        <v>92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91</v>
      </c>
      <c r="F21" s="127"/>
    </row>
    <row r="22" spans="1:35">
      <c r="A22" s="305" t="s">
        <v>93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91</v>
      </c>
      <c r="F22" s="127"/>
    </row>
    <row r="23" spans="1:35">
      <c r="A23" s="305" t="s">
        <v>94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91</v>
      </c>
      <c r="F23" s="127"/>
    </row>
    <row r="24" spans="1:35">
      <c r="A24" s="309" t="s">
        <v>95</v>
      </c>
      <c r="B24" s="306">
        <v>1</v>
      </c>
      <c r="C24" s="264"/>
      <c r="D24" s="310">
        <f>SUM(D20:D23)</f>
        <v>0</v>
      </c>
      <c r="E24" s="308" t="s">
        <v>91</v>
      </c>
      <c r="F24" s="127"/>
    </row>
    <row r="25" spans="1:35">
      <c r="A25" s="305" t="s">
        <v>96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91</v>
      </c>
      <c r="F25" s="127"/>
    </row>
    <row r="26" spans="1:35">
      <c r="A26" s="130" t="s">
        <v>97</v>
      </c>
      <c r="B26" s="311">
        <v>1</v>
      </c>
      <c r="C26" s="312"/>
      <c r="D26" s="301">
        <f>D24-D25</f>
        <v>0</v>
      </c>
      <c r="E26" s="313" t="s">
        <v>91</v>
      </c>
      <c r="F26" s="313">
        <f t="shared" ref="F26:F30" si="0">IF(E26="Monthly",(D26*B26)*12,(D26*B26))</f>
        <v>0</v>
      </c>
    </row>
    <row r="27" spans="1:35">
      <c r="A27" s="381" t="s">
        <v>98</v>
      </c>
      <c r="B27" s="381"/>
      <c r="C27" s="381"/>
      <c r="D27" s="381"/>
      <c r="E27" s="381"/>
      <c r="F27" s="381"/>
    </row>
    <row r="28" spans="1:35">
      <c r="A28" s="128" t="s">
        <v>99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100</v>
      </c>
      <c r="F28" s="308">
        <f t="shared" si="0"/>
        <v>0</v>
      </c>
    </row>
    <row r="29" spans="1:35">
      <c r="A29" s="128" t="s">
        <v>101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100</v>
      </c>
      <c r="F29" s="308">
        <f t="shared" si="0"/>
        <v>0</v>
      </c>
    </row>
    <row r="30" spans="1:35">
      <c r="A30" s="128" t="s">
        <v>102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100</v>
      </c>
      <c r="F30" s="308">
        <f t="shared" si="0"/>
        <v>0</v>
      </c>
    </row>
    <row r="31" spans="1:35">
      <c r="A31" s="381" t="s">
        <v>103</v>
      </c>
      <c r="B31" s="381"/>
      <c r="C31" s="381"/>
      <c r="D31" s="381"/>
      <c r="E31" s="381"/>
      <c r="F31" s="381"/>
    </row>
    <row r="32" spans="1:35" ht="25.5">
      <c r="A32" s="128" t="s">
        <v>104</v>
      </c>
      <c r="B32" s="314">
        <v>1</v>
      </c>
      <c r="C32" s="312"/>
      <c r="D32" s="315"/>
      <c r="E32" s="308" t="s">
        <v>91</v>
      </c>
      <c r="F32" s="308"/>
    </row>
    <row r="33" spans="1:6" ht="25.5">
      <c r="A33" s="342" t="s">
        <v>105</v>
      </c>
      <c r="B33" s="314">
        <v>1</v>
      </c>
      <c r="C33" s="312"/>
      <c r="D33" s="315"/>
      <c r="E33" s="308" t="s">
        <v>91</v>
      </c>
      <c r="F33" s="308"/>
    </row>
    <row r="34" spans="1:6">
      <c r="A34" s="128" t="s">
        <v>106</v>
      </c>
      <c r="B34" s="312"/>
      <c r="C34" s="312"/>
      <c r="D34" s="315"/>
      <c r="E34" s="312"/>
      <c r="F34" s="312"/>
    </row>
    <row r="35" spans="1:6">
      <c r="A35" s="381" t="s">
        <v>107</v>
      </c>
      <c r="B35" s="381"/>
      <c r="C35" s="381"/>
      <c r="D35" s="381"/>
      <c r="E35" s="381"/>
      <c r="F35" s="381"/>
    </row>
    <row r="36" spans="1:6" s="295" customFormat="1">
      <c r="A36" s="128" t="s">
        <v>108</v>
      </c>
      <c r="B36" s="314">
        <v>0.5</v>
      </c>
      <c r="C36" s="317"/>
      <c r="D36" s="316">
        <f>BasicInput!D49</f>
        <v>0</v>
      </c>
      <c r="E36" s="316" t="s">
        <v>100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109</v>
      </c>
      <c r="B37" s="314">
        <v>0.5</v>
      </c>
      <c r="C37" s="316"/>
      <c r="D37" s="316"/>
      <c r="E37" s="316" t="s">
        <v>100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110</v>
      </c>
      <c r="B38" s="314">
        <v>0.5</v>
      </c>
      <c r="C38" s="316"/>
      <c r="D38" s="316">
        <f>BasicInput!D50</f>
        <v>0</v>
      </c>
      <c r="E38" s="316" t="s">
        <v>100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111</v>
      </c>
      <c r="B39" s="314">
        <v>1</v>
      </c>
      <c r="C39" s="316"/>
      <c r="D39" s="316">
        <f>BasicInput!D51</f>
        <v>0</v>
      </c>
      <c r="E39" s="316" t="s">
        <v>100</v>
      </c>
      <c r="F39" s="308">
        <f t="shared" si="1"/>
        <v>0</v>
      </c>
    </row>
    <row r="40" spans="1:6" s="295" customFormat="1">
      <c r="A40" s="128" t="s">
        <v>107</v>
      </c>
      <c r="B40" s="314">
        <v>1</v>
      </c>
      <c r="C40" s="316"/>
      <c r="D40" s="316">
        <f>BasicInput!D52</f>
        <v>0</v>
      </c>
      <c r="E40" s="316" t="s">
        <v>100</v>
      </c>
      <c r="F40" s="308">
        <f t="shared" si="1"/>
        <v>0</v>
      </c>
    </row>
    <row r="41" spans="1:6" s="295" customFormat="1">
      <c r="A41" s="382" t="s">
        <v>112</v>
      </c>
      <c r="B41" s="382"/>
      <c r="C41" s="382"/>
      <c r="D41" s="382"/>
      <c r="E41" s="382"/>
      <c r="F41" s="382"/>
    </row>
    <row r="42" spans="1:6" s="295" customFormat="1" ht="12.75" customHeight="1">
      <c r="A42" s="383" t="s">
        <v>113</v>
      </c>
      <c r="B42" s="384"/>
      <c r="C42" s="384"/>
      <c r="D42" s="384"/>
      <c r="E42" s="384"/>
      <c r="F42" s="385"/>
    </row>
    <row r="43" spans="1:6" s="295" customFormat="1">
      <c r="A43" s="128" t="s">
        <v>114</v>
      </c>
      <c r="B43" s="318">
        <v>1</v>
      </c>
      <c r="C43" s="316"/>
      <c r="D43" s="316">
        <f>BasicInput!D53</f>
        <v>0</v>
      </c>
      <c r="E43" s="316" t="s">
        <v>100</v>
      </c>
      <c r="F43" s="308">
        <f>IF(E43="Monthly",(D43*B43)*12,(D43*B43))</f>
        <v>0</v>
      </c>
    </row>
    <row r="44" spans="1:6" s="295" customFormat="1">
      <c r="A44" s="128" t="s">
        <v>115</v>
      </c>
      <c r="B44" s="318">
        <v>1</v>
      </c>
      <c r="C44" s="316"/>
      <c r="D44" s="316"/>
      <c r="E44" s="316" t="s">
        <v>100</v>
      </c>
      <c r="F44" s="308">
        <f t="shared" ref="F44" si="2">IF(E44="Monthly",AVERAGE(C44*B44,D44*B44)*12,AVERAGE(C44*B44,D44*B44))</f>
        <v>0</v>
      </c>
    </row>
    <row r="45" spans="1:6" s="295" customFormat="1">
      <c r="A45" s="381" t="s">
        <v>116</v>
      </c>
      <c r="B45" s="381"/>
      <c r="C45" s="381"/>
      <c r="D45" s="381"/>
      <c r="E45" s="381"/>
      <c r="F45" s="313">
        <f>IF(SUM(F36:F40)&lt;F26,SUM(F26,F28:F30,F36:F40,F43:F44),SUM(F26,F28:F30,F26,F43:F44))</f>
        <v>0</v>
      </c>
    </row>
    <row r="46" spans="1:6" s="295" customFormat="1">
      <c r="A46" s="386" t="s">
        <v>117</v>
      </c>
      <c r="B46" s="386"/>
      <c r="C46" s="386"/>
      <c r="D46" s="386"/>
      <c r="E46" s="386"/>
      <c r="F46" s="386"/>
    </row>
    <row r="47" spans="1:6" s="295" customFormat="1">
      <c r="A47" s="128"/>
      <c r="B47" s="374"/>
      <c r="C47" s="375"/>
      <c r="D47" s="375"/>
      <c r="E47" s="375"/>
      <c r="F47" s="376"/>
    </row>
    <row r="48" spans="1:6" s="295" customFormat="1">
      <c r="A48" s="380" t="s">
        <v>118</v>
      </c>
      <c r="B48" s="380"/>
      <c r="C48" s="380"/>
      <c r="D48" s="380"/>
      <c r="E48" s="380"/>
      <c r="F48" s="380"/>
    </row>
    <row r="49" spans="1:10" s="295" customFormat="1" ht="2.25" customHeight="1">
      <c r="A49" s="387"/>
      <c r="B49" s="387"/>
      <c r="C49" s="387"/>
      <c r="D49" s="387"/>
      <c r="E49" s="387"/>
      <c r="F49" s="387"/>
    </row>
    <row r="50" spans="1:10" s="295" customFormat="1">
      <c r="A50" s="128" t="s">
        <v>119</v>
      </c>
      <c r="B50" s="388">
        <f>F45/12</f>
        <v>0</v>
      </c>
      <c r="C50" s="389"/>
      <c r="D50" s="389"/>
      <c r="E50" s="389"/>
      <c r="F50" s="389"/>
    </row>
    <row r="51" spans="1:10" s="295" customFormat="1">
      <c r="A51" s="128" t="s">
        <v>120</v>
      </c>
      <c r="B51" s="390">
        <f>IF(F45&gt;2400000,75%,IF(F45&gt;1200000,70%,IF(F45&gt;500000,65%,60%)))</f>
        <v>0.6</v>
      </c>
      <c r="C51" s="390"/>
      <c r="D51" s="390"/>
      <c r="E51" s="390"/>
      <c r="F51" s="390"/>
      <c r="J51" s="320"/>
    </row>
    <row r="52" spans="1:10" s="295" customFormat="1" ht="25.5">
      <c r="A52" s="128" t="s">
        <v>121</v>
      </c>
      <c r="B52" s="389">
        <f>B14</f>
        <v>0</v>
      </c>
      <c r="C52" s="389"/>
      <c r="D52" s="389"/>
      <c r="E52" s="389"/>
      <c r="F52" s="389"/>
      <c r="J52" s="320"/>
    </row>
    <row r="53" spans="1:10" s="295" customFormat="1">
      <c r="A53" s="128" t="s">
        <v>122</v>
      </c>
      <c r="B53" s="389">
        <f>(B50*B51)-B52</f>
        <v>0</v>
      </c>
      <c r="C53" s="389"/>
      <c r="D53" s="389"/>
      <c r="E53" s="389"/>
      <c r="F53" s="389"/>
    </row>
    <row r="54" spans="1:10" s="295" customFormat="1" ht="25.5">
      <c r="A54" s="319" t="s">
        <v>123</v>
      </c>
      <c r="B54" s="391" t="str">
        <f>IF((B53+D32-D33)&lt;=0,"Case Not Eligible",((B53/(PMT(B3/12,B4,-100000)))+(((D32*50%)-D33)/PMT(B3/12,IF(OR(D32="",D32=0),B4,D34),-100000)))*100000)</f>
        <v>Case Not Eligible</v>
      </c>
      <c r="C54" s="391"/>
      <c r="D54" s="391"/>
      <c r="E54" s="391"/>
      <c r="F54" s="391"/>
    </row>
    <row r="55" spans="1:10" s="295" customFormat="1" ht="2.25" customHeight="1">
      <c r="A55" s="387"/>
      <c r="B55" s="387"/>
      <c r="C55" s="387"/>
      <c r="D55" s="387"/>
      <c r="E55" s="387"/>
      <c r="F55" s="387"/>
    </row>
    <row r="56" spans="1:10" s="295" customFormat="1">
      <c r="A56" s="128" t="s">
        <v>124</v>
      </c>
      <c r="B56" s="392">
        <f>B11</f>
        <v>0</v>
      </c>
      <c r="C56" s="392"/>
      <c r="D56" s="392"/>
      <c r="E56" s="392"/>
      <c r="F56" s="392"/>
    </row>
    <row r="57" spans="1:10" s="295" customFormat="1">
      <c r="A57" s="128" t="s">
        <v>125</v>
      </c>
      <c r="B57" s="390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90"/>
      <c r="D57" s="390"/>
      <c r="E57" s="390"/>
      <c r="F57" s="390"/>
    </row>
    <row r="58" spans="1:10" s="295" customFormat="1">
      <c r="A58" s="319" t="s">
        <v>126</v>
      </c>
      <c r="B58" s="391">
        <f>B56*B57</f>
        <v>0</v>
      </c>
      <c r="C58" s="391"/>
      <c r="D58" s="391"/>
      <c r="E58" s="391"/>
      <c r="F58" s="391"/>
    </row>
    <row r="59" spans="1:10" s="295" customFormat="1" ht="2.25" customHeight="1">
      <c r="A59" s="387"/>
      <c r="B59" s="387"/>
      <c r="C59" s="387"/>
      <c r="D59" s="387"/>
      <c r="E59" s="387"/>
      <c r="F59" s="387"/>
    </row>
    <row r="60" spans="1:10" s="295" customFormat="1">
      <c r="A60" s="319" t="s">
        <v>127</v>
      </c>
      <c r="B60" s="391" t="str">
        <f>IF(B54="Case Not Eligible","Case Not Eligible",IF(B58=0,MIN(B54,B2),MIN(B54,B58,B2)))</f>
        <v>Case Not Eligible</v>
      </c>
      <c r="C60" s="391"/>
      <c r="D60" s="391"/>
      <c r="E60" s="391"/>
      <c r="F60" s="391"/>
    </row>
    <row r="61" spans="1:10" s="295" customFormat="1">
      <c r="A61" s="128" t="s">
        <v>128</v>
      </c>
      <c r="B61" s="392" t="str">
        <f>IF(B60="Case Not Eligible","Case Not Eligible",PMT(B3/12,B4,-B60))</f>
        <v>Case Not Eligible</v>
      </c>
      <c r="C61" s="392"/>
      <c r="D61" s="392"/>
      <c r="E61" s="392"/>
      <c r="F61" s="392"/>
    </row>
    <row r="62" spans="1:10" s="295" customFormat="1" ht="2.25" customHeight="1">
      <c r="A62" s="387"/>
      <c r="B62" s="387"/>
      <c r="C62" s="387"/>
      <c r="D62" s="387"/>
      <c r="E62" s="387"/>
      <c r="F62" s="387"/>
    </row>
    <row r="63" spans="1:10" s="295" customFormat="1">
      <c r="A63" s="128" t="s">
        <v>129</v>
      </c>
      <c r="B63" s="390">
        <f>IFERROR(SUM(PMT(B3/12,B4,-B2),B52)/B50,0)</f>
        <v>0</v>
      </c>
      <c r="C63" s="390"/>
      <c r="D63" s="390"/>
      <c r="E63" s="390"/>
      <c r="F63" s="390"/>
    </row>
    <row r="64" spans="1:10" s="295" customFormat="1">
      <c r="A64" s="128" t="s">
        <v>130</v>
      </c>
      <c r="B64" s="390">
        <f>IFERROR(B2/B56,0)</f>
        <v>0</v>
      </c>
      <c r="C64" s="390"/>
      <c r="D64" s="390"/>
      <c r="E64" s="390"/>
      <c r="F64" s="390"/>
    </row>
    <row r="65" spans="1:6" s="295" customFormat="1" ht="9.75" customHeight="1">
      <c r="A65" s="128"/>
      <c r="B65" s="394"/>
      <c r="C65" s="395"/>
      <c r="D65" s="395"/>
      <c r="E65" s="395"/>
      <c r="F65" s="396"/>
    </row>
    <row r="66" spans="1:6" s="295" customFormat="1">
      <c r="A66" s="321" t="s">
        <v>131</v>
      </c>
      <c r="B66" s="393" t="str">
        <f>IF(B63-B51&gt;0%,"Deviation Approval Required","Within Policy Norms")</f>
        <v>Within Policy Norms</v>
      </c>
      <c r="C66" s="393"/>
      <c r="D66" s="393"/>
      <c r="E66" s="393"/>
      <c r="F66" s="393"/>
    </row>
    <row r="67" spans="1:6" s="295" customFormat="1">
      <c r="A67" s="321" t="s">
        <v>132</v>
      </c>
      <c r="B67" s="393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93"/>
      <c r="D67" s="393"/>
      <c r="E67" s="393"/>
      <c r="F67" s="393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B67:F67"/>
    <mergeCell ref="A62:F62"/>
    <mergeCell ref="B63:F63"/>
    <mergeCell ref="B64:F64"/>
    <mergeCell ref="B65:F65"/>
    <mergeCell ref="B66:F66"/>
    <mergeCell ref="B57:F57"/>
    <mergeCell ref="B58:F58"/>
    <mergeCell ref="A59:F59"/>
    <mergeCell ref="B60:F60"/>
    <mergeCell ref="B61:F61"/>
    <mergeCell ref="B52:F52"/>
    <mergeCell ref="B53:F53"/>
    <mergeCell ref="B54:F54"/>
    <mergeCell ref="A55:F55"/>
    <mergeCell ref="B56:F56"/>
    <mergeCell ref="B47:F47"/>
    <mergeCell ref="A48:F48"/>
    <mergeCell ref="A49:F49"/>
    <mergeCell ref="B50:F50"/>
    <mergeCell ref="B51:F51"/>
    <mergeCell ref="A35:F35"/>
    <mergeCell ref="A41:F41"/>
    <mergeCell ref="A42:F42"/>
    <mergeCell ref="A45:E45"/>
    <mergeCell ref="A46:F46"/>
    <mergeCell ref="B16:F16"/>
    <mergeCell ref="A17:F17"/>
    <mergeCell ref="A19:F19"/>
    <mergeCell ref="A27:F27"/>
    <mergeCell ref="A31:F31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F1"/>
    <mergeCell ref="B2:F2"/>
    <mergeCell ref="B3:F3"/>
    <mergeCell ref="B4:F4"/>
    <mergeCell ref="B5:F5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03"/>
      <c r="C1" s="403"/>
      <c r="D1" s="403"/>
    </row>
    <row r="2" spans="1:7">
      <c r="A2" s="170" t="s">
        <v>134</v>
      </c>
      <c r="B2" s="403"/>
      <c r="C2" s="403"/>
      <c r="D2" s="403"/>
    </row>
    <row r="3" spans="1:7">
      <c r="A3" s="170" t="s">
        <v>135</v>
      </c>
      <c r="B3" s="403"/>
      <c r="C3" s="403"/>
      <c r="D3" s="403"/>
    </row>
    <row r="4" spans="1:7">
      <c r="A4" s="170" t="s">
        <v>136</v>
      </c>
      <c r="B4" s="289"/>
      <c r="C4" s="170" t="s">
        <v>137</v>
      </c>
      <c r="D4" s="183"/>
    </row>
    <row r="6" spans="1:7">
      <c r="B6" s="404" t="s">
        <v>138</v>
      </c>
      <c r="C6" s="404"/>
      <c r="D6" s="404"/>
      <c r="E6" s="404"/>
    </row>
    <row r="7" spans="1:7" ht="25.5">
      <c r="A7" s="2" t="s">
        <v>139</v>
      </c>
      <c r="B7" s="290">
        <v>45261</v>
      </c>
      <c r="C7" s="290">
        <v>45292</v>
      </c>
      <c r="D7" s="290">
        <v>45323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148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149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150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151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0"/>
      <c r="E26" s="411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2"/>
      <c r="E27" s="413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2"/>
      <c r="E28" s="413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4"/>
      <c r="E29" s="415"/>
      <c r="F29" s="277"/>
      <c r="G29" s="273">
        <f t="shared" si="5"/>
        <v>0</v>
      </c>
    </row>
    <row r="32" spans="1:7">
      <c r="A32" s="405" t="s">
        <v>155</v>
      </c>
      <c r="B32" s="406"/>
      <c r="C32" s="406"/>
      <c r="D32" s="406"/>
      <c r="E32" s="406"/>
      <c r="F32" s="407"/>
      <c r="G32" s="21" t="s">
        <v>154</v>
      </c>
    </row>
    <row r="33" spans="1:7">
      <c r="A33" s="397" t="s">
        <v>156</v>
      </c>
      <c r="B33" s="398"/>
      <c r="C33" s="398"/>
      <c r="D33" s="398"/>
      <c r="E33" s="398"/>
      <c r="F33" s="399"/>
      <c r="G33" s="195"/>
    </row>
    <row r="34" spans="1:7">
      <c r="A34" s="397" t="s">
        <v>157</v>
      </c>
      <c r="B34" s="398"/>
      <c r="C34" s="398"/>
      <c r="D34" s="398"/>
      <c r="E34" s="398"/>
      <c r="F34" s="399"/>
      <c r="G34" s="195"/>
    </row>
    <row r="35" spans="1:7">
      <c r="A35" s="397" t="s">
        <v>158</v>
      </c>
      <c r="B35" s="398"/>
      <c r="C35" s="398"/>
      <c r="D35" s="398"/>
      <c r="E35" s="398"/>
      <c r="F35" s="399"/>
      <c r="G35" s="195"/>
    </row>
    <row r="36" spans="1:7">
      <c r="A36" s="400" t="s">
        <v>159</v>
      </c>
      <c r="B36" s="401"/>
      <c r="C36" s="401"/>
      <c r="D36" s="401"/>
      <c r="E36" s="401"/>
      <c r="F36" s="402"/>
      <c r="G36" s="284">
        <f>G35/12</f>
        <v>0</v>
      </c>
    </row>
    <row r="39" spans="1:7">
      <c r="A39" s="349" t="s">
        <v>160</v>
      </c>
      <c r="B39" s="349"/>
      <c r="C39" s="349"/>
      <c r="D39" s="349"/>
      <c r="E39" s="349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8" t="s">
        <v>164</v>
      </c>
      <c r="E41" s="418"/>
    </row>
    <row r="42" spans="1:7">
      <c r="A42" s="293">
        <v>45170</v>
      </c>
      <c r="B42" s="294">
        <v>45171</v>
      </c>
      <c r="C42" s="195"/>
      <c r="D42" s="416" t="s">
        <v>165</v>
      </c>
      <c r="E42" s="417"/>
    </row>
    <row r="43" spans="1:7">
      <c r="A43" s="293">
        <v>45200</v>
      </c>
      <c r="B43" s="294">
        <v>45198</v>
      </c>
      <c r="C43" s="195"/>
      <c r="D43" s="416" t="s">
        <v>165</v>
      </c>
      <c r="E43" s="417"/>
    </row>
    <row r="44" spans="1:7">
      <c r="A44" s="293">
        <v>45231</v>
      </c>
      <c r="B44" s="294">
        <v>45231</v>
      </c>
      <c r="C44" s="195"/>
      <c r="D44" s="416" t="s">
        <v>165</v>
      </c>
      <c r="E44" s="417"/>
    </row>
    <row r="45" spans="1:7">
      <c r="A45" s="293">
        <v>45261</v>
      </c>
      <c r="B45" s="294">
        <v>45261</v>
      </c>
      <c r="C45" s="195"/>
      <c r="D45" s="416" t="s">
        <v>165</v>
      </c>
      <c r="E45" s="417"/>
    </row>
    <row r="46" spans="1:7">
      <c r="A46" s="293">
        <v>45292</v>
      </c>
      <c r="B46" s="294">
        <v>45292</v>
      </c>
      <c r="C46" s="195"/>
      <c r="D46" s="416" t="s">
        <v>165</v>
      </c>
      <c r="E46" s="417"/>
    </row>
    <row r="47" spans="1:7">
      <c r="A47" s="293">
        <v>45323</v>
      </c>
      <c r="B47" s="294">
        <v>45323</v>
      </c>
      <c r="C47" s="195"/>
      <c r="D47" s="416" t="s">
        <v>165</v>
      </c>
      <c r="E47" s="417"/>
    </row>
    <row r="48" spans="1:7">
      <c r="A48" s="293"/>
      <c r="B48" s="294"/>
      <c r="C48" s="195"/>
      <c r="D48" s="416"/>
      <c r="E48" s="417"/>
    </row>
    <row r="49" spans="1:5">
      <c r="A49" s="286"/>
      <c r="B49" s="287"/>
      <c r="C49" s="195"/>
      <c r="D49" s="408"/>
      <c r="E49" s="409"/>
    </row>
    <row r="50" spans="1:5">
      <c r="A50" s="286"/>
      <c r="B50" s="287"/>
      <c r="C50" s="195"/>
      <c r="D50" s="408"/>
      <c r="E50" s="409"/>
    </row>
    <row r="51" spans="1:5">
      <c r="A51" s="286"/>
      <c r="B51" s="287"/>
      <c r="C51" s="195"/>
      <c r="D51" s="408"/>
      <c r="E51" s="409"/>
    </row>
    <row r="52" spans="1:5">
      <c r="A52" s="286"/>
      <c r="B52" s="287"/>
      <c r="C52" s="195"/>
      <c r="D52" s="408"/>
      <c r="E52" s="409"/>
    </row>
    <row r="53" spans="1:5">
      <c r="A53" s="286"/>
      <c r="B53" s="287"/>
      <c r="C53" s="195"/>
      <c r="D53" s="408"/>
      <c r="E53" s="409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03"/>
      <c r="C1" s="403"/>
      <c r="D1" s="403"/>
    </row>
    <row r="2" spans="1:7">
      <c r="A2" s="170" t="s">
        <v>134</v>
      </c>
      <c r="B2" s="403"/>
      <c r="C2" s="403"/>
      <c r="D2" s="403"/>
    </row>
    <row r="3" spans="1:7">
      <c r="A3" s="170" t="s">
        <v>135</v>
      </c>
      <c r="B3" s="403"/>
      <c r="C3" s="403"/>
      <c r="D3" s="403"/>
    </row>
    <row r="4" spans="1:7">
      <c r="A4" s="170" t="s">
        <v>136</v>
      </c>
      <c r="B4" s="289"/>
      <c r="C4" s="170" t="s">
        <v>137</v>
      </c>
      <c r="D4" s="183"/>
    </row>
    <row r="6" spans="1:7">
      <c r="B6" s="404" t="s">
        <v>138</v>
      </c>
      <c r="C6" s="404"/>
      <c r="D6" s="404"/>
      <c r="E6" s="404"/>
    </row>
    <row r="7" spans="1:7" ht="25.5">
      <c r="A7" s="2" t="s">
        <v>139</v>
      </c>
      <c r="B7" s="290">
        <v>45231</v>
      </c>
      <c r="C7" s="290">
        <v>45261</v>
      </c>
      <c r="D7" s="290">
        <v>45292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92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93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94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143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144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145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148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149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150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151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0"/>
      <c r="E26" s="411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2"/>
      <c r="E27" s="413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2"/>
      <c r="E28" s="413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4"/>
      <c r="E29" s="415"/>
      <c r="F29" s="277"/>
      <c r="G29" s="273">
        <f t="shared" si="5"/>
        <v>0</v>
      </c>
    </row>
    <row r="32" spans="1:7">
      <c r="A32" s="405" t="s">
        <v>155</v>
      </c>
      <c r="B32" s="406"/>
      <c r="C32" s="406"/>
      <c r="D32" s="406"/>
      <c r="E32" s="406"/>
      <c r="F32" s="407"/>
      <c r="G32" s="21" t="s">
        <v>154</v>
      </c>
    </row>
    <row r="33" spans="1:7">
      <c r="A33" s="397" t="s">
        <v>156</v>
      </c>
      <c r="B33" s="398"/>
      <c r="C33" s="398"/>
      <c r="D33" s="398"/>
      <c r="E33" s="398"/>
      <c r="F33" s="399"/>
      <c r="G33" s="195"/>
    </row>
    <row r="34" spans="1:7">
      <c r="A34" s="397" t="s">
        <v>157</v>
      </c>
      <c r="B34" s="398"/>
      <c r="C34" s="398"/>
      <c r="D34" s="398"/>
      <c r="E34" s="398"/>
      <c r="F34" s="399"/>
      <c r="G34" s="195"/>
    </row>
    <row r="35" spans="1:7">
      <c r="A35" s="397" t="s">
        <v>158</v>
      </c>
      <c r="B35" s="398"/>
      <c r="C35" s="398"/>
      <c r="D35" s="398"/>
      <c r="E35" s="398"/>
      <c r="F35" s="399"/>
      <c r="G35" s="195"/>
    </row>
    <row r="36" spans="1:7">
      <c r="A36" s="400" t="s">
        <v>159</v>
      </c>
      <c r="B36" s="401"/>
      <c r="C36" s="401"/>
      <c r="D36" s="401"/>
      <c r="E36" s="401"/>
      <c r="F36" s="402"/>
      <c r="G36" s="284">
        <f>G35/12</f>
        <v>0</v>
      </c>
    </row>
    <row r="39" spans="1:7">
      <c r="A39" s="349" t="s">
        <v>160</v>
      </c>
      <c r="B39" s="349"/>
      <c r="C39" s="349"/>
      <c r="D39" s="349"/>
      <c r="E39" s="349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8" t="s">
        <v>164</v>
      </c>
      <c r="E41" s="418"/>
    </row>
    <row r="42" spans="1:7">
      <c r="A42" s="293">
        <v>45170</v>
      </c>
      <c r="B42" s="294">
        <v>45175</v>
      </c>
      <c r="C42" s="291"/>
      <c r="D42" s="416" t="s">
        <v>165</v>
      </c>
      <c r="E42" s="417"/>
    </row>
    <row r="43" spans="1:7">
      <c r="A43" s="293">
        <v>45200</v>
      </c>
      <c r="B43" s="294">
        <v>45202</v>
      </c>
      <c r="C43" s="291"/>
      <c r="D43" s="416" t="s">
        <v>165</v>
      </c>
      <c r="E43" s="417"/>
    </row>
    <row r="44" spans="1:7">
      <c r="A44" s="293">
        <v>45231</v>
      </c>
      <c r="B44" s="294">
        <v>45233</v>
      </c>
      <c r="C44" s="291"/>
      <c r="D44" s="416" t="s">
        <v>165</v>
      </c>
      <c r="E44" s="417"/>
    </row>
    <row r="45" spans="1:7">
      <c r="A45" s="293">
        <v>45261</v>
      </c>
      <c r="B45" s="294">
        <v>45263</v>
      </c>
      <c r="C45" s="291"/>
      <c r="D45" s="416" t="s">
        <v>165</v>
      </c>
      <c r="E45" s="417"/>
    </row>
    <row r="46" spans="1:7">
      <c r="A46" s="293">
        <v>45292</v>
      </c>
      <c r="B46" s="294">
        <v>45294</v>
      </c>
      <c r="C46" s="291"/>
      <c r="D46" s="416" t="s">
        <v>165</v>
      </c>
      <c r="E46" s="417"/>
    </row>
    <row r="47" spans="1:7">
      <c r="A47" s="293">
        <v>45323</v>
      </c>
      <c r="B47" s="294">
        <v>45325</v>
      </c>
      <c r="C47" s="291"/>
      <c r="D47" s="416" t="s">
        <v>165</v>
      </c>
      <c r="E47" s="417"/>
    </row>
    <row r="48" spans="1:7">
      <c r="A48" s="286"/>
      <c r="B48" s="287"/>
      <c r="C48" s="195"/>
      <c r="D48" s="408"/>
      <c r="E48" s="409"/>
    </row>
    <row r="49" spans="1:5">
      <c r="A49" s="286"/>
      <c r="B49" s="287"/>
      <c r="C49" s="195"/>
      <c r="D49" s="408"/>
      <c r="E49" s="409"/>
    </row>
    <row r="50" spans="1:5">
      <c r="A50" s="286"/>
      <c r="B50" s="287"/>
      <c r="C50" s="195"/>
      <c r="D50" s="408"/>
      <c r="E50" s="409"/>
    </row>
    <row r="51" spans="1:5">
      <c r="A51" s="286"/>
      <c r="B51" s="287"/>
      <c r="C51" s="195"/>
      <c r="D51" s="408"/>
      <c r="E51" s="409"/>
    </row>
    <row r="52" spans="1:5">
      <c r="A52" s="286"/>
      <c r="B52" s="287"/>
      <c r="C52" s="195"/>
      <c r="D52" s="408"/>
      <c r="E52" s="409"/>
    </row>
    <row r="53" spans="1:5">
      <c r="A53" s="286"/>
      <c r="B53" s="287"/>
      <c r="C53" s="195"/>
      <c r="D53" s="408"/>
      <c r="E53" s="409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19"/>
      <c r="C1" s="419"/>
      <c r="D1" s="419"/>
    </row>
    <row r="2" spans="1:7">
      <c r="A2" s="170" t="s">
        <v>134</v>
      </c>
      <c r="B2" s="419"/>
      <c r="C2" s="419"/>
      <c r="D2" s="419"/>
    </row>
    <row r="3" spans="1:7">
      <c r="A3" s="170" t="s">
        <v>135</v>
      </c>
      <c r="B3" s="419"/>
      <c r="C3" s="419"/>
      <c r="D3" s="419"/>
    </row>
    <row r="4" spans="1:7">
      <c r="A4" s="170" t="s">
        <v>136</v>
      </c>
      <c r="B4" s="272">
        <v>43709</v>
      </c>
      <c r="C4" s="170" t="s">
        <v>137</v>
      </c>
      <c r="D4" s="183"/>
    </row>
    <row r="6" spans="1:7">
      <c r="B6" s="404" t="s">
        <v>138</v>
      </c>
      <c r="C6" s="404"/>
      <c r="D6" s="404"/>
      <c r="E6" s="404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148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149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150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151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0"/>
      <c r="E26" s="411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2"/>
      <c r="E27" s="413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2"/>
      <c r="E28" s="413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4"/>
      <c r="E29" s="415"/>
      <c r="F29" s="277"/>
      <c r="G29" s="273">
        <f t="shared" si="5"/>
        <v>0</v>
      </c>
    </row>
    <row r="32" spans="1:7">
      <c r="A32" s="405" t="s">
        <v>155</v>
      </c>
      <c r="B32" s="406"/>
      <c r="C32" s="406"/>
      <c r="D32" s="406"/>
      <c r="E32" s="406"/>
      <c r="F32" s="407"/>
      <c r="G32" s="21" t="s">
        <v>154</v>
      </c>
    </row>
    <row r="33" spans="1:7">
      <c r="A33" s="397" t="s">
        <v>156</v>
      </c>
      <c r="B33" s="398"/>
      <c r="C33" s="398"/>
      <c r="D33" s="398"/>
      <c r="E33" s="398"/>
      <c r="F33" s="399"/>
      <c r="G33" s="195"/>
    </row>
    <row r="34" spans="1:7">
      <c r="A34" s="397" t="s">
        <v>157</v>
      </c>
      <c r="B34" s="398"/>
      <c r="C34" s="398"/>
      <c r="D34" s="398"/>
      <c r="E34" s="398"/>
      <c r="F34" s="399"/>
      <c r="G34" s="195"/>
    </row>
    <row r="35" spans="1:7">
      <c r="A35" s="397" t="s">
        <v>158</v>
      </c>
      <c r="B35" s="398"/>
      <c r="C35" s="398"/>
      <c r="D35" s="398"/>
      <c r="E35" s="398"/>
      <c r="F35" s="399"/>
      <c r="G35" s="195"/>
    </row>
    <row r="36" spans="1:7">
      <c r="A36" s="400" t="s">
        <v>159</v>
      </c>
      <c r="B36" s="401"/>
      <c r="C36" s="401"/>
      <c r="D36" s="401"/>
      <c r="E36" s="401"/>
      <c r="F36" s="402"/>
      <c r="G36" s="284">
        <f>G35/12</f>
        <v>0</v>
      </c>
    </row>
    <row r="39" spans="1:7">
      <c r="A39" s="349" t="s">
        <v>160</v>
      </c>
      <c r="B39" s="349"/>
      <c r="C39" s="349"/>
      <c r="D39" s="349"/>
      <c r="E39" s="349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8" t="s">
        <v>164</v>
      </c>
      <c r="E41" s="418"/>
    </row>
    <row r="42" spans="1:7">
      <c r="A42" s="286"/>
      <c r="B42" s="287"/>
      <c r="C42" s="195"/>
      <c r="D42" s="408"/>
      <c r="E42" s="409"/>
    </row>
    <row r="43" spans="1:7">
      <c r="A43" s="286"/>
      <c r="B43" s="287"/>
      <c r="C43" s="195"/>
      <c r="D43" s="408"/>
      <c r="E43" s="409"/>
    </row>
    <row r="44" spans="1:7">
      <c r="A44" s="286"/>
      <c r="B44" s="287"/>
      <c r="C44" s="195"/>
      <c r="D44" s="408"/>
      <c r="E44" s="409"/>
    </row>
    <row r="45" spans="1:7">
      <c r="A45" s="286"/>
      <c r="B45" s="287"/>
      <c r="C45" s="195"/>
      <c r="D45" s="408"/>
      <c r="E45" s="409"/>
    </row>
    <row r="46" spans="1:7">
      <c r="A46" s="286"/>
      <c r="B46" s="287"/>
      <c r="C46" s="195"/>
      <c r="D46" s="408"/>
      <c r="E46" s="409"/>
    </row>
    <row r="47" spans="1:7">
      <c r="A47" s="286"/>
      <c r="B47" s="287"/>
      <c r="C47" s="195"/>
      <c r="D47" s="408"/>
      <c r="E47" s="409"/>
    </row>
    <row r="48" spans="1:7">
      <c r="A48" s="286"/>
      <c r="B48" s="287"/>
      <c r="C48" s="195"/>
      <c r="D48" s="408"/>
      <c r="E48" s="409"/>
    </row>
    <row r="49" spans="1:5">
      <c r="A49" s="286"/>
      <c r="B49" s="287"/>
      <c r="C49" s="195"/>
      <c r="D49" s="408"/>
      <c r="E49" s="409"/>
    </row>
    <row r="50" spans="1:5">
      <c r="A50" s="286"/>
      <c r="B50" s="287"/>
      <c r="C50" s="195"/>
      <c r="D50" s="408"/>
      <c r="E50" s="409"/>
    </row>
    <row r="51" spans="1:5">
      <c r="A51" s="286"/>
      <c r="B51" s="287"/>
      <c r="C51" s="195"/>
      <c r="D51" s="408"/>
      <c r="E51" s="409"/>
    </row>
    <row r="52" spans="1:5">
      <c r="A52" s="286"/>
      <c r="B52" s="287"/>
      <c r="C52" s="195"/>
      <c r="D52" s="408"/>
      <c r="E52" s="409"/>
    </row>
    <row r="53" spans="1:5">
      <c r="A53" s="286"/>
      <c r="B53" s="287"/>
      <c r="C53" s="195"/>
      <c r="D53" s="408"/>
      <c r="E53" s="409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19"/>
      <c r="C1" s="419"/>
      <c r="D1" s="419"/>
    </row>
    <row r="2" spans="1:7">
      <c r="A2" s="170" t="s">
        <v>134</v>
      </c>
      <c r="B2" s="419"/>
      <c r="C2" s="419"/>
      <c r="D2" s="419"/>
    </row>
    <row r="3" spans="1:7">
      <c r="A3" s="170" t="s">
        <v>135</v>
      </c>
      <c r="B3" s="419"/>
      <c r="C3" s="419"/>
      <c r="D3" s="419"/>
    </row>
    <row r="4" spans="1:7">
      <c r="A4" s="170" t="s">
        <v>136</v>
      </c>
      <c r="B4" s="272">
        <v>43709</v>
      </c>
      <c r="C4" s="170" t="s">
        <v>137</v>
      </c>
      <c r="D4" s="183"/>
    </row>
    <row r="6" spans="1:7">
      <c r="B6" s="404" t="s">
        <v>138</v>
      </c>
      <c r="C6" s="404"/>
      <c r="D6" s="404"/>
      <c r="E6" s="404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148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149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150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151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0"/>
      <c r="E26" s="411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2"/>
      <c r="E27" s="413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2"/>
      <c r="E28" s="413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4"/>
      <c r="E29" s="415"/>
      <c r="F29" s="277"/>
      <c r="G29" s="273">
        <f t="shared" si="5"/>
        <v>0</v>
      </c>
    </row>
    <row r="32" spans="1:7">
      <c r="A32" s="405" t="s">
        <v>155</v>
      </c>
      <c r="B32" s="406"/>
      <c r="C32" s="406"/>
      <c r="D32" s="406"/>
      <c r="E32" s="406"/>
      <c r="F32" s="407"/>
      <c r="G32" s="21" t="s">
        <v>154</v>
      </c>
    </row>
    <row r="33" spans="1:7">
      <c r="A33" s="397" t="s">
        <v>156</v>
      </c>
      <c r="B33" s="398"/>
      <c r="C33" s="398"/>
      <c r="D33" s="398"/>
      <c r="E33" s="398"/>
      <c r="F33" s="399"/>
      <c r="G33" s="195"/>
    </row>
    <row r="34" spans="1:7">
      <c r="A34" s="397" t="s">
        <v>157</v>
      </c>
      <c r="B34" s="398"/>
      <c r="C34" s="398"/>
      <c r="D34" s="398"/>
      <c r="E34" s="398"/>
      <c r="F34" s="399"/>
      <c r="G34" s="195"/>
    </row>
    <row r="35" spans="1:7">
      <c r="A35" s="397" t="s">
        <v>158</v>
      </c>
      <c r="B35" s="398"/>
      <c r="C35" s="398"/>
      <c r="D35" s="398"/>
      <c r="E35" s="398"/>
      <c r="F35" s="399"/>
      <c r="G35" s="195"/>
    </row>
    <row r="36" spans="1:7">
      <c r="A36" s="400" t="s">
        <v>159</v>
      </c>
      <c r="B36" s="401"/>
      <c r="C36" s="401"/>
      <c r="D36" s="401"/>
      <c r="E36" s="401"/>
      <c r="F36" s="402"/>
      <c r="G36" s="284">
        <f>G35/12</f>
        <v>0</v>
      </c>
    </row>
    <row r="39" spans="1:7">
      <c r="A39" s="349" t="s">
        <v>160</v>
      </c>
      <c r="B39" s="349"/>
      <c r="C39" s="349"/>
      <c r="D39" s="349"/>
      <c r="E39" s="349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8" t="s">
        <v>164</v>
      </c>
      <c r="E41" s="418"/>
    </row>
    <row r="42" spans="1:7">
      <c r="A42" s="286"/>
      <c r="B42" s="287"/>
      <c r="C42" s="195"/>
      <c r="D42" s="408"/>
      <c r="E42" s="409"/>
    </row>
    <row r="43" spans="1:7">
      <c r="A43" s="286"/>
      <c r="B43" s="287"/>
      <c r="C43" s="195"/>
      <c r="D43" s="408"/>
      <c r="E43" s="409"/>
    </row>
    <row r="44" spans="1:7">
      <c r="A44" s="286"/>
      <c r="B44" s="287"/>
      <c r="C44" s="195"/>
      <c r="D44" s="408"/>
      <c r="E44" s="409"/>
    </row>
    <row r="45" spans="1:7">
      <c r="A45" s="286"/>
      <c r="B45" s="287"/>
      <c r="C45" s="195"/>
      <c r="D45" s="408"/>
      <c r="E45" s="409"/>
    </row>
    <row r="46" spans="1:7">
      <c r="A46" s="286"/>
      <c r="B46" s="287"/>
      <c r="C46" s="195"/>
      <c r="D46" s="408"/>
      <c r="E46" s="409"/>
    </row>
    <row r="47" spans="1:7">
      <c r="A47" s="286"/>
      <c r="B47" s="287"/>
      <c r="C47" s="195"/>
      <c r="D47" s="408"/>
      <c r="E47" s="409"/>
    </row>
    <row r="48" spans="1:7">
      <c r="A48" s="286"/>
      <c r="B48" s="287"/>
      <c r="C48" s="195"/>
      <c r="D48" s="408"/>
      <c r="E48" s="409"/>
    </row>
    <row r="49" spans="1:5">
      <c r="A49" s="286"/>
      <c r="B49" s="287"/>
      <c r="C49" s="195"/>
      <c r="D49" s="408"/>
      <c r="E49" s="409"/>
    </row>
    <row r="50" spans="1:5">
      <c r="A50" s="286"/>
      <c r="B50" s="287"/>
      <c r="C50" s="195"/>
      <c r="D50" s="408"/>
      <c r="E50" s="409"/>
    </row>
    <row r="51" spans="1:5">
      <c r="A51" s="286"/>
      <c r="B51" s="287"/>
      <c r="C51" s="195"/>
      <c r="D51" s="408"/>
      <c r="E51" s="409"/>
    </row>
    <row r="52" spans="1:5">
      <c r="A52" s="286"/>
      <c r="B52" s="287"/>
      <c r="C52" s="195"/>
      <c r="D52" s="408"/>
      <c r="E52" s="409"/>
    </row>
    <row r="53" spans="1:5">
      <c r="A53" s="286"/>
      <c r="B53" s="287"/>
      <c r="C53" s="195"/>
      <c r="D53" s="408"/>
      <c r="E53" s="409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169</v>
      </c>
      <c r="B1" s="274" t="s">
        <v>170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171</v>
      </c>
      <c r="B2" s="275" t="s">
        <v>172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173</v>
      </c>
      <c r="B3" s="275" t="s">
        <v>174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175</v>
      </c>
      <c r="B4" s="275" t="s">
        <v>176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177</v>
      </c>
      <c r="B5" s="275" t="s">
        <v>178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179</v>
      </c>
      <c r="B6" s="275" t="s">
        <v>180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181</v>
      </c>
      <c r="B7" s="275" t="s">
        <v>182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183</v>
      </c>
      <c r="B8" s="275" t="s">
        <v>184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185</v>
      </c>
      <c r="B9" s="275" t="s">
        <v>186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187</v>
      </c>
      <c r="B10" s="275" t="s">
        <v>188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189</v>
      </c>
      <c r="B11" s="275" t="s">
        <v>186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190</v>
      </c>
      <c r="B12" s="275" t="s">
        <v>188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191</v>
      </c>
      <c r="B13" s="275" t="s">
        <v>192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193</v>
      </c>
      <c r="B14" s="275" t="s">
        <v>194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195</v>
      </c>
      <c r="B15" s="275" t="s">
        <v>196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197</v>
      </c>
      <c r="B16" s="275" t="s">
        <v>198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199</v>
      </c>
      <c r="B17" s="275" t="s">
        <v>200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201</v>
      </c>
      <c r="B18" s="275" t="s">
        <v>202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203</v>
      </c>
      <c r="B19" s="275" t="s">
        <v>204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205</v>
      </c>
      <c r="B20" s="275" t="s">
        <v>206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207</v>
      </c>
      <c r="B21" s="275" t="s">
        <v>208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209</v>
      </c>
      <c r="B22" s="275" t="s">
        <v>210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211</v>
      </c>
      <c r="B23" s="275" t="s">
        <v>212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213</v>
      </c>
      <c r="B24" s="275" t="s">
        <v>214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215</v>
      </c>
      <c r="B25" s="275" t="s">
        <v>216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217</v>
      </c>
      <c r="B26" s="275" t="s">
        <v>214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218</v>
      </c>
      <c r="B27" s="275" t="s">
        <v>216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219</v>
      </c>
      <c r="B28" s="275" t="s">
        <v>220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221</v>
      </c>
      <c r="B29" s="275" t="s">
        <v>222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223</v>
      </c>
      <c r="B30" s="275" t="s">
        <v>224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225</v>
      </c>
      <c r="B31" s="275" t="s">
        <v>226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227</v>
      </c>
      <c r="B32" s="275" t="s">
        <v>228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229</v>
      </c>
      <c r="B33" s="275" t="s">
        <v>230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231</v>
      </c>
      <c r="B34" s="275" t="s">
        <v>232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233</v>
      </c>
      <c r="B35" s="275" t="s">
        <v>234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235</v>
      </c>
      <c r="B36" s="275" t="s">
        <v>236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237</v>
      </c>
      <c r="B37" s="275" t="s">
        <v>238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239</v>
      </c>
      <c r="B38" s="275" t="s">
        <v>240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241</v>
      </c>
      <c r="B39" s="275" t="s">
        <v>242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243</v>
      </c>
      <c r="B40" s="275" t="s">
        <v>244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245</v>
      </c>
      <c r="B41" s="275" t="s">
        <v>246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247</v>
      </c>
      <c r="B42" s="275" t="s">
        <v>248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249</v>
      </c>
      <c r="B43" s="275" t="s">
        <v>250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251</v>
      </c>
      <c r="B44" s="275" t="s">
        <v>252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253</v>
      </c>
      <c r="B45" s="275" t="s">
        <v>254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255</v>
      </c>
      <c r="B46" s="275" t="s">
        <v>256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257</v>
      </c>
      <c r="B47" s="275" t="s">
        <v>258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259</v>
      </c>
      <c r="B48" s="275" t="s">
        <v>260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261</v>
      </c>
      <c r="B49" s="275" t="s">
        <v>262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263</v>
      </c>
      <c r="B50" s="275" t="s">
        <v>264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265</v>
      </c>
      <c r="B51" s="275" t="s">
        <v>266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267</v>
      </c>
      <c r="B52" s="275" t="s">
        <v>268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269</v>
      </c>
      <c r="B53" s="275" t="s">
        <v>270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169</v>
      </c>
      <c r="B1" s="274" t="s">
        <v>170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271</v>
      </c>
      <c r="B2" s="275" t="s">
        <v>272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273</v>
      </c>
      <c r="B3" s="275" t="s">
        <v>274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275</v>
      </c>
      <c r="B4" s="275" t="s">
        <v>276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277</v>
      </c>
      <c r="B5" s="275" t="s">
        <v>278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279</v>
      </c>
      <c r="B6" s="275" t="s">
        <v>280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281</v>
      </c>
      <c r="B7" s="275" t="s">
        <v>282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283</v>
      </c>
      <c r="B8" s="275" t="s">
        <v>284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285</v>
      </c>
      <c r="B9" s="275" t="s">
        <v>286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287</v>
      </c>
      <c r="B10" s="275" t="s">
        <v>288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289</v>
      </c>
      <c r="B11" s="275" t="s">
        <v>290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291</v>
      </c>
      <c r="B12" s="275" t="s">
        <v>292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293</v>
      </c>
      <c r="B13" s="275" t="s">
        <v>294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295</v>
      </c>
      <c r="B14" s="275" t="s">
        <v>296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297</v>
      </c>
      <c r="B15" s="275" t="s">
        <v>298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299</v>
      </c>
      <c r="B16" s="275" t="s">
        <v>300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301</v>
      </c>
      <c r="B17" s="275" t="s">
        <v>302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303</v>
      </c>
      <c r="B18" s="275" t="s">
        <v>304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305</v>
      </c>
      <c r="B19" s="275" t="s">
        <v>306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307</v>
      </c>
      <c r="B20" s="275" t="s">
        <v>308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309</v>
      </c>
      <c r="B21" s="275" t="s">
        <v>310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311</v>
      </c>
      <c r="B22" s="275" t="s">
        <v>312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313</v>
      </c>
      <c r="B23" s="275" t="s">
        <v>314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315</v>
      </c>
      <c r="B24" s="275" t="s">
        <v>316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317</v>
      </c>
      <c r="B25" s="275" t="s">
        <v>318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319</v>
      </c>
      <c r="B26" s="275" t="s">
        <v>320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321</v>
      </c>
      <c r="B27" s="275" t="s">
        <v>322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323</v>
      </c>
      <c r="B28" s="275" t="s">
        <v>324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325</v>
      </c>
      <c r="B29" s="275" t="s">
        <v>326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327</v>
      </c>
      <c r="B30" s="275" t="s">
        <v>328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329</v>
      </c>
      <c r="B31" s="275" t="s">
        <v>330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331</v>
      </c>
      <c r="B32" s="275" t="s">
        <v>332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333</v>
      </c>
      <c r="B33" s="275" t="s">
        <v>334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335</v>
      </c>
      <c r="B34" s="275" t="s">
        <v>336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337</v>
      </c>
      <c r="B35" s="275" t="s">
        <v>338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339</v>
      </c>
      <c r="B36" s="275" t="s">
        <v>340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341</v>
      </c>
      <c r="B37" s="275" t="s">
        <v>342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343</v>
      </c>
      <c r="B38" s="275" t="s">
        <v>344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345</v>
      </c>
      <c r="B39" s="275" t="s">
        <v>346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347</v>
      </c>
      <c r="B40" s="275" t="s">
        <v>348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349</v>
      </c>
      <c r="B41" s="275" t="s">
        <v>350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351</v>
      </c>
      <c r="B42" s="275" t="s">
        <v>352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353</v>
      </c>
      <c r="B43" s="275" t="s">
        <v>354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355</v>
      </c>
      <c r="B44" s="275" t="s">
        <v>356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357</v>
      </c>
      <c r="B45" s="275" t="s">
        <v>358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359</v>
      </c>
      <c r="B46" s="275" t="s">
        <v>360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361</v>
      </c>
      <c r="B47" s="275" t="s">
        <v>362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363</v>
      </c>
      <c r="B48" s="275" t="s">
        <v>364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365</v>
      </c>
      <c r="B49" s="275" t="s">
        <v>366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367</v>
      </c>
      <c r="B50" s="275" t="s">
        <v>368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369</v>
      </c>
      <c r="B51" s="275" t="s">
        <v>370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371</v>
      </c>
      <c r="B52" s="275" t="s">
        <v>372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373</v>
      </c>
      <c r="B53" s="275" t="s">
        <v>374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375</v>
      </c>
      <c r="B54" s="275" t="s">
        <v>376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377</v>
      </c>
      <c r="B55" s="275" t="s">
        <v>378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379</v>
      </c>
      <c r="B56" s="275" t="s">
        <v>380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381</v>
      </c>
      <c r="B57" s="275" t="s">
        <v>382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383</v>
      </c>
      <c r="B58" s="275" t="s">
        <v>384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385</v>
      </c>
      <c r="B59" s="275" t="s">
        <v>386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387</v>
      </c>
      <c r="B60" s="275" t="s">
        <v>388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389</v>
      </c>
      <c r="B61" s="275" t="s">
        <v>390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391</v>
      </c>
      <c r="B62" s="275" t="s">
        <v>392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393</v>
      </c>
      <c r="B63" s="275" t="s">
        <v>394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395</v>
      </c>
      <c r="B64" s="275" t="s">
        <v>396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397</v>
      </c>
      <c r="B65" s="275" t="s">
        <v>398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399</v>
      </c>
      <c r="B66" s="275" t="s">
        <v>400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401</v>
      </c>
      <c r="B67" s="275" t="s">
        <v>402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403</v>
      </c>
      <c r="B68" s="275" t="s">
        <v>404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405</v>
      </c>
      <c r="B69" s="275" t="s">
        <v>406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407</v>
      </c>
      <c r="B70" s="275" t="s">
        <v>408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409</v>
      </c>
      <c r="B71" s="275" t="s">
        <v>410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411</v>
      </c>
      <c r="B72" s="275" t="s">
        <v>412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413</v>
      </c>
      <c r="B73" s="275" t="s">
        <v>414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415</v>
      </c>
      <c r="B74" s="275" t="s">
        <v>416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417</v>
      </c>
      <c r="B75" s="275" t="s">
        <v>418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419</v>
      </c>
      <c r="B76" s="275" t="s">
        <v>420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421</v>
      </c>
      <c r="B77" s="275" t="s">
        <v>422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423</v>
      </c>
      <c r="B78" s="275" t="s">
        <v>424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425</v>
      </c>
      <c r="B79" s="275" t="s">
        <v>426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427</v>
      </c>
      <c r="B80" s="275" t="s">
        <v>428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429</v>
      </c>
      <c r="B81" s="275" t="s">
        <v>430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431</v>
      </c>
      <c r="B82" s="275" t="s">
        <v>432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433</v>
      </c>
      <c r="B83" s="275" t="s">
        <v>434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435</v>
      </c>
      <c r="B84" s="275" t="s">
        <v>436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437</v>
      </c>
      <c r="B85" s="275" t="s">
        <v>438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439</v>
      </c>
      <c r="B86" s="275" t="s">
        <v>440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441</v>
      </c>
      <c r="B87" s="275" t="s">
        <v>442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443</v>
      </c>
      <c r="B88" s="275" t="s">
        <v>444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445</v>
      </c>
      <c r="B89" s="275" t="s">
        <v>446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447</v>
      </c>
      <c r="B90" s="275" t="s">
        <v>448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449</v>
      </c>
      <c r="B91" s="275" t="s">
        <v>450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451</v>
      </c>
      <c r="B92" s="275" t="s">
        <v>452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453</v>
      </c>
      <c r="B93" s="275" t="s">
        <v>454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455</v>
      </c>
      <c r="B94" s="275" t="s">
        <v>456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457</v>
      </c>
      <c r="B1" s="419"/>
      <c r="C1" s="419"/>
      <c r="D1" s="419"/>
    </row>
    <row r="2" spans="1:4">
      <c r="A2" s="170" t="s">
        <v>458</v>
      </c>
      <c r="B2" s="419"/>
      <c r="C2" s="419"/>
      <c r="D2" s="419"/>
    </row>
    <row r="3" spans="1:4"/>
    <row r="4" spans="1:4">
      <c r="A4" s="420" t="s">
        <v>58</v>
      </c>
      <c r="B4" s="420" t="s">
        <v>459</v>
      </c>
      <c r="C4" s="420"/>
      <c r="D4" s="420"/>
    </row>
    <row r="5" spans="1:4">
      <c r="A5" s="420"/>
      <c r="B5" s="21" t="s">
        <v>460</v>
      </c>
      <c r="C5" s="21" t="s">
        <v>461</v>
      </c>
      <c r="D5" s="21" t="s">
        <v>462</v>
      </c>
    </row>
    <row r="6" spans="1:4">
      <c r="A6" s="271" t="s">
        <v>463</v>
      </c>
      <c r="B6" s="183"/>
      <c r="C6" s="183"/>
      <c r="D6" s="183"/>
    </row>
    <row r="7" spans="1:4">
      <c r="A7" s="271" t="s">
        <v>464</v>
      </c>
      <c r="B7" s="272"/>
      <c r="C7" s="272"/>
      <c r="D7" s="272"/>
    </row>
    <row r="8" spans="1:4">
      <c r="A8" s="3" t="s">
        <v>465</v>
      </c>
      <c r="B8" s="195"/>
      <c r="C8" s="195"/>
      <c r="D8" s="195"/>
    </row>
    <row r="9" spans="1:4">
      <c r="A9" s="3" t="s">
        <v>466</v>
      </c>
      <c r="B9" s="195"/>
      <c r="C9" s="195"/>
      <c r="D9" s="195"/>
    </row>
    <row r="10" spans="1:4">
      <c r="A10" s="3" t="s">
        <v>467</v>
      </c>
      <c r="B10" s="195">
        <v>0</v>
      </c>
      <c r="C10" s="195">
        <v>0</v>
      </c>
      <c r="D10" s="195"/>
    </row>
    <row r="11" spans="1:4">
      <c r="A11" s="3" t="s">
        <v>468</v>
      </c>
      <c r="B11" s="195">
        <v>0</v>
      </c>
      <c r="C11" s="195">
        <v>0</v>
      </c>
      <c r="D11" s="195"/>
    </row>
    <row r="12" spans="1:4">
      <c r="A12" s="3" t="s">
        <v>469</v>
      </c>
      <c r="B12" s="195">
        <v>0</v>
      </c>
      <c r="C12" s="195">
        <v>0</v>
      </c>
      <c r="D12" s="195"/>
    </row>
    <row r="13" spans="1:4">
      <c r="A13" s="3" t="s">
        <v>470</v>
      </c>
      <c r="B13" s="195">
        <v>0</v>
      </c>
      <c r="C13" s="195">
        <v>0</v>
      </c>
      <c r="D13" s="195"/>
    </row>
    <row r="14" spans="1:4">
      <c r="A14" s="142" t="s">
        <v>471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472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473</v>
      </c>
      <c r="B16" s="195"/>
      <c r="C16" s="195"/>
      <c r="D16" s="195"/>
    </row>
    <row r="17" spans="1:4">
      <c r="A17" s="142" t="s">
        <v>474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457</v>
      </c>
      <c r="B22" s="419"/>
      <c r="C22" s="419"/>
      <c r="D22" s="419"/>
    </row>
    <row r="23" spans="1:4">
      <c r="A23" s="170" t="s">
        <v>458</v>
      </c>
      <c r="B23" s="419"/>
      <c r="C23" s="419"/>
      <c r="D23" s="419"/>
    </row>
    <row r="24" spans="1:4"/>
    <row r="25" spans="1:4">
      <c r="A25" s="420" t="s">
        <v>58</v>
      </c>
      <c r="B25" s="420" t="s">
        <v>459</v>
      </c>
      <c r="C25" s="420"/>
      <c r="D25" s="420"/>
    </row>
    <row r="26" spans="1:4">
      <c r="A26" s="420"/>
      <c r="B26" s="21" t="s">
        <v>460</v>
      </c>
      <c r="C26" s="21" t="s">
        <v>461</v>
      </c>
      <c r="D26" s="21" t="s">
        <v>462</v>
      </c>
    </row>
    <row r="27" spans="1:4">
      <c r="A27" s="271" t="s">
        <v>463</v>
      </c>
      <c r="B27" s="183"/>
      <c r="C27" s="183"/>
      <c r="D27" s="183"/>
    </row>
    <row r="28" spans="1:4">
      <c r="A28" s="271" t="s">
        <v>464</v>
      </c>
      <c r="B28" s="272"/>
      <c r="C28" s="272"/>
      <c r="D28" s="272"/>
    </row>
    <row r="29" spans="1:4">
      <c r="A29" s="3" t="s">
        <v>465</v>
      </c>
      <c r="B29" s="195"/>
      <c r="C29" s="195"/>
      <c r="D29" s="195"/>
    </row>
    <row r="30" spans="1:4">
      <c r="A30" s="3" t="s">
        <v>466</v>
      </c>
      <c r="B30" s="195"/>
      <c r="C30" s="195"/>
      <c r="D30" s="195"/>
    </row>
    <row r="31" spans="1:4">
      <c r="A31" s="3" t="s">
        <v>467</v>
      </c>
      <c r="B31" s="195"/>
      <c r="C31" s="195"/>
      <c r="D31" s="195"/>
    </row>
    <row r="32" spans="1:4">
      <c r="A32" s="3" t="s">
        <v>468</v>
      </c>
      <c r="B32" s="195"/>
      <c r="C32" s="195"/>
      <c r="D32" s="195"/>
    </row>
    <row r="33" spans="1:4">
      <c r="A33" s="3" t="s">
        <v>469</v>
      </c>
      <c r="B33" s="195"/>
      <c r="C33" s="195"/>
      <c r="D33" s="195"/>
    </row>
    <row r="34" spans="1:4">
      <c r="A34" s="3" t="s">
        <v>470</v>
      </c>
      <c r="B34" s="195"/>
      <c r="C34" s="195"/>
      <c r="D34" s="195"/>
    </row>
    <row r="35" spans="1:4">
      <c r="A35" s="142" t="s">
        <v>471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472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473</v>
      </c>
      <c r="B37" s="195"/>
      <c r="C37" s="195"/>
      <c r="D37" s="195"/>
    </row>
    <row r="38" spans="1:4">
      <c r="A38" s="142" t="s">
        <v>474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457</v>
      </c>
      <c r="B43" s="419"/>
      <c r="C43" s="419"/>
      <c r="D43" s="419"/>
    </row>
    <row r="44" spans="1:4">
      <c r="A44" s="170" t="s">
        <v>458</v>
      </c>
      <c r="B44" s="419"/>
      <c r="C44" s="419"/>
      <c r="D44" s="419"/>
    </row>
    <row r="45" spans="1:4"/>
    <row r="46" spans="1:4">
      <c r="A46" s="420" t="s">
        <v>58</v>
      </c>
      <c r="B46" s="420" t="s">
        <v>459</v>
      </c>
      <c r="C46" s="420"/>
      <c r="D46" s="420"/>
    </row>
    <row r="47" spans="1:4">
      <c r="A47" s="420"/>
      <c r="B47" s="21" t="s">
        <v>475</v>
      </c>
      <c r="C47" s="21" t="s">
        <v>476</v>
      </c>
      <c r="D47" s="21" t="s">
        <v>477</v>
      </c>
    </row>
    <row r="48" spans="1:4">
      <c r="A48" s="271" t="s">
        <v>463</v>
      </c>
      <c r="B48" s="183"/>
      <c r="C48" s="183"/>
      <c r="D48" s="183"/>
    </row>
    <row r="49" spans="1:4">
      <c r="A49" s="271" t="s">
        <v>464</v>
      </c>
      <c r="B49" s="272"/>
      <c r="C49" s="272"/>
      <c r="D49" s="272"/>
    </row>
    <row r="50" spans="1:4">
      <c r="A50" s="3" t="s">
        <v>465</v>
      </c>
      <c r="B50" s="195"/>
      <c r="C50" s="195"/>
      <c r="D50" s="195"/>
    </row>
    <row r="51" spans="1:4">
      <c r="A51" s="3" t="s">
        <v>466</v>
      </c>
      <c r="B51" s="195"/>
      <c r="C51" s="195"/>
      <c r="D51" s="195"/>
    </row>
    <row r="52" spans="1:4">
      <c r="A52" s="3" t="s">
        <v>467</v>
      </c>
      <c r="B52" s="195"/>
      <c r="C52" s="195"/>
      <c r="D52" s="195"/>
    </row>
    <row r="53" spans="1:4">
      <c r="A53" s="3" t="s">
        <v>468</v>
      </c>
      <c r="B53" s="195"/>
      <c r="C53" s="195"/>
      <c r="D53" s="195"/>
    </row>
    <row r="54" spans="1:4">
      <c r="A54" s="3" t="s">
        <v>469</v>
      </c>
      <c r="B54" s="195"/>
      <c r="C54" s="195"/>
      <c r="D54" s="195"/>
    </row>
    <row r="55" spans="1:4">
      <c r="A55" s="3" t="s">
        <v>470</v>
      </c>
      <c r="B55" s="195"/>
      <c r="C55" s="195"/>
      <c r="D55" s="195"/>
    </row>
    <row r="56" spans="1:4">
      <c r="A56" s="142" t="s">
        <v>471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472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473</v>
      </c>
      <c r="B58" s="195"/>
      <c r="C58" s="195"/>
      <c r="D58" s="195"/>
    </row>
    <row r="59" spans="1:4">
      <c r="A59" s="142" t="s">
        <v>474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457</v>
      </c>
      <c r="B64" s="419"/>
      <c r="C64" s="419"/>
      <c r="D64" s="419"/>
    </row>
    <row r="65" spans="1:4">
      <c r="A65" s="170" t="s">
        <v>458</v>
      </c>
      <c r="B65" s="419"/>
      <c r="C65" s="419"/>
      <c r="D65" s="419"/>
    </row>
    <row r="66" spans="1:4"/>
    <row r="67" spans="1:4">
      <c r="A67" s="420" t="s">
        <v>58</v>
      </c>
      <c r="B67" s="420" t="s">
        <v>459</v>
      </c>
      <c r="C67" s="420"/>
      <c r="D67" s="420"/>
    </row>
    <row r="68" spans="1:4">
      <c r="A68" s="420"/>
      <c r="B68" s="21" t="s">
        <v>475</v>
      </c>
      <c r="C68" s="21" t="s">
        <v>476</v>
      </c>
      <c r="D68" s="21" t="s">
        <v>477</v>
      </c>
    </row>
    <row r="69" spans="1:4">
      <c r="A69" s="271" t="s">
        <v>463</v>
      </c>
      <c r="B69" s="183"/>
      <c r="C69" s="183"/>
      <c r="D69" s="183"/>
    </row>
    <row r="70" spans="1:4">
      <c r="A70" s="271" t="s">
        <v>464</v>
      </c>
      <c r="B70" s="272"/>
      <c r="C70" s="272"/>
      <c r="D70" s="272"/>
    </row>
    <row r="71" spans="1:4">
      <c r="A71" s="3" t="s">
        <v>465</v>
      </c>
      <c r="B71" s="195"/>
      <c r="C71" s="195"/>
      <c r="D71" s="195"/>
    </row>
    <row r="72" spans="1:4">
      <c r="A72" s="3" t="s">
        <v>466</v>
      </c>
      <c r="B72" s="195"/>
      <c r="C72" s="195"/>
      <c r="D72" s="195"/>
    </row>
    <row r="73" spans="1:4">
      <c r="A73" s="3" t="s">
        <v>467</v>
      </c>
      <c r="B73" s="195"/>
      <c r="C73" s="195"/>
      <c r="D73" s="195"/>
    </row>
    <row r="74" spans="1:4">
      <c r="A74" s="3" t="s">
        <v>468</v>
      </c>
      <c r="B74" s="195"/>
      <c r="C74" s="195"/>
      <c r="D74" s="195"/>
    </row>
    <row r="75" spans="1:4">
      <c r="A75" s="3" t="s">
        <v>469</v>
      </c>
      <c r="B75" s="195"/>
      <c r="C75" s="195"/>
      <c r="D75" s="195"/>
    </row>
    <row r="76" spans="1:4">
      <c r="A76" s="3" t="s">
        <v>470</v>
      </c>
      <c r="B76" s="195"/>
      <c r="C76" s="195"/>
      <c r="D76" s="195"/>
    </row>
    <row r="77" spans="1:4">
      <c r="A77" s="142" t="s">
        <v>471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472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473</v>
      </c>
      <c r="B79" s="195"/>
      <c r="C79" s="195"/>
      <c r="D79" s="195"/>
    </row>
    <row r="80" spans="1:4">
      <c r="A80" s="142" t="s">
        <v>474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457</v>
      </c>
      <c r="B85" s="419"/>
      <c r="C85" s="419"/>
      <c r="D85" s="419"/>
    </row>
    <row r="86" spans="1:4">
      <c r="A86" s="170" t="s">
        <v>458</v>
      </c>
      <c r="B86" s="419"/>
      <c r="C86" s="419"/>
      <c r="D86" s="419"/>
    </row>
    <row r="87" spans="1:4"/>
    <row r="88" spans="1:4">
      <c r="A88" s="420" t="s">
        <v>58</v>
      </c>
      <c r="B88" s="420" t="s">
        <v>459</v>
      </c>
      <c r="C88" s="420"/>
      <c r="D88" s="420"/>
    </row>
    <row r="89" spans="1:4">
      <c r="A89" s="420"/>
      <c r="B89" s="21" t="s">
        <v>475</v>
      </c>
      <c r="C89" s="21" t="s">
        <v>476</v>
      </c>
      <c r="D89" s="21" t="s">
        <v>477</v>
      </c>
    </row>
    <row r="90" spans="1:4">
      <c r="A90" s="271" t="s">
        <v>463</v>
      </c>
      <c r="B90" s="183"/>
      <c r="C90" s="183"/>
      <c r="D90" s="183"/>
    </row>
    <row r="91" spans="1:4">
      <c r="A91" s="271" t="s">
        <v>464</v>
      </c>
      <c r="B91" s="272"/>
      <c r="C91" s="272"/>
      <c r="D91" s="272"/>
    </row>
    <row r="92" spans="1:4">
      <c r="A92" s="3" t="s">
        <v>465</v>
      </c>
      <c r="B92" s="195"/>
      <c r="C92" s="195"/>
      <c r="D92" s="195"/>
    </row>
    <row r="93" spans="1:4">
      <c r="A93" s="3" t="s">
        <v>466</v>
      </c>
      <c r="B93" s="195"/>
      <c r="C93" s="195"/>
      <c r="D93" s="195"/>
    </row>
    <row r="94" spans="1:4">
      <c r="A94" s="3" t="s">
        <v>467</v>
      </c>
      <c r="B94" s="195"/>
      <c r="C94" s="195"/>
      <c r="D94" s="195"/>
    </row>
    <row r="95" spans="1:4">
      <c r="A95" s="3" t="s">
        <v>468</v>
      </c>
      <c r="B95" s="195"/>
      <c r="C95" s="195"/>
      <c r="D95" s="195"/>
    </row>
    <row r="96" spans="1:4">
      <c r="A96" s="3" t="s">
        <v>469</v>
      </c>
      <c r="B96" s="195"/>
      <c r="C96" s="195"/>
      <c r="D96" s="195"/>
    </row>
    <row r="97" spans="1:4">
      <c r="A97" s="3" t="s">
        <v>470</v>
      </c>
      <c r="B97" s="195"/>
      <c r="C97" s="195"/>
      <c r="D97" s="195"/>
    </row>
    <row r="98" spans="1:4">
      <c r="A98" s="142" t="s">
        <v>471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472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473</v>
      </c>
      <c r="B100" s="195"/>
      <c r="C100" s="195"/>
      <c r="D100" s="195"/>
    </row>
    <row r="101" spans="1:4">
      <c r="A101" s="142" t="s">
        <v>474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1" t="s">
        <v>478</v>
      </c>
      <c r="B107" s="421"/>
      <c r="C107" s="421"/>
      <c r="D107" s="421"/>
    </row>
    <row r="108" spans="1:4">
      <c r="A108" s="420" t="s">
        <v>58</v>
      </c>
      <c r="B108" s="420" t="s">
        <v>459</v>
      </c>
      <c r="C108" s="420"/>
      <c r="D108" s="420"/>
    </row>
    <row r="109" spans="1:4">
      <c r="A109" s="420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465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466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467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468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469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470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471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472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473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474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479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  <mergeCell ref="B46:D46"/>
    <mergeCell ref="B64:D64"/>
    <mergeCell ref="B1:D1"/>
    <mergeCell ref="B2:D2"/>
    <mergeCell ref="B4:D4"/>
    <mergeCell ref="B22:D22"/>
    <mergeCell ref="B23:D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480</v>
      </c>
      <c r="B1" s="422"/>
      <c r="C1" s="423"/>
      <c r="D1" s="423"/>
      <c r="E1" s="424"/>
    </row>
    <row r="2" spans="1:5" ht="12.75" customHeight="1">
      <c r="A2" s="170" t="s">
        <v>481</v>
      </c>
      <c r="B2" s="408"/>
      <c r="C2" s="425"/>
      <c r="D2" s="425"/>
      <c r="E2" s="409"/>
    </row>
    <row r="4" spans="1:5" ht="25.5">
      <c r="A4" s="268" t="s">
        <v>5</v>
      </c>
      <c r="B4" s="268" t="s">
        <v>482</v>
      </c>
      <c r="C4" s="268" t="s">
        <v>483</v>
      </c>
      <c r="D4" s="268" t="s">
        <v>484</v>
      </c>
      <c r="E4" s="268" t="s">
        <v>485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6" t="s">
        <v>39</v>
      </c>
      <c r="B55" s="427"/>
      <c r="C55" s="428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486</v>
      </c>
      <c r="B1" s="264" t="s">
        <v>487</v>
      </c>
      <c r="C1" s="264" t="s">
        <v>488</v>
      </c>
      <c r="D1" s="264" t="s">
        <v>489</v>
      </c>
      <c r="E1" s="264" t="s">
        <v>161</v>
      </c>
      <c r="F1" s="264" t="s">
        <v>490</v>
      </c>
    </row>
    <row r="2" spans="1:6">
      <c r="A2" s="430"/>
      <c r="B2" s="430"/>
      <c r="C2" s="430"/>
      <c r="D2" s="430"/>
      <c r="E2" s="128" t="s">
        <v>491</v>
      </c>
      <c r="F2" s="265"/>
    </row>
    <row r="3" spans="1:6">
      <c r="A3" s="430"/>
      <c r="B3" s="430"/>
      <c r="C3" s="430"/>
      <c r="D3" s="430"/>
      <c r="E3" s="128" t="s">
        <v>492</v>
      </c>
      <c r="F3" s="265"/>
    </row>
    <row r="4" spans="1:6">
      <c r="A4" s="430"/>
      <c r="B4" s="430"/>
      <c r="C4" s="430"/>
      <c r="D4" s="430"/>
      <c r="E4" s="128" t="s">
        <v>493</v>
      </c>
      <c r="F4" s="265"/>
    </row>
    <row r="5" spans="1:6">
      <c r="A5" s="430"/>
      <c r="B5" s="430"/>
      <c r="C5" s="430"/>
      <c r="D5" s="430"/>
      <c r="E5" s="128" t="s">
        <v>494</v>
      </c>
      <c r="F5" s="265"/>
    </row>
    <row r="6" spans="1:6">
      <c r="A6" s="430"/>
      <c r="B6" s="430"/>
      <c r="C6" s="430"/>
      <c r="D6" s="430"/>
      <c r="E6" s="128" t="s">
        <v>495</v>
      </c>
      <c r="F6" s="265"/>
    </row>
    <row r="7" spans="1:6">
      <c r="A7" s="430"/>
      <c r="B7" s="430"/>
      <c r="C7" s="430"/>
      <c r="D7" s="430"/>
      <c r="E7" s="128" t="s">
        <v>496</v>
      </c>
      <c r="F7" s="265"/>
    </row>
    <row r="8" spans="1:6">
      <c r="A8" s="430"/>
      <c r="B8" s="430"/>
      <c r="C8" s="430"/>
      <c r="D8" s="430"/>
      <c r="E8" s="128" t="s">
        <v>497</v>
      </c>
      <c r="F8" s="265"/>
    </row>
    <row r="9" spans="1:6">
      <c r="A9" s="430"/>
      <c r="B9" s="430"/>
      <c r="C9" s="430"/>
      <c r="D9" s="430"/>
      <c r="E9" s="128" t="s">
        <v>498</v>
      </c>
      <c r="F9" s="265"/>
    </row>
    <row r="10" spans="1:6">
      <c r="A10" s="430"/>
      <c r="B10" s="430"/>
      <c r="C10" s="430"/>
      <c r="D10" s="430"/>
      <c r="E10" s="128" t="s">
        <v>499</v>
      </c>
      <c r="F10" s="265"/>
    </row>
    <row r="11" spans="1:6">
      <c r="A11" s="430"/>
      <c r="B11" s="430"/>
      <c r="C11" s="430"/>
      <c r="D11" s="430"/>
      <c r="E11" s="128" t="s">
        <v>500</v>
      </c>
      <c r="F11" s="265"/>
    </row>
    <row r="12" spans="1:6">
      <c r="A12" s="430"/>
      <c r="B12" s="430"/>
      <c r="C12" s="430"/>
      <c r="D12" s="430"/>
      <c r="E12" s="128" t="s">
        <v>501</v>
      </c>
      <c r="F12" s="265"/>
    </row>
    <row r="13" spans="1:6">
      <c r="A13" s="430"/>
      <c r="B13" s="430"/>
      <c r="C13" s="430"/>
      <c r="D13" s="430"/>
      <c r="E13" s="128" t="s">
        <v>502</v>
      </c>
      <c r="F13" s="265"/>
    </row>
    <row r="14" spans="1:6">
      <c r="A14" s="429" t="s">
        <v>503</v>
      </c>
      <c r="B14" s="429"/>
      <c r="C14" s="429"/>
      <c r="D14" s="429"/>
      <c r="E14" s="429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1" t="s">
        <v>504</v>
      </c>
      <c r="B1" s="431"/>
      <c r="C1" s="432" t="str">
        <f>IF(PrimeConsolidated!B3="","",CONCATENATE(PrimeConsolidated!B3," (Consolidated Banking in Rs. Lacs)"))</f>
        <v>NARENDRA KUMAR VYAS &amp; Group (Consolidated Banking in Rs. Lacs)</v>
      </c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256"/>
      <c r="V1" s="256"/>
    </row>
    <row r="2" spans="1:22" ht="51">
      <c r="A2" s="238" t="s">
        <v>504</v>
      </c>
      <c r="B2" s="433" t="s">
        <v>505</v>
      </c>
      <c r="C2" s="433"/>
      <c r="D2" s="433"/>
      <c r="E2" s="239" t="s">
        <v>506</v>
      </c>
      <c r="F2" s="239" t="s">
        <v>507</v>
      </c>
      <c r="G2" s="238" t="s">
        <v>508</v>
      </c>
      <c r="H2" s="238" t="s">
        <v>509</v>
      </c>
      <c r="I2" s="238" t="s">
        <v>510</v>
      </c>
      <c r="J2" s="239" t="s">
        <v>511</v>
      </c>
      <c r="K2" s="239" t="s">
        <v>512</v>
      </c>
      <c r="L2" s="434" t="s">
        <v>513</v>
      </c>
      <c r="M2" s="435"/>
      <c r="N2" s="434" t="s">
        <v>514</v>
      </c>
      <c r="O2" s="435"/>
      <c r="P2" s="238" t="s">
        <v>515</v>
      </c>
      <c r="Q2" s="238" t="s">
        <v>516</v>
      </c>
      <c r="R2" s="238" t="s">
        <v>517</v>
      </c>
      <c r="S2" s="238" t="s">
        <v>518</v>
      </c>
      <c r="T2" s="238" t="s">
        <v>519</v>
      </c>
      <c r="U2" s="238" t="s">
        <v>520</v>
      </c>
      <c r="V2" s="238" t="s">
        <v>521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522</v>
      </c>
      <c r="M3" s="238" t="s">
        <v>523</v>
      </c>
      <c r="N3" s="238" t="s">
        <v>522</v>
      </c>
      <c r="O3" s="238" t="s">
        <v>523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524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525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526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527</v>
      </c>
      <c r="T18" s="259" t="s">
        <v>528</v>
      </c>
      <c r="U18" s="259"/>
      <c r="V18" s="259"/>
    </row>
    <row r="19" spans="1:22"/>
    <row r="20" spans="1:22"/>
    <row r="21" spans="1:22"/>
    <row r="22" spans="1:22">
      <c r="A22" s="431" t="s">
        <v>504</v>
      </c>
      <c r="B22" s="431"/>
      <c r="C22" s="436" t="s">
        <v>529</v>
      </c>
      <c r="D22" s="437"/>
      <c r="E22" s="437"/>
      <c r="F22" s="437"/>
      <c r="G22" s="437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8"/>
      <c r="U22" s="246"/>
      <c r="V22" s="246"/>
    </row>
    <row r="23" spans="1:22">
      <c r="A23" s="431" t="s">
        <v>530</v>
      </c>
      <c r="B23" s="431"/>
      <c r="C23" s="439" t="s">
        <v>531</v>
      </c>
      <c r="D23" s="439"/>
      <c r="E23" s="439"/>
      <c r="F23" s="439"/>
      <c r="G23" s="439"/>
      <c r="H23" s="440" t="s">
        <v>532</v>
      </c>
      <c r="I23" s="440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246"/>
      <c r="V23" s="246"/>
    </row>
    <row r="24" spans="1:22" ht="25.5">
      <c r="A24" s="431" t="s">
        <v>533</v>
      </c>
      <c r="B24" s="431"/>
      <c r="C24" s="436" t="s">
        <v>534</v>
      </c>
      <c r="D24" s="438"/>
      <c r="E24" s="248" t="s">
        <v>535</v>
      </c>
      <c r="F24" s="441" t="s">
        <v>536</v>
      </c>
      <c r="G24" s="442"/>
      <c r="H24" s="442"/>
      <c r="I24" s="443"/>
      <c r="J24" s="248" t="s">
        <v>537</v>
      </c>
      <c r="K24" s="441"/>
      <c r="L24" s="442"/>
      <c r="M24" s="443"/>
      <c r="N24" s="247" t="s">
        <v>538</v>
      </c>
      <c r="O24" s="444"/>
      <c r="P24" s="445"/>
      <c r="Q24" s="445"/>
      <c r="R24" s="445"/>
      <c r="S24" s="445"/>
      <c r="T24" s="446"/>
      <c r="U24" s="260"/>
      <c r="V24" s="260"/>
    </row>
    <row r="25" spans="1:22" ht="51">
      <c r="A25" s="238" t="s">
        <v>161</v>
      </c>
      <c r="B25" s="433" t="s">
        <v>539</v>
      </c>
      <c r="C25" s="433"/>
      <c r="D25" s="433"/>
      <c r="E25" s="239" t="s">
        <v>540</v>
      </c>
      <c r="F25" s="239" t="s">
        <v>541</v>
      </c>
      <c r="G25" s="238" t="s">
        <v>542</v>
      </c>
      <c r="H25" s="238" t="s">
        <v>543</v>
      </c>
      <c r="I25" s="238" t="s">
        <v>544</v>
      </c>
      <c r="J25" s="239" t="s">
        <v>545</v>
      </c>
      <c r="K25" s="239" t="s">
        <v>546</v>
      </c>
      <c r="L25" s="434" t="s">
        <v>547</v>
      </c>
      <c r="M25" s="435"/>
      <c r="N25" s="434" t="s">
        <v>548</v>
      </c>
      <c r="O25" s="435"/>
      <c r="P25" s="238" t="s">
        <v>549</v>
      </c>
      <c r="Q25" s="238" t="s">
        <v>516</v>
      </c>
      <c r="R25" s="238" t="s">
        <v>517</v>
      </c>
      <c r="S25" s="238" t="s">
        <v>518</v>
      </c>
      <c r="T25" s="238" t="s">
        <v>519</v>
      </c>
      <c r="U25" s="238" t="s">
        <v>550</v>
      </c>
      <c r="V25" s="238" t="s">
        <v>551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522</v>
      </c>
      <c r="M26" s="238" t="s">
        <v>523</v>
      </c>
      <c r="N26" s="238" t="s">
        <v>522</v>
      </c>
      <c r="O26" s="238" t="s">
        <v>523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524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525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526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527</v>
      </c>
      <c r="T41" s="259" t="s">
        <v>528</v>
      </c>
      <c r="U41" s="259"/>
      <c r="V41" s="259"/>
    </row>
    <row r="42" spans="1:22"/>
    <row r="43" spans="1:22"/>
    <row r="44" spans="1:22"/>
    <row r="45" spans="1:22" ht="12.75" customHeight="1">
      <c r="A45" s="431" t="s">
        <v>504</v>
      </c>
      <c r="B45" s="431"/>
      <c r="C45" s="436"/>
      <c r="D45" s="437"/>
      <c r="E45" s="437"/>
      <c r="F45" s="437"/>
      <c r="G45" s="437"/>
      <c r="H45" s="437"/>
      <c r="I45" s="437"/>
      <c r="J45" s="437"/>
      <c r="K45" s="437"/>
      <c r="L45" s="437"/>
      <c r="M45" s="437"/>
      <c r="N45" s="437"/>
      <c r="O45" s="437"/>
      <c r="P45" s="437"/>
      <c r="Q45" s="437"/>
      <c r="R45" s="437"/>
      <c r="S45" s="437"/>
      <c r="T45" s="438"/>
      <c r="U45" s="246"/>
      <c r="V45" s="246"/>
    </row>
    <row r="46" spans="1:22" ht="12.75" customHeight="1">
      <c r="A46" s="431" t="s">
        <v>530</v>
      </c>
      <c r="B46" s="431"/>
      <c r="C46" s="439"/>
      <c r="D46" s="439"/>
      <c r="E46" s="439"/>
      <c r="F46" s="439"/>
      <c r="G46" s="439"/>
      <c r="H46" s="440" t="s">
        <v>532</v>
      </c>
      <c r="I46" s="440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246"/>
      <c r="V46" s="246"/>
    </row>
    <row r="47" spans="1:22" ht="25.5" customHeight="1">
      <c r="A47" s="431" t="s">
        <v>533</v>
      </c>
      <c r="B47" s="431"/>
      <c r="C47" s="436"/>
      <c r="D47" s="438"/>
      <c r="E47" s="248" t="s">
        <v>535</v>
      </c>
      <c r="F47" s="441"/>
      <c r="G47" s="442"/>
      <c r="H47" s="442"/>
      <c r="I47" s="443"/>
      <c r="J47" s="248" t="s">
        <v>537</v>
      </c>
      <c r="K47" s="441"/>
      <c r="L47" s="442"/>
      <c r="M47" s="443"/>
      <c r="N47" s="247" t="s">
        <v>538</v>
      </c>
      <c r="O47" s="444"/>
      <c r="P47" s="445"/>
      <c r="Q47" s="445"/>
      <c r="R47" s="445"/>
      <c r="S47" s="445"/>
      <c r="T47" s="446"/>
      <c r="U47" s="260"/>
      <c r="V47" s="260"/>
    </row>
    <row r="48" spans="1:22" ht="51" customHeight="1">
      <c r="A48" s="238" t="s">
        <v>161</v>
      </c>
      <c r="B48" s="433" t="s">
        <v>539</v>
      </c>
      <c r="C48" s="433"/>
      <c r="D48" s="433"/>
      <c r="E48" s="239" t="s">
        <v>540</v>
      </c>
      <c r="F48" s="239" t="s">
        <v>541</v>
      </c>
      <c r="G48" s="238" t="s">
        <v>542</v>
      </c>
      <c r="H48" s="238" t="s">
        <v>543</v>
      </c>
      <c r="I48" s="238" t="s">
        <v>544</v>
      </c>
      <c r="J48" s="239" t="s">
        <v>545</v>
      </c>
      <c r="K48" s="239" t="s">
        <v>546</v>
      </c>
      <c r="L48" s="434" t="s">
        <v>547</v>
      </c>
      <c r="M48" s="435"/>
      <c r="N48" s="434" t="s">
        <v>548</v>
      </c>
      <c r="O48" s="435"/>
      <c r="P48" s="238" t="s">
        <v>549</v>
      </c>
      <c r="Q48" s="238" t="s">
        <v>516</v>
      </c>
      <c r="R48" s="238" t="s">
        <v>517</v>
      </c>
      <c r="S48" s="238" t="s">
        <v>518</v>
      </c>
      <c r="T48" s="238" t="s">
        <v>519</v>
      </c>
      <c r="U48" s="238" t="s">
        <v>550</v>
      </c>
      <c r="V48" s="238" t="s">
        <v>551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522</v>
      </c>
      <c r="M49" s="238" t="s">
        <v>523</v>
      </c>
      <c r="N49" s="238" t="s">
        <v>522</v>
      </c>
      <c r="O49" s="238" t="s">
        <v>523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524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525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526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527</v>
      </c>
      <c r="T64" s="259" t="s">
        <v>528</v>
      </c>
      <c r="U64" s="259"/>
      <c r="V64" s="259"/>
    </row>
    <row r="65" spans="1:22"/>
    <row r="66" spans="1:22"/>
    <row r="67" spans="1:22"/>
    <row r="68" spans="1:22" ht="12.75" customHeight="1">
      <c r="A68" s="431" t="s">
        <v>504</v>
      </c>
      <c r="B68" s="431"/>
      <c r="C68" s="436"/>
      <c r="D68" s="437"/>
      <c r="E68" s="437"/>
      <c r="F68" s="437"/>
      <c r="G68" s="437"/>
      <c r="H68" s="437"/>
      <c r="I68" s="437"/>
      <c r="J68" s="437"/>
      <c r="K68" s="437"/>
      <c r="L68" s="437"/>
      <c r="M68" s="437"/>
      <c r="N68" s="437"/>
      <c r="O68" s="437"/>
      <c r="P68" s="437"/>
      <c r="Q68" s="437"/>
      <c r="R68" s="437"/>
      <c r="S68" s="437"/>
      <c r="T68" s="438"/>
      <c r="U68" s="246"/>
      <c r="V68" s="246"/>
    </row>
    <row r="69" spans="1:22" ht="12.75" customHeight="1">
      <c r="A69" s="431" t="s">
        <v>530</v>
      </c>
      <c r="B69" s="431"/>
      <c r="C69" s="439"/>
      <c r="D69" s="439"/>
      <c r="E69" s="439"/>
      <c r="F69" s="439"/>
      <c r="G69" s="439"/>
      <c r="H69" s="440" t="s">
        <v>532</v>
      </c>
      <c r="I69" s="440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246"/>
      <c r="V69" s="246"/>
    </row>
    <row r="70" spans="1:22" ht="25.5" customHeight="1">
      <c r="A70" s="431" t="s">
        <v>533</v>
      </c>
      <c r="B70" s="431"/>
      <c r="C70" s="436"/>
      <c r="D70" s="438"/>
      <c r="E70" s="248" t="s">
        <v>535</v>
      </c>
      <c r="F70" s="441"/>
      <c r="G70" s="442"/>
      <c r="H70" s="442"/>
      <c r="I70" s="443"/>
      <c r="J70" s="248" t="s">
        <v>537</v>
      </c>
      <c r="K70" s="441"/>
      <c r="L70" s="442"/>
      <c r="M70" s="443"/>
      <c r="N70" s="247" t="s">
        <v>538</v>
      </c>
      <c r="O70" s="444"/>
      <c r="P70" s="445"/>
      <c r="Q70" s="445"/>
      <c r="R70" s="445"/>
      <c r="S70" s="445"/>
      <c r="T70" s="446"/>
      <c r="U70" s="260"/>
      <c r="V70" s="260"/>
    </row>
    <row r="71" spans="1:22" ht="38.25" customHeight="1">
      <c r="A71" s="238" t="s">
        <v>161</v>
      </c>
      <c r="B71" s="433" t="s">
        <v>539</v>
      </c>
      <c r="C71" s="433"/>
      <c r="D71" s="433"/>
      <c r="E71" s="239" t="s">
        <v>540</v>
      </c>
      <c r="F71" s="239" t="s">
        <v>541</v>
      </c>
      <c r="G71" s="238" t="s">
        <v>542</v>
      </c>
      <c r="H71" s="238" t="s">
        <v>543</v>
      </c>
      <c r="I71" s="238" t="s">
        <v>544</v>
      </c>
      <c r="J71" s="239" t="s">
        <v>545</v>
      </c>
      <c r="K71" s="239" t="s">
        <v>546</v>
      </c>
      <c r="L71" s="434" t="s">
        <v>547</v>
      </c>
      <c r="M71" s="435"/>
      <c r="N71" s="434" t="s">
        <v>548</v>
      </c>
      <c r="O71" s="435"/>
      <c r="P71" s="238" t="s">
        <v>549</v>
      </c>
      <c r="Q71" s="238" t="s">
        <v>516</v>
      </c>
      <c r="R71" s="238" t="s">
        <v>517</v>
      </c>
      <c r="S71" s="238" t="s">
        <v>518</v>
      </c>
      <c r="T71" s="238" t="s">
        <v>519</v>
      </c>
      <c r="U71" s="238" t="s">
        <v>550</v>
      </c>
      <c r="V71" s="238" t="s">
        <v>551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522</v>
      </c>
      <c r="M72" s="238" t="s">
        <v>523</v>
      </c>
      <c r="N72" s="238" t="s">
        <v>522</v>
      </c>
      <c r="O72" s="238" t="s">
        <v>523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524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525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526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527</v>
      </c>
      <c r="T87" s="259" t="s">
        <v>528</v>
      </c>
      <c r="U87" s="259"/>
      <c r="V87" s="259"/>
    </row>
    <row r="88" spans="1:22"/>
    <row r="89" spans="1:22"/>
    <row r="90" spans="1:22"/>
    <row r="91" spans="1:22" ht="12.75" customHeight="1">
      <c r="A91" s="431" t="s">
        <v>504</v>
      </c>
      <c r="B91" s="431"/>
      <c r="C91" s="436"/>
      <c r="D91" s="437"/>
      <c r="E91" s="437"/>
      <c r="F91" s="437"/>
      <c r="G91" s="437"/>
      <c r="H91" s="437"/>
      <c r="I91" s="437"/>
      <c r="J91" s="437"/>
      <c r="K91" s="437"/>
      <c r="L91" s="437"/>
      <c r="M91" s="437"/>
      <c r="N91" s="437"/>
      <c r="O91" s="437"/>
      <c r="P91" s="437"/>
      <c r="Q91" s="437"/>
      <c r="R91" s="437"/>
      <c r="S91" s="437"/>
      <c r="T91" s="438"/>
      <c r="U91" s="246"/>
      <c r="V91" s="246"/>
    </row>
    <row r="92" spans="1:22" ht="12.75" customHeight="1">
      <c r="A92" s="431" t="s">
        <v>530</v>
      </c>
      <c r="B92" s="431"/>
      <c r="C92" s="439"/>
      <c r="D92" s="439"/>
      <c r="E92" s="439"/>
      <c r="F92" s="439"/>
      <c r="G92" s="439"/>
      <c r="H92" s="440" t="s">
        <v>532</v>
      </c>
      <c r="I92" s="440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246"/>
      <c r="V92" s="246"/>
    </row>
    <row r="93" spans="1:22" ht="25.5" customHeight="1">
      <c r="A93" s="431" t="s">
        <v>533</v>
      </c>
      <c r="B93" s="431"/>
      <c r="C93" s="436"/>
      <c r="D93" s="438"/>
      <c r="E93" s="248" t="s">
        <v>535</v>
      </c>
      <c r="F93" s="441"/>
      <c r="G93" s="442"/>
      <c r="H93" s="442"/>
      <c r="I93" s="443"/>
      <c r="J93" s="248" t="s">
        <v>537</v>
      </c>
      <c r="K93" s="441"/>
      <c r="L93" s="442"/>
      <c r="M93" s="443"/>
      <c r="N93" s="247" t="s">
        <v>538</v>
      </c>
      <c r="O93" s="444"/>
      <c r="P93" s="445"/>
      <c r="Q93" s="445"/>
      <c r="R93" s="445"/>
      <c r="S93" s="445"/>
      <c r="T93" s="446"/>
      <c r="U93" s="260"/>
      <c r="V93" s="260"/>
    </row>
    <row r="94" spans="1:22" ht="38.25" customHeight="1">
      <c r="A94" s="238" t="s">
        <v>161</v>
      </c>
      <c r="B94" s="433" t="s">
        <v>539</v>
      </c>
      <c r="C94" s="433"/>
      <c r="D94" s="433"/>
      <c r="E94" s="239" t="s">
        <v>540</v>
      </c>
      <c r="F94" s="239" t="s">
        <v>541</v>
      </c>
      <c r="G94" s="238" t="s">
        <v>542</v>
      </c>
      <c r="H94" s="238" t="s">
        <v>543</v>
      </c>
      <c r="I94" s="238" t="s">
        <v>544</v>
      </c>
      <c r="J94" s="239" t="s">
        <v>545</v>
      </c>
      <c r="K94" s="239" t="s">
        <v>546</v>
      </c>
      <c r="L94" s="434" t="s">
        <v>547</v>
      </c>
      <c r="M94" s="435"/>
      <c r="N94" s="434" t="s">
        <v>548</v>
      </c>
      <c r="O94" s="435"/>
      <c r="P94" s="238" t="s">
        <v>549</v>
      </c>
      <c r="Q94" s="238" t="s">
        <v>516</v>
      </c>
      <c r="R94" s="238" t="s">
        <v>517</v>
      </c>
      <c r="S94" s="238" t="s">
        <v>518</v>
      </c>
      <c r="T94" s="238" t="s">
        <v>519</v>
      </c>
      <c r="U94" s="238" t="s">
        <v>550</v>
      </c>
      <c r="V94" s="238" t="s">
        <v>551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522</v>
      </c>
      <c r="M95" s="238" t="s">
        <v>523</v>
      </c>
      <c r="N95" s="238" t="s">
        <v>522</v>
      </c>
      <c r="O95" s="238" t="s">
        <v>523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524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525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526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527</v>
      </c>
      <c r="T110" s="259" t="s">
        <v>528</v>
      </c>
      <c r="U110" s="259"/>
      <c r="V110" s="259"/>
    </row>
    <row r="111" spans="1:22"/>
    <row r="112" spans="1:22"/>
    <row r="113" spans="1:22"/>
    <row r="114" spans="1:22" ht="12.75" customHeight="1">
      <c r="A114" s="431" t="s">
        <v>504</v>
      </c>
      <c r="B114" s="431"/>
      <c r="C114" s="436"/>
      <c r="D114" s="437"/>
      <c r="E114" s="437"/>
      <c r="F114" s="437"/>
      <c r="G114" s="437"/>
      <c r="H114" s="437"/>
      <c r="I114" s="437"/>
      <c r="J114" s="437"/>
      <c r="K114" s="437"/>
      <c r="L114" s="437"/>
      <c r="M114" s="437"/>
      <c r="N114" s="437"/>
      <c r="O114" s="437"/>
      <c r="P114" s="437"/>
      <c r="Q114" s="437"/>
      <c r="R114" s="437"/>
      <c r="S114" s="437"/>
      <c r="T114" s="438"/>
      <c r="U114" s="246"/>
      <c r="V114" s="246"/>
    </row>
    <row r="115" spans="1:22" ht="12.75" customHeight="1">
      <c r="A115" s="431" t="s">
        <v>530</v>
      </c>
      <c r="B115" s="431"/>
      <c r="C115" s="439"/>
      <c r="D115" s="439"/>
      <c r="E115" s="439"/>
      <c r="F115" s="439"/>
      <c r="G115" s="439"/>
      <c r="H115" s="440" t="s">
        <v>532</v>
      </c>
      <c r="I115" s="440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246"/>
      <c r="V115" s="246"/>
    </row>
    <row r="116" spans="1:22" ht="25.5" customHeight="1">
      <c r="A116" s="431" t="s">
        <v>533</v>
      </c>
      <c r="B116" s="431"/>
      <c r="C116" s="436"/>
      <c r="D116" s="438"/>
      <c r="E116" s="248" t="s">
        <v>535</v>
      </c>
      <c r="F116" s="441"/>
      <c r="G116" s="442"/>
      <c r="H116" s="442"/>
      <c r="I116" s="443"/>
      <c r="J116" s="248" t="s">
        <v>537</v>
      </c>
      <c r="K116" s="441"/>
      <c r="L116" s="442"/>
      <c r="M116" s="443"/>
      <c r="N116" s="247" t="s">
        <v>538</v>
      </c>
      <c r="O116" s="444"/>
      <c r="P116" s="445"/>
      <c r="Q116" s="445"/>
      <c r="R116" s="445"/>
      <c r="S116" s="445"/>
      <c r="T116" s="446"/>
      <c r="U116" s="260"/>
      <c r="V116" s="260"/>
    </row>
    <row r="117" spans="1:22" ht="38.25" customHeight="1">
      <c r="A117" s="238" t="s">
        <v>161</v>
      </c>
      <c r="B117" s="433" t="s">
        <v>539</v>
      </c>
      <c r="C117" s="433"/>
      <c r="D117" s="433"/>
      <c r="E117" s="239" t="s">
        <v>540</v>
      </c>
      <c r="F117" s="239" t="s">
        <v>541</v>
      </c>
      <c r="G117" s="238" t="s">
        <v>542</v>
      </c>
      <c r="H117" s="238" t="s">
        <v>543</v>
      </c>
      <c r="I117" s="238" t="s">
        <v>544</v>
      </c>
      <c r="J117" s="239" t="s">
        <v>545</v>
      </c>
      <c r="K117" s="239" t="s">
        <v>546</v>
      </c>
      <c r="L117" s="434" t="s">
        <v>547</v>
      </c>
      <c r="M117" s="435"/>
      <c r="N117" s="434" t="s">
        <v>548</v>
      </c>
      <c r="O117" s="435"/>
      <c r="P117" s="238" t="s">
        <v>549</v>
      </c>
      <c r="Q117" s="238" t="s">
        <v>516</v>
      </c>
      <c r="R117" s="238" t="s">
        <v>517</v>
      </c>
      <c r="S117" s="238" t="s">
        <v>518</v>
      </c>
      <c r="T117" s="238" t="s">
        <v>519</v>
      </c>
      <c r="U117" s="238" t="s">
        <v>550</v>
      </c>
      <c r="V117" s="238" t="s">
        <v>551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522</v>
      </c>
      <c r="M118" s="238" t="s">
        <v>523</v>
      </c>
      <c r="N118" s="238" t="s">
        <v>522</v>
      </c>
      <c r="O118" s="238" t="s">
        <v>523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524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525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526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527</v>
      </c>
      <c r="T133" s="259" t="s">
        <v>528</v>
      </c>
      <c r="U133" s="259"/>
      <c r="V133" s="259"/>
    </row>
    <row r="134" spans="1:22"/>
    <row r="135" spans="1:22"/>
    <row r="136" spans="1:22"/>
    <row r="137" spans="1:22" ht="12.75" customHeight="1">
      <c r="A137" s="431" t="s">
        <v>504</v>
      </c>
      <c r="B137" s="431"/>
      <c r="C137" s="436"/>
      <c r="D137" s="437"/>
      <c r="E137" s="437"/>
      <c r="F137" s="437"/>
      <c r="G137" s="437"/>
      <c r="H137" s="437"/>
      <c r="I137" s="437"/>
      <c r="J137" s="437"/>
      <c r="K137" s="437"/>
      <c r="L137" s="437"/>
      <c r="M137" s="437"/>
      <c r="N137" s="437"/>
      <c r="O137" s="437"/>
      <c r="P137" s="437"/>
      <c r="Q137" s="437"/>
      <c r="R137" s="437"/>
      <c r="S137" s="437"/>
      <c r="T137" s="438"/>
      <c r="U137" s="246"/>
      <c r="V137" s="246"/>
    </row>
    <row r="138" spans="1:22" ht="12.75" customHeight="1">
      <c r="A138" s="431" t="s">
        <v>530</v>
      </c>
      <c r="B138" s="431"/>
      <c r="C138" s="439"/>
      <c r="D138" s="439"/>
      <c r="E138" s="439"/>
      <c r="F138" s="439"/>
      <c r="G138" s="439"/>
      <c r="H138" s="440" t="s">
        <v>532</v>
      </c>
      <c r="I138" s="440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246"/>
      <c r="V138" s="246"/>
    </row>
    <row r="139" spans="1:22" ht="25.5" customHeight="1">
      <c r="A139" s="431" t="s">
        <v>533</v>
      </c>
      <c r="B139" s="431"/>
      <c r="C139" s="436"/>
      <c r="D139" s="438"/>
      <c r="E139" s="248" t="s">
        <v>535</v>
      </c>
      <c r="F139" s="441"/>
      <c r="G139" s="442"/>
      <c r="H139" s="442"/>
      <c r="I139" s="443"/>
      <c r="J139" s="248" t="s">
        <v>537</v>
      </c>
      <c r="K139" s="441"/>
      <c r="L139" s="442"/>
      <c r="M139" s="443"/>
      <c r="N139" s="247" t="s">
        <v>538</v>
      </c>
      <c r="O139" s="444"/>
      <c r="P139" s="445"/>
      <c r="Q139" s="445"/>
      <c r="R139" s="445"/>
      <c r="S139" s="445"/>
      <c r="T139" s="446"/>
      <c r="U139" s="260"/>
      <c r="V139" s="260"/>
    </row>
    <row r="140" spans="1:22" ht="38.25" customHeight="1">
      <c r="A140" s="238" t="s">
        <v>161</v>
      </c>
      <c r="B140" s="433" t="s">
        <v>539</v>
      </c>
      <c r="C140" s="433"/>
      <c r="D140" s="433"/>
      <c r="E140" s="239" t="s">
        <v>540</v>
      </c>
      <c r="F140" s="239" t="s">
        <v>541</v>
      </c>
      <c r="G140" s="238" t="s">
        <v>542</v>
      </c>
      <c r="H140" s="238" t="s">
        <v>543</v>
      </c>
      <c r="I140" s="238" t="s">
        <v>544</v>
      </c>
      <c r="J140" s="239" t="s">
        <v>545</v>
      </c>
      <c r="K140" s="239" t="s">
        <v>546</v>
      </c>
      <c r="L140" s="434" t="s">
        <v>547</v>
      </c>
      <c r="M140" s="435"/>
      <c r="N140" s="434" t="s">
        <v>548</v>
      </c>
      <c r="O140" s="435"/>
      <c r="P140" s="238" t="s">
        <v>549</v>
      </c>
      <c r="Q140" s="238" t="s">
        <v>516</v>
      </c>
      <c r="R140" s="238" t="s">
        <v>517</v>
      </c>
      <c r="S140" s="238" t="s">
        <v>518</v>
      </c>
      <c r="T140" s="238" t="s">
        <v>519</v>
      </c>
      <c r="U140" s="238" t="s">
        <v>550</v>
      </c>
      <c r="V140" s="238" t="s">
        <v>551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522</v>
      </c>
      <c r="M141" s="238" t="s">
        <v>523</v>
      </c>
      <c r="N141" s="238" t="s">
        <v>522</v>
      </c>
      <c r="O141" s="238" t="s">
        <v>523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524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525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526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527</v>
      </c>
      <c r="T156" s="259" t="s">
        <v>528</v>
      </c>
      <c r="U156" s="259"/>
      <c r="V156" s="259"/>
    </row>
    <row r="157" spans="1:22"/>
    <row r="158" spans="1:22"/>
    <row r="159" spans="1:22"/>
    <row r="160" spans="1:22" ht="12.75" customHeight="1">
      <c r="A160" s="431" t="s">
        <v>504</v>
      </c>
      <c r="B160" s="431"/>
      <c r="C160" s="436"/>
      <c r="D160" s="437"/>
      <c r="E160" s="437"/>
      <c r="F160" s="437"/>
      <c r="G160" s="437"/>
      <c r="H160" s="437"/>
      <c r="I160" s="437"/>
      <c r="J160" s="437"/>
      <c r="K160" s="437"/>
      <c r="L160" s="437"/>
      <c r="M160" s="437"/>
      <c r="N160" s="437"/>
      <c r="O160" s="437"/>
      <c r="P160" s="437"/>
      <c r="Q160" s="437"/>
      <c r="R160" s="437"/>
      <c r="S160" s="437"/>
      <c r="T160" s="438"/>
      <c r="U160" s="246"/>
      <c r="V160" s="246"/>
    </row>
    <row r="161" spans="1:22" ht="12.75" customHeight="1">
      <c r="A161" s="431" t="s">
        <v>530</v>
      </c>
      <c r="B161" s="431"/>
      <c r="C161" s="439"/>
      <c r="D161" s="439"/>
      <c r="E161" s="439"/>
      <c r="F161" s="439"/>
      <c r="G161" s="439"/>
      <c r="H161" s="440" t="s">
        <v>532</v>
      </c>
      <c r="I161" s="440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246"/>
      <c r="V161" s="246"/>
    </row>
    <row r="162" spans="1:22" ht="25.5" customHeight="1">
      <c r="A162" s="431" t="s">
        <v>533</v>
      </c>
      <c r="B162" s="431"/>
      <c r="C162" s="436"/>
      <c r="D162" s="438"/>
      <c r="E162" s="248" t="s">
        <v>535</v>
      </c>
      <c r="F162" s="441"/>
      <c r="G162" s="442"/>
      <c r="H162" s="442"/>
      <c r="I162" s="443"/>
      <c r="J162" s="248" t="s">
        <v>537</v>
      </c>
      <c r="K162" s="441"/>
      <c r="L162" s="442"/>
      <c r="M162" s="443"/>
      <c r="N162" s="247" t="s">
        <v>538</v>
      </c>
      <c r="O162" s="444"/>
      <c r="P162" s="445"/>
      <c r="Q162" s="445"/>
      <c r="R162" s="445"/>
      <c r="S162" s="445"/>
      <c r="T162" s="446"/>
      <c r="U162" s="260"/>
      <c r="V162" s="260"/>
    </row>
    <row r="163" spans="1:22" ht="38.25" customHeight="1">
      <c r="A163" s="238" t="s">
        <v>161</v>
      </c>
      <c r="B163" s="433" t="s">
        <v>539</v>
      </c>
      <c r="C163" s="433"/>
      <c r="D163" s="433"/>
      <c r="E163" s="239" t="s">
        <v>540</v>
      </c>
      <c r="F163" s="239" t="s">
        <v>541</v>
      </c>
      <c r="G163" s="238" t="s">
        <v>542</v>
      </c>
      <c r="H163" s="238" t="s">
        <v>543</v>
      </c>
      <c r="I163" s="238" t="s">
        <v>544</v>
      </c>
      <c r="J163" s="239" t="s">
        <v>545</v>
      </c>
      <c r="K163" s="239" t="s">
        <v>546</v>
      </c>
      <c r="L163" s="434" t="s">
        <v>547</v>
      </c>
      <c r="M163" s="435"/>
      <c r="N163" s="434" t="s">
        <v>548</v>
      </c>
      <c r="O163" s="435"/>
      <c r="P163" s="238" t="s">
        <v>549</v>
      </c>
      <c r="Q163" s="238" t="s">
        <v>516</v>
      </c>
      <c r="R163" s="238" t="s">
        <v>517</v>
      </c>
      <c r="S163" s="238" t="s">
        <v>518</v>
      </c>
      <c r="T163" s="238" t="s">
        <v>519</v>
      </c>
      <c r="U163" s="238" t="s">
        <v>550</v>
      </c>
      <c r="V163" s="238" t="s">
        <v>551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522</v>
      </c>
      <c r="M164" s="238" t="s">
        <v>523</v>
      </c>
      <c r="N164" s="238" t="s">
        <v>522</v>
      </c>
      <c r="O164" s="238" t="s">
        <v>523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524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525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526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527</v>
      </c>
      <c r="T179" s="259" t="s">
        <v>528</v>
      </c>
      <c r="U179" s="259"/>
      <c r="V179" s="259"/>
    </row>
    <row r="180" spans="1:22"/>
    <row r="181" spans="1:22"/>
    <row r="182" spans="1:22"/>
    <row r="183" spans="1:22" ht="12.75" customHeight="1">
      <c r="A183" s="431" t="s">
        <v>504</v>
      </c>
      <c r="B183" s="431"/>
      <c r="C183" s="436"/>
      <c r="D183" s="437"/>
      <c r="E183" s="437"/>
      <c r="F183" s="437"/>
      <c r="G183" s="437"/>
      <c r="H183" s="437"/>
      <c r="I183" s="437"/>
      <c r="J183" s="437"/>
      <c r="K183" s="437"/>
      <c r="L183" s="437"/>
      <c r="M183" s="437"/>
      <c r="N183" s="437"/>
      <c r="O183" s="437"/>
      <c r="P183" s="437"/>
      <c r="Q183" s="437"/>
      <c r="R183" s="437"/>
      <c r="S183" s="437"/>
      <c r="T183" s="438"/>
      <c r="U183" s="246"/>
      <c r="V183" s="246"/>
    </row>
    <row r="184" spans="1:22" ht="12.75" customHeight="1">
      <c r="A184" s="431" t="s">
        <v>530</v>
      </c>
      <c r="B184" s="431"/>
      <c r="C184" s="439"/>
      <c r="D184" s="439"/>
      <c r="E184" s="439"/>
      <c r="F184" s="439"/>
      <c r="G184" s="439"/>
      <c r="H184" s="440" t="s">
        <v>532</v>
      </c>
      <c r="I184" s="440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246"/>
      <c r="V184" s="246"/>
    </row>
    <row r="185" spans="1:22" ht="25.5" customHeight="1">
      <c r="A185" s="431" t="s">
        <v>533</v>
      </c>
      <c r="B185" s="431"/>
      <c r="C185" s="436"/>
      <c r="D185" s="438"/>
      <c r="E185" s="248" t="s">
        <v>535</v>
      </c>
      <c r="F185" s="441"/>
      <c r="G185" s="442"/>
      <c r="H185" s="442"/>
      <c r="I185" s="443"/>
      <c r="J185" s="248" t="s">
        <v>537</v>
      </c>
      <c r="K185" s="441"/>
      <c r="L185" s="442"/>
      <c r="M185" s="443"/>
      <c r="N185" s="247" t="s">
        <v>538</v>
      </c>
      <c r="O185" s="444"/>
      <c r="P185" s="445"/>
      <c r="Q185" s="445"/>
      <c r="R185" s="445"/>
      <c r="S185" s="445"/>
      <c r="T185" s="446"/>
      <c r="U185" s="260"/>
      <c r="V185" s="260"/>
    </row>
    <row r="186" spans="1:22" ht="38.25" customHeight="1">
      <c r="A186" s="238" t="s">
        <v>161</v>
      </c>
      <c r="B186" s="433" t="s">
        <v>539</v>
      </c>
      <c r="C186" s="433"/>
      <c r="D186" s="433"/>
      <c r="E186" s="239" t="s">
        <v>540</v>
      </c>
      <c r="F186" s="239" t="s">
        <v>541</v>
      </c>
      <c r="G186" s="238" t="s">
        <v>542</v>
      </c>
      <c r="H186" s="238" t="s">
        <v>543</v>
      </c>
      <c r="I186" s="238" t="s">
        <v>544</v>
      </c>
      <c r="J186" s="239" t="s">
        <v>545</v>
      </c>
      <c r="K186" s="239" t="s">
        <v>546</v>
      </c>
      <c r="L186" s="434" t="s">
        <v>547</v>
      </c>
      <c r="M186" s="435"/>
      <c r="N186" s="434" t="s">
        <v>548</v>
      </c>
      <c r="O186" s="435"/>
      <c r="P186" s="238" t="s">
        <v>549</v>
      </c>
      <c r="Q186" s="238" t="s">
        <v>516</v>
      </c>
      <c r="R186" s="238" t="s">
        <v>517</v>
      </c>
      <c r="S186" s="238" t="s">
        <v>518</v>
      </c>
      <c r="T186" s="238" t="s">
        <v>519</v>
      </c>
      <c r="U186" s="238" t="s">
        <v>550</v>
      </c>
      <c r="V186" s="238" t="s">
        <v>551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522</v>
      </c>
      <c r="M187" s="238" t="s">
        <v>523</v>
      </c>
      <c r="N187" s="238" t="s">
        <v>522</v>
      </c>
      <c r="O187" s="238" t="s">
        <v>523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524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525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526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527</v>
      </c>
      <c r="T202" s="259" t="s">
        <v>528</v>
      </c>
      <c r="U202" s="259"/>
      <c r="V202" s="259"/>
    </row>
    <row r="203" spans="1:22"/>
    <row r="204" spans="1:22"/>
    <row r="205" spans="1:22"/>
    <row r="206" spans="1:22" ht="12.75" customHeight="1">
      <c r="A206" s="431" t="s">
        <v>504</v>
      </c>
      <c r="B206" s="431"/>
      <c r="C206" s="436"/>
      <c r="D206" s="437"/>
      <c r="E206" s="437"/>
      <c r="F206" s="437"/>
      <c r="G206" s="437"/>
      <c r="H206" s="437"/>
      <c r="I206" s="437"/>
      <c r="J206" s="437"/>
      <c r="K206" s="437"/>
      <c r="L206" s="437"/>
      <c r="M206" s="437"/>
      <c r="N206" s="437"/>
      <c r="O206" s="437"/>
      <c r="P206" s="437"/>
      <c r="Q206" s="437"/>
      <c r="R206" s="437"/>
      <c r="S206" s="437"/>
      <c r="T206" s="438"/>
      <c r="U206" s="246"/>
      <c r="V206" s="246"/>
    </row>
    <row r="207" spans="1:22" ht="12.75" customHeight="1">
      <c r="A207" s="431" t="s">
        <v>530</v>
      </c>
      <c r="B207" s="431"/>
      <c r="C207" s="439"/>
      <c r="D207" s="439"/>
      <c r="E207" s="439"/>
      <c r="F207" s="439"/>
      <c r="G207" s="439"/>
      <c r="H207" s="440" t="s">
        <v>532</v>
      </c>
      <c r="I207" s="440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246"/>
      <c r="V207" s="246"/>
    </row>
    <row r="208" spans="1:22" ht="25.5" customHeight="1">
      <c r="A208" s="431" t="s">
        <v>533</v>
      </c>
      <c r="B208" s="431"/>
      <c r="C208" s="436"/>
      <c r="D208" s="438"/>
      <c r="E208" s="248" t="s">
        <v>535</v>
      </c>
      <c r="F208" s="441"/>
      <c r="G208" s="442"/>
      <c r="H208" s="442"/>
      <c r="I208" s="443"/>
      <c r="J208" s="248" t="s">
        <v>537</v>
      </c>
      <c r="K208" s="441"/>
      <c r="L208" s="442"/>
      <c r="M208" s="443"/>
      <c r="N208" s="247" t="s">
        <v>538</v>
      </c>
      <c r="O208" s="444"/>
      <c r="P208" s="445"/>
      <c r="Q208" s="445"/>
      <c r="R208" s="445"/>
      <c r="S208" s="445"/>
      <c r="T208" s="446"/>
      <c r="U208" s="260"/>
      <c r="V208" s="260"/>
    </row>
    <row r="209" spans="1:22" ht="38.25" customHeight="1">
      <c r="A209" s="238" t="s">
        <v>161</v>
      </c>
      <c r="B209" s="433" t="s">
        <v>539</v>
      </c>
      <c r="C209" s="433"/>
      <c r="D209" s="433"/>
      <c r="E209" s="239" t="s">
        <v>540</v>
      </c>
      <c r="F209" s="239" t="s">
        <v>541</v>
      </c>
      <c r="G209" s="238" t="s">
        <v>542</v>
      </c>
      <c r="H209" s="238" t="s">
        <v>543</v>
      </c>
      <c r="I209" s="238" t="s">
        <v>544</v>
      </c>
      <c r="J209" s="239" t="s">
        <v>545</v>
      </c>
      <c r="K209" s="239" t="s">
        <v>546</v>
      </c>
      <c r="L209" s="434" t="s">
        <v>547</v>
      </c>
      <c r="M209" s="435"/>
      <c r="N209" s="434" t="s">
        <v>548</v>
      </c>
      <c r="O209" s="435"/>
      <c r="P209" s="238" t="s">
        <v>549</v>
      </c>
      <c r="Q209" s="238" t="s">
        <v>516</v>
      </c>
      <c r="R209" s="238" t="s">
        <v>517</v>
      </c>
      <c r="S209" s="238" t="s">
        <v>518</v>
      </c>
      <c r="T209" s="238" t="s">
        <v>519</v>
      </c>
      <c r="U209" s="238" t="s">
        <v>550</v>
      </c>
      <c r="V209" s="238" t="s">
        <v>551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522</v>
      </c>
      <c r="M210" s="238" t="s">
        <v>523</v>
      </c>
      <c r="N210" s="238" t="s">
        <v>522</v>
      </c>
      <c r="O210" s="238" t="s">
        <v>523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524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525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526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527</v>
      </c>
      <c r="T225" s="259" t="s">
        <v>528</v>
      </c>
      <c r="U225" s="259"/>
      <c r="V225" s="259"/>
    </row>
    <row r="226" spans="1:22"/>
    <row r="227" spans="1:22"/>
    <row r="228" spans="1:22"/>
    <row r="229" spans="1:22" ht="12.75" customHeight="1">
      <c r="A229" s="431" t="s">
        <v>504</v>
      </c>
      <c r="B229" s="431"/>
      <c r="C229" s="436"/>
      <c r="D229" s="437"/>
      <c r="E229" s="437"/>
      <c r="F229" s="437"/>
      <c r="G229" s="437"/>
      <c r="H229" s="437"/>
      <c r="I229" s="437"/>
      <c r="J229" s="437"/>
      <c r="K229" s="437"/>
      <c r="L229" s="437"/>
      <c r="M229" s="437"/>
      <c r="N229" s="437"/>
      <c r="O229" s="437"/>
      <c r="P229" s="437"/>
      <c r="Q229" s="437"/>
      <c r="R229" s="437"/>
      <c r="S229" s="437"/>
      <c r="T229" s="438"/>
      <c r="U229" s="246"/>
      <c r="V229" s="246"/>
    </row>
    <row r="230" spans="1:22" ht="12.75" customHeight="1">
      <c r="A230" s="431" t="s">
        <v>530</v>
      </c>
      <c r="B230" s="431"/>
      <c r="C230" s="439"/>
      <c r="D230" s="439"/>
      <c r="E230" s="439"/>
      <c r="F230" s="439"/>
      <c r="G230" s="439"/>
      <c r="H230" s="440" t="s">
        <v>532</v>
      </c>
      <c r="I230" s="440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246"/>
      <c r="V230" s="246"/>
    </row>
    <row r="231" spans="1:22" ht="25.5" customHeight="1">
      <c r="A231" s="431" t="s">
        <v>533</v>
      </c>
      <c r="B231" s="431"/>
      <c r="C231" s="436"/>
      <c r="D231" s="438"/>
      <c r="E231" s="248" t="s">
        <v>535</v>
      </c>
      <c r="F231" s="441"/>
      <c r="G231" s="442"/>
      <c r="H231" s="442"/>
      <c r="I231" s="443"/>
      <c r="J231" s="248" t="s">
        <v>537</v>
      </c>
      <c r="K231" s="441"/>
      <c r="L231" s="442"/>
      <c r="M231" s="443"/>
      <c r="N231" s="247" t="s">
        <v>538</v>
      </c>
      <c r="O231" s="444"/>
      <c r="P231" s="445"/>
      <c r="Q231" s="445"/>
      <c r="R231" s="445"/>
      <c r="S231" s="445"/>
      <c r="T231" s="446"/>
      <c r="U231" s="260"/>
      <c r="V231" s="260"/>
    </row>
    <row r="232" spans="1:22" ht="38.25" customHeight="1">
      <c r="A232" s="238" t="s">
        <v>161</v>
      </c>
      <c r="B232" s="433" t="s">
        <v>539</v>
      </c>
      <c r="C232" s="433"/>
      <c r="D232" s="433"/>
      <c r="E232" s="239" t="s">
        <v>540</v>
      </c>
      <c r="F232" s="239" t="s">
        <v>541</v>
      </c>
      <c r="G232" s="238" t="s">
        <v>542</v>
      </c>
      <c r="H232" s="238" t="s">
        <v>543</v>
      </c>
      <c r="I232" s="238" t="s">
        <v>544</v>
      </c>
      <c r="J232" s="239" t="s">
        <v>545</v>
      </c>
      <c r="K232" s="239" t="s">
        <v>546</v>
      </c>
      <c r="L232" s="434" t="s">
        <v>547</v>
      </c>
      <c r="M232" s="435"/>
      <c r="N232" s="434" t="s">
        <v>548</v>
      </c>
      <c r="O232" s="435"/>
      <c r="P232" s="238" t="s">
        <v>549</v>
      </c>
      <c r="Q232" s="238" t="s">
        <v>516</v>
      </c>
      <c r="R232" s="238" t="s">
        <v>517</v>
      </c>
      <c r="S232" s="238" t="s">
        <v>518</v>
      </c>
      <c r="T232" s="238" t="s">
        <v>519</v>
      </c>
      <c r="U232" s="238" t="s">
        <v>550</v>
      </c>
      <c r="V232" s="238" t="s">
        <v>551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522</v>
      </c>
      <c r="M233" s="238" t="s">
        <v>523</v>
      </c>
      <c r="N233" s="238" t="s">
        <v>522</v>
      </c>
      <c r="O233" s="238" t="s">
        <v>523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524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525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526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527</v>
      </c>
      <c r="T248" s="259" t="s">
        <v>528</v>
      </c>
      <c r="U248" s="259"/>
      <c r="V248" s="259"/>
    </row>
    <row r="249" spans="1:22"/>
    <row r="250" spans="1:22"/>
    <row r="251" spans="1:22"/>
    <row r="252" spans="1:22" ht="12.75" customHeight="1">
      <c r="A252" s="431" t="s">
        <v>504</v>
      </c>
      <c r="B252" s="431"/>
      <c r="C252" s="436"/>
      <c r="D252" s="437"/>
      <c r="E252" s="437"/>
      <c r="F252" s="437"/>
      <c r="G252" s="437"/>
      <c r="H252" s="437"/>
      <c r="I252" s="437"/>
      <c r="J252" s="437"/>
      <c r="K252" s="437"/>
      <c r="L252" s="437"/>
      <c r="M252" s="437"/>
      <c r="N252" s="437"/>
      <c r="O252" s="437"/>
      <c r="P252" s="437"/>
      <c r="Q252" s="437"/>
      <c r="R252" s="437"/>
      <c r="S252" s="437"/>
      <c r="T252" s="438"/>
      <c r="U252" s="246"/>
      <c r="V252" s="246"/>
    </row>
    <row r="253" spans="1:22" ht="12.75" customHeight="1">
      <c r="A253" s="431" t="s">
        <v>530</v>
      </c>
      <c r="B253" s="431"/>
      <c r="C253" s="439"/>
      <c r="D253" s="439"/>
      <c r="E253" s="439"/>
      <c r="F253" s="439"/>
      <c r="G253" s="439"/>
      <c r="H253" s="440" t="s">
        <v>532</v>
      </c>
      <c r="I253" s="440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246"/>
      <c r="V253" s="246"/>
    </row>
    <row r="254" spans="1:22" ht="25.5" customHeight="1">
      <c r="A254" s="431" t="s">
        <v>533</v>
      </c>
      <c r="B254" s="431"/>
      <c r="C254" s="436"/>
      <c r="D254" s="438"/>
      <c r="E254" s="248" t="s">
        <v>535</v>
      </c>
      <c r="F254" s="441"/>
      <c r="G254" s="442"/>
      <c r="H254" s="442"/>
      <c r="I254" s="443"/>
      <c r="J254" s="248" t="s">
        <v>537</v>
      </c>
      <c r="K254" s="441"/>
      <c r="L254" s="442"/>
      <c r="M254" s="443"/>
      <c r="N254" s="247" t="s">
        <v>538</v>
      </c>
      <c r="O254" s="444"/>
      <c r="P254" s="445"/>
      <c r="Q254" s="445"/>
      <c r="R254" s="445"/>
      <c r="S254" s="445"/>
      <c r="T254" s="446"/>
      <c r="U254" s="260"/>
      <c r="V254" s="260"/>
    </row>
    <row r="255" spans="1:22" ht="38.25" customHeight="1">
      <c r="A255" s="238" t="s">
        <v>161</v>
      </c>
      <c r="B255" s="433" t="s">
        <v>539</v>
      </c>
      <c r="C255" s="433"/>
      <c r="D255" s="433"/>
      <c r="E255" s="239" t="s">
        <v>540</v>
      </c>
      <c r="F255" s="239" t="s">
        <v>541</v>
      </c>
      <c r="G255" s="238" t="s">
        <v>542</v>
      </c>
      <c r="H255" s="238" t="s">
        <v>543</v>
      </c>
      <c r="I255" s="238" t="s">
        <v>544</v>
      </c>
      <c r="J255" s="239" t="s">
        <v>545</v>
      </c>
      <c r="K255" s="239" t="s">
        <v>546</v>
      </c>
      <c r="L255" s="434" t="s">
        <v>547</v>
      </c>
      <c r="M255" s="435"/>
      <c r="N255" s="434" t="s">
        <v>548</v>
      </c>
      <c r="O255" s="435"/>
      <c r="P255" s="238" t="s">
        <v>549</v>
      </c>
      <c r="Q255" s="238" t="s">
        <v>516</v>
      </c>
      <c r="R255" s="238" t="s">
        <v>517</v>
      </c>
      <c r="S255" s="238" t="s">
        <v>518</v>
      </c>
      <c r="T255" s="238" t="s">
        <v>519</v>
      </c>
      <c r="U255" s="238" t="s">
        <v>550</v>
      </c>
      <c r="V255" s="238" t="s">
        <v>551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522</v>
      </c>
      <c r="M256" s="238" t="s">
        <v>523</v>
      </c>
      <c r="N256" s="238" t="s">
        <v>522</v>
      </c>
      <c r="O256" s="238" t="s">
        <v>523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524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525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526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527</v>
      </c>
      <c r="T271" s="259" t="s">
        <v>528</v>
      </c>
      <c r="U271" s="259"/>
      <c r="V271" s="259"/>
    </row>
    <row r="272" spans="1:22"/>
    <row r="273" spans="1:22"/>
    <row r="274" spans="1:22"/>
    <row r="275" spans="1:22" ht="12.75" customHeight="1">
      <c r="A275" s="431" t="s">
        <v>504</v>
      </c>
      <c r="B275" s="431"/>
      <c r="C275" s="436"/>
      <c r="D275" s="437"/>
      <c r="E275" s="437"/>
      <c r="F275" s="437"/>
      <c r="G275" s="437"/>
      <c r="H275" s="437"/>
      <c r="I275" s="437"/>
      <c r="J275" s="437"/>
      <c r="K275" s="437"/>
      <c r="L275" s="437"/>
      <c r="M275" s="437"/>
      <c r="N275" s="437"/>
      <c r="O275" s="437"/>
      <c r="P275" s="437"/>
      <c r="Q275" s="437"/>
      <c r="R275" s="437"/>
      <c r="S275" s="437"/>
      <c r="T275" s="438"/>
      <c r="U275" s="246"/>
      <c r="V275" s="246"/>
    </row>
    <row r="276" spans="1:22" ht="12.75" customHeight="1">
      <c r="A276" s="431" t="s">
        <v>530</v>
      </c>
      <c r="B276" s="431"/>
      <c r="C276" s="439"/>
      <c r="D276" s="439"/>
      <c r="E276" s="439"/>
      <c r="F276" s="439"/>
      <c r="G276" s="439"/>
      <c r="H276" s="440" t="s">
        <v>532</v>
      </c>
      <c r="I276" s="440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246"/>
      <c r="V276" s="246"/>
    </row>
    <row r="277" spans="1:22" ht="25.5" customHeight="1">
      <c r="A277" s="431" t="s">
        <v>533</v>
      </c>
      <c r="B277" s="431"/>
      <c r="C277" s="436"/>
      <c r="D277" s="438"/>
      <c r="E277" s="248" t="s">
        <v>535</v>
      </c>
      <c r="F277" s="441"/>
      <c r="G277" s="442"/>
      <c r="H277" s="442"/>
      <c r="I277" s="443"/>
      <c r="J277" s="248" t="s">
        <v>537</v>
      </c>
      <c r="K277" s="441"/>
      <c r="L277" s="442"/>
      <c r="M277" s="443"/>
      <c r="N277" s="247" t="s">
        <v>538</v>
      </c>
      <c r="O277" s="444"/>
      <c r="P277" s="445"/>
      <c r="Q277" s="445"/>
      <c r="R277" s="445"/>
      <c r="S277" s="445"/>
      <c r="T277" s="446"/>
      <c r="U277" s="260"/>
      <c r="V277" s="260"/>
    </row>
    <row r="278" spans="1:22" ht="38.25" customHeight="1">
      <c r="A278" s="238" t="s">
        <v>161</v>
      </c>
      <c r="B278" s="433" t="s">
        <v>539</v>
      </c>
      <c r="C278" s="433"/>
      <c r="D278" s="433"/>
      <c r="E278" s="239" t="s">
        <v>540</v>
      </c>
      <c r="F278" s="239" t="s">
        <v>541</v>
      </c>
      <c r="G278" s="238" t="s">
        <v>542</v>
      </c>
      <c r="H278" s="238" t="s">
        <v>543</v>
      </c>
      <c r="I278" s="238" t="s">
        <v>544</v>
      </c>
      <c r="J278" s="239" t="s">
        <v>545</v>
      </c>
      <c r="K278" s="239" t="s">
        <v>546</v>
      </c>
      <c r="L278" s="434" t="s">
        <v>547</v>
      </c>
      <c r="M278" s="435"/>
      <c r="N278" s="434" t="s">
        <v>548</v>
      </c>
      <c r="O278" s="435"/>
      <c r="P278" s="238" t="s">
        <v>549</v>
      </c>
      <c r="Q278" s="238" t="s">
        <v>516</v>
      </c>
      <c r="R278" s="238" t="s">
        <v>517</v>
      </c>
      <c r="S278" s="238" t="s">
        <v>518</v>
      </c>
      <c r="T278" s="238" t="s">
        <v>519</v>
      </c>
      <c r="U278" s="238" t="s">
        <v>550</v>
      </c>
      <c r="V278" s="238" t="s">
        <v>551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522</v>
      </c>
      <c r="M279" s="238" t="s">
        <v>523</v>
      </c>
      <c r="N279" s="238" t="s">
        <v>522</v>
      </c>
      <c r="O279" s="238" t="s">
        <v>523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524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525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526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527</v>
      </c>
      <c r="T294" s="259" t="s">
        <v>528</v>
      </c>
      <c r="U294" s="259"/>
      <c r="V294" s="259"/>
    </row>
    <row r="295" spans="1:22"/>
    <row r="296" spans="1:22"/>
    <row r="297" spans="1:22"/>
    <row r="298" spans="1:22" ht="12.75" customHeight="1">
      <c r="A298" s="431" t="s">
        <v>504</v>
      </c>
      <c r="B298" s="431"/>
      <c r="C298" s="436"/>
      <c r="D298" s="437"/>
      <c r="E298" s="437"/>
      <c r="F298" s="437"/>
      <c r="G298" s="437"/>
      <c r="H298" s="437"/>
      <c r="I298" s="437"/>
      <c r="J298" s="437"/>
      <c r="K298" s="437"/>
      <c r="L298" s="437"/>
      <c r="M298" s="437"/>
      <c r="N298" s="437"/>
      <c r="O298" s="437"/>
      <c r="P298" s="437"/>
      <c r="Q298" s="437"/>
      <c r="R298" s="437"/>
      <c r="S298" s="437"/>
      <c r="T298" s="438"/>
      <c r="U298" s="246"/>
      <c r="V298" s="246"/>
    </row>
    <row r="299" spans="1:22" ht="12.75" customHeight="1">
      <c r="A299" s="431" t="s">
        <v>530</v>
      </c>
      <c r="B299" s="431"/>
      <c r="C299" s="439"/>
      <c r="D299" s="439"/>
      <c r="E299" s="439"/>
      <c r="F299" s="439"/>
      <c r="G299" s="439"/>
      <c r="H299" s="440" t="s">
        <v>532</v>
      </c>
      <c r="I299" s="440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246"/>
      <c r="V299" s="246"/>
    </row>
    <row r="300" spans="1:22" ht="25.5" customHeight="1">
      <c r="A300" s="431" t="s">
        <v>533</v>
      </c>
      <c r="B300" s="431"/>
      <c r="C300" s="436"/>
      <c r="D300" s="438"/>
      <c r="E300" s="248" t="s">
        <v>535</v>
      </c>
      <c r="F300" s="441"/>
      <c r="G300" s="442"/>
      <c r="H300" s="442"/>
      <c r="I300" s="443"/>
      <c r="J300" s="248" t="s">
        <v>537</v>
      </c>
      <c r="K300" s="441"/>
      <c r="L300" s="442"/>
      <c r="M300" s="443"/>
      <c r="N300" s="247" t="s">
        <v>538</v>
      </c>
      <c r="O300" s="444"/>
      <c r="P300" s="445"/>
      <c r="Q300" s="445"/>
      <c r="R300" s="445"/>
      <c r="S300" s="445"/>
      <c r="T300" s="446"/>
      <c r="U300" s="260"/>
      <c r="V300" s="260"/>
    </row>
    <row r="301" spans="1:22" ht="38.25" customHeight="1">
      <c r="A301" s="238" t="s">
        <v>161</v>
      </c>
      <c r="B301" s="433" t="s">
        <v>539</v>
      </c>
      <c r="C301" s="433"/>
      <c r="D301" s="433"/>
      <c r="E301" s="239" t="s">
        <v>540</v>
      </c>
      <c r="F301" s="239" t="s">
        <v>541</v>
      </c>
      <c r="G301" s="238" t="s">
        <v>542</v>
      </c>
      <c r="H301" s="238" t="s">
        <v>543</v>
      </c>
      <c r="I301" s="238" t="s">
        <v>544</v>
      </c>
      <c r="J301" s="239" t="s">
        <v>545</v>
      </c>
      <c r="K301" s="239" t="s">
        <v>546</v>
      </c>
      <c r="L301" s="434" t="s">
        <v>547</v>
      </c>
      <c r="M301" s="435"/>
      <c r="N301" s="434" t="s">
        <v>548</v>
      </c>
      <c r="O301" s="435"/>
      <c r="P301" s="238" t="s">
        <v>549</v>
      </c>
      <c r="Q301" s="238" t="s">
        <v>516</v>
      </c>
      <c r="R301" s="238" t="s">
        <v>517</v>
      </c>
      <c r="S301" s="238" t="s">
        <v>518</v>
      </c>
      <c r="T301" s="238" t="s">
        <v>519</v>
      </c>
      <c r="U301" s="238" t="s">
        <v>550</v>
      </c>
      <c r="V301" s="238" t="s">
        <v>551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522</v>
      </c>
      <c r="M302" s="238" t="s">
        <v>523</v>
      </c>
      <c r="N302" s="238" t="s">
        <v>522</v>
      </c>
      <c r="O302" s="238" t="s">
        <v>523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524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525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526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527</v>
      </c>
      <c r="T317" s="259" t="s">
        <v>528</v>
      </c>
      <c r="U317" s="259"/>
      <c r="V317" s="259"/>
    </row>
    <row r="318" spans="1:22"/>
    <row r="319" spans="1:22"/>
    <row r="320" spans="1:22"/>
    <row r="321" spans="1:22" ht="12.75" customHeight="1">
      <c r="A321" s="431" t="s">
        <v>504</v>
      </c>
      <c r="B321" s="431"/>
      <c r="C321" s="436"/>
      <c r="D321" s="437"/>
      <c r="E321" s="437"/>
      <c r="F321" s="437"/>
      <c r="G321" s="437"/>
      <c r="H321" s="437"/>
      <c r="I321" s="437"/>
      <c r="J321" s="437"/>
      <c r="K321" s="437"/>
      <c r="L321" s="437"/>
      <c r="M321" s="437"/>
      <c r="N321" s="437"/>
      <c r="O321" s="437"/>
      <c r="P321" s="437"/>
      <c r="Q321" s="437"/>
      <c r="R321" s="437"/>
      <c r="S321" s="437"/>
      <c r="T321" s="438"/>
      <c r="U321" s="246"/>
      <c r="V321" s="246"/>
    </row>
    <row r="322" spans="1:22" ht="12.75" customHeight="1">
      <c r="A322" s="431" t="s">
        <v>530</v>
      </c>
      <c r="B322" s="431"/>
      <c r="C322" s="439"/>
      <c r="D322" s="439"/>
      <c r="E322" s="439"/>
      <c r="F322" s="439"/>
      <c r="G322" s="439"/>
      <c r="H322" s="440" t="s">
        <v>532</v>
      </c>
      <c r="I322" s="440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246"/>
      <c r="V322" s="246"/>
    </row>
    <row r="323" spans="1:22" ht="25.5" customHeight="1">
      <c r="A323" s="431" t="s">
        <v>533</v>
      </c>
      <c r="B323" s="431"/>
      <c r="C323" s="436"/>
      <c r="D323" s="438"/>
      <c r="E323" s="248" t="s">
        <v>535</v>
      </c>
      <c r="F323" s="441"/>
      <c r="G323" s="442"/>
      <c r="H323" s="442"/>
      <c r="I323" s="443"/>
      <c r="J323" s="248" t="s">
        <v>537</v>
      </c>
      <c r="K323" s="441"/>
      <c r="L323" s="442"/>
      <c r="M323" s="443"/>
      <c r="N323" s="247" t="s">
        <v>538</v>
      </c>
      <c r="O323" s="444"/>
      <c r="P323" s="445"/>
      <c r="Q323" s="445"/>
      <c r="R323" s="445"/>
      <c r="S323" s="445"/>
      <c r="T323" s="446"/>
      <c r="U323" s="260"/>
      <c r="V323" s="260"/>
    </row>
    <row r="324" spans="1:22" ht="38.25" customHeight="1">
      <c r="A324" s="238" t="s">
        <v>161</v>
      </c>
      <c r="B324" s="433" t="s">
        <v>539</v>
      </c>
      <c r="C324" s="433"/>
      <c r="D324" s="433"/>
      <c r="E324" s="239" t="s">
        <v>540</v>
      </c>
      <c r="F324" s="239" t="s">
        <v>541</v>
      </c>
      <c r="G324" s="238" t="s">
        <v>542</v>
      </c>
      <c r="H324" s="238" t="s">
        <v>543</v>
      </c>
      <c r="I324" s="238" t="s">
        <v>544</v>
      </c>
      <c r="J324" s="239" t="s">
        <v>545</v>
      </c>
      <c r="K324" s="239" t="s">
        <v>546</v>
      </c>
      <c r="L324" s="434" t="s">
        <v>547</v>
      </c>
      <c r="M324" s="435"/>
      <c r="N324" s="434" t="s">
        <v>548</v>
      </c>
      <c r="O324" s="435"/>
      <c r="P324" s="238" t="s">
        <v>549</v>
      </c>
      <c r="Q324" s="238" t="s">
        <v>516</v>
      </c>
      <c r="R324" s="238" t="s">
        <v>517</v>
      </c>
      <c r="S324" s="238" t="s">
        <v>518</v>
      </c>
      <c r="T324" s="238" t="s">
        <v>519</v>
      </c>
      <c r="U324" s="238" t="s">
        <v>550</v>
      </c>
      <c r="V324" s="238" t="s">
        <v>551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522</v>
      </c>
      <c r="M325" s="238" t="s">
        <v>523</v>
      </c>
      <c r="N325" s="238" t="s">
        <v>522</v>
      </c>
      <c r="O325" s="238" t="s">
        <v>523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524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525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526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527</v>
      </c>
      <c r="T340" s="259" t="s">
        <v>528</v>
      </c>
      <c r="U340" s="259"/>
      <c r="V340" s="259"/>
    </row>
    <row r="341" spans="1:22"/>
    <row r="342" spans="1:22"/>
    <row r="343" spans="1:22"/>
    <row r="344" spans="1:22" ht="12.75" customHeight="1">
      <c r="A344" s="431" t="s">
        <v>504</v>
      </c>
      <c r="B344" s="431"/>
      <c r="C344" s="436"/>
      <c r="D344" s="437"/>
      <c r="E344" s="437"/>
      <c r="F344" s="437"/>
      <c r="G344" s="437"/>
      <c r="H344" s="437"/>
      <c r="I344" s="437"/>
      <c r="J344" s="437"/>
      <c r="K344" s="437"/>
      <c r="L344" s="437"/>
      <c r="M344" s="437"/>
      <c r="N344" s="437"/>
      <c r="O344" s="437"/>
      <c r="P344" s="437"/>
      <c r="Q344" s="437"/>
      <c r="R344" s="437"/>
      <c r="S344" s="437"/>
      <c r="T344" s="438"/>
      <c r="U344" s="246"/>
      <c r="V344" s="246"/>
    </row>
    <row r="345" spans="1:22" ht="12.75" customHeight="1">
      <c r="A345" s="431" t="s">
        <v>530</v>
      </c>
      <c r="B345" s="431"/>
      <c r="C345" s="439"/>
      <c r="D345" s="439"/>
      <c r="E345" s="439"/>
      <c r="F345" s="439"/>
      <c r="G345" s="439"/>
      <c r="H345" s="440" t="s">
        <v>532</v>
      </c>
      <c r="I345" s="440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246"/>
      <c r="V345" s="246"/>
    </row>
    <row r="346" spans="1:22" ht="25.5" customHeight="1">
      <c r="A346" s="431" t="s">
        <v>533</v>
      </c>
      <c r="B346" s="431"/>
      <c r="C346" s="436"/>
      <c r="D346" s="438"/>
      <c r="E346" s="248" t="s">
        <v>535</v>
      </c>
      <c r="F346" s="441"/>
      <c r="G346" s="442"/>
      <c r="H346" s="442"/>
      <c r="I346" s="443"/>
      <c r="J346" s="248" t="s">
        <v>537</v>
      </c>
      <c r="K346" s="441"/>
      <c r="L346" s="442"/>
      <c r="M346" s="443"/>
      <c r="N346" s="247" t="s">
        <v>538</v>
      </c>
      <c r="O346" s="444"/>
      <c r="P346" s="445"/>
      <c r="Q346" s="445"/>
      <c r="R346" s="445"/>
      <c r="S346" s="445"/>
      <c r="T346" s="446"/>
      <c r="U346" s="260"/>
      <c r="V346" s="260"/>
    </row>
    <row r="347" spans="1:22" ht="38.25" customHeight="1">
      <c r="A347" s="238" t="s">
        <v>161</v>
      </c>
      <c r="B347" s="433" t="s">
        <v>539</v>
      </c>
      <c r="C347" s="433"/>
      <c r="D347" s="433"/>
      <c r="E347" s="239" t="s">
        <v>540</v>
      </c>
      <c r="F347" s="239" t="s">
        <v>541</v>
      </c>
      <c r="G347" s="238" t="s">
        <v>542</v>
      </c>
      <c r="H347" s="238" t="s">
        <v>543</v>
      </c>
      <c r="I347" s="238" t="s">
        <v>544</v>
      </c>
      <c r="J347" s="239" t="s">
        <v>545</v>
      </c>
      <c r="K347" s="239" t="s">
        <v>546</v>
      </c>
      <c r="L347" s="434" t="s">
        <v>547</v>
      </c>
      <c r="M347" s="435"/>
      <c r="N347" s="434" t="s">
        <v>548</v>
      </c>
      <c r="O347" s="435"/>
      <c r="P347" s="238" t="s">
        <v>549</v>
      </c>
      <c r="Q347" s="238" t="s">
        <v>516</v>
      </c>
      <c r="R347" s="238" t="s">
        <v>517</v>
      </c>
      <c r="S347" s="238" t="s">
        <v>518</v>
      </c>
      <c r="T347" s="238" t="s">
        <v>519</v>
      </c>
      <c r="U347" s="238" t="s">
        <v>550</v>
      </c>
      <c r="V347" s="238" t="s">
        <v>551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522</v>
      </c>
      <c r="M348" s="238" t="s">
        <v>523</v>
      </c>
      <c r="N348" s="238" t="s">
        <v>522</v>
      </c>
      <c r="O348" s="238" t="s">
        <v>523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524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525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526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527</v>
      </c>
      <c r="T363" s="259" t="s">
        <v>528</v>
      </c>
      <c r="U363" s="259"/>
      <c r="V363" s="259"/>
    </row>
    <row r="364" spans="1:22"/>
    <row r="365" spans="1:22"/>
    <row r="366" spans="1:22"/>
    <row r="367" spans="1:22" ht="12.75" customHeight="1">
      <c r="A367" s="431" t="s">
        <v>504</v>
      </c>
      <c r="B367" s="431"/>
      <c r="C367" s="436"/>
      <c r="D367" s="437"/>
      <c r="E367" s="437"/>
      <c r="F367" s="437"/>
      <c r="G367" s="437"/>
      <c r="H367" s="437"/>
      <c r="I367" s="437"/>
      <c r="J367" s="437"/>
      <c r="K367" s="437"/>
      <c r="L367" s="437"/>
      <c r="M367" s="437"/>
      <c r="N367" s="437"/>
      <c r="O367" s="437"/>
      <c r="P367" s="437"/>
      <c r="Q367" s="437"/>
      <c r="R367" s="437"/>
      <c r="S367" s="437"/>
      <c r="T367" s="438"/>
      <c r="U367" s="246"/>
      <c r="V367" s="246"/>
    </row>
    <row r="368" spans="1:22" ht="12.75" customHeight="1">
      <c r="A368" s="431" t="s">
        <v>530</v>
      </c>
      <c r="B368" s="431"/>
      <c r="C368" s="439"/>
      <c r="D368" s="439"/>
      <c r="E368" s="439"/>
      <c r="F368" s="439"/>
      <c r="G368" s="439"/>
      <c r="H368" s="440" t="s">
        <v>532</v>
      </c>
      <c r="I368" s="440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246"/>
      <c r="V368" s="246"/>
    </row>
    <row r="369" spans="1:22" ht="25.5" customHeight="1">
      <c r="A369" s="431" t="s">
        <v>533</v>
      </c>
      <c r="B369" s="431"/>
      <c r="C369" s="436"/>
      <c r="D369" s="438"/>
      <c r="E369" s="248" t="s">
        <v>535</v>
      </c>
      <c r="F369" s="441"/>
      <c r="G369" s="442"/>
      <c r="H369" s="442"/>
      <c r="I369" s="443"/>
      <c r="J369" s="248" t="s">
        <v>537</v>
      </c>
      <c r="K369" s="441"/>
      <c r="L369" s="442"/>
      <c r="M369" s="443"/>
      <c r="N369" s="247" t="s">
        <v>538</v>
      </c>
      <c r="O369" s="444"/>
      <c r="P369" s="445"/>
      <c r="Q369" s="445"/>
      <c r="R369" s="445"/>
      <c r="S369" s="445"/>
      <c r="T369" s="446"/>
      <c r="U369" s="260"/>
      <c r="V369" s="260"/>
    </row>
    <row r="370" spans="1:22" ht="38.25" customHeight="1">
      <c r="A370" s="238" t="s">
        <v>161</v>
      </c>
      <c r="B370" s="433" t="s">
        <v>539</v>
      </c>
      <c r="C370" s="433"/>
      <c r="D370" s="433"/>
      <c r="E370" s="239" t="s">
        <v>540</v>
      </c>
      <c r="F370" s="239" t="s">
        <v>541</v>
      </c>
      <c r="G370" s="238" t="s">
        <v>542</v>
      </c>
      <c r="H370" s="238" t="s">
        <v>543</v>
      </c>
      <c r="I370" s="238" t="s">
        <v>544</v>
      </c>
      <c r="J370" s="239" t="s">
        <v>545</v>
      </c>
      <c r="K370" s="239" t="s">
        <v>546</v>
      </c>
      <c r="L370" s="434" t="s">
        <v>547</v>
      </c>
      <c r="M370" s="435"/>
      <c r="N370" s="434" t="s">
        <v>548</v>
      </c>
      <c r="O370" s="435"/>
      <c r="P370" s="238" t="s">
        <v>549</v>
      </c>
      <c r="Q370" s="238" t="s">
        <v>516</v>
      </c>
      <c r="R370" s="238" t="s">
        <v>517</v>
      </c>
      <c r="S370" s="238" t="s">
        <v>518</v>
      </c>
      <c r="T370" s="238" t="s">
        <v>519</v>
      </c>
      <c r="U370" s="238" t="s">
        <v>550</v>
      </c>
      <c r="V370" s="238" t="s">
        <v>551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522</v>
      </c>
      <c r="M371" s="238" t="s">
        <v>523</v>
      </c>
      <c r="N371" s="238" t="s">
        <v>522</v>
      </c>
      <c r="O371" s="238" t="s">
        <v>523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524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525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526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527</v>
      </c>
      <c r="T386" s="259" t="s">
        <v>528</v>
      </c>
      <c r="U386" s="259"/>
      <c r="V386" s="259"/>
    </row>
    <row r="387" spans="1:22"/>
    <row r="388" spans="1:22"/>
    <row r="389" spans="1:22"/>
    <row r="390" spans="1:22" ht="12.75" customHeight="1">
      <c r="A390" s="431" t="s">
        <v>504</v>
      </c>
      <c r="B390" s="431"/>
      <c r="C390" s="436"/>
      <c r="D390" s="437"/>
      <c r="E390" s="437"/>
      <c r="F390" s="437"/>
      <c r="G390" s="437"/>
      <c r="H390" s="437"/>
      <c r="I390" s="437"/>
      <c r="J390" s="437"/>
      <c r="K390" s="437"/>
      <c r="L390" s="437"/>
      <c r="M390" s="437"/>
      <c r="N390" s="437"/>
      <c r="O390" s="437"/>
      <c r="P390" s="437"/>
      <c r="Q390" s="437"/>
      <c r="R390" s="437"/>
      <c r="S390" s="437"/>
      <c r="T390" s="438"/>
      <c r="U390" s="246"/>
      <c r="V390" s="246"/>
    </row>
    <row r="391" spans="1:22" ht="12.75" customHeight="1">
      <c r="A391" s="431" t="s">
        <v>530</v>
      </c>
      <c r="B391" s="431"/>
      <c r="C391" s="439"/>
      <c r="D391" s="439"/>
      <c r="E391" s="439"/>
      <c r="F391" s="439"/>
      <c r="G391" s="439"/>
      <c r="H391" s="440" t="s">
        <v>532</v>
      </c>
      <c r="I391" s="440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246"/>
      <c r="V391" s="246"/>
    </row>
    <row r="392" spans="1:22" ht="25.5" customHeight="1">
      <c r="A392" s="431" t="s">
        <v>533</v>
      </c>
      <c r="B392" s="431"/>
      <c r="C392" s="436"/>
      <c r="D392" s="438"/>
      <c r="E392" s="248" t="s">
        <v>535</v>
      </c>
      <c r="F392" s="441"/>
      <c r="G392" s="442"/>
      <c r="H392" s="442"/>
      <c r="I392" s="443"/>
      <c r="J392" s="248" t="s">
        <v>537</v>
      </c>
      <c r="K392" s="441"/>
      <c r="L392" s="442"/>
      <c r="M392" s="443"/>
      <c r="N392" s="247" t="s">
        <v>538</v>
      </c>
      <c r="O392" s="444"/>
      <c r="P392" s="445"/>
      <c r="Q392" s="445"/>
      <c r="R392" s="445"/>
      <c r="S392" s="445"/>
      <c r="T392" s="446"/>
      <c r="U392" s="260"/>
      <c r="V392" s="260"/>
    </row>
    <row r="393" spans="1:22" ht="38.25" customHeight="1">
      <c r="A393" s="238" t="s">
        <v>161</v>
      </c>
      <c r="B393" s="433" t="s">
        <v>539</v>
      </c>
      <c r="C393" s="433"/>
      <c r="D393" s="433"/>
      <c r="E393" s="239" t="s">
        <v>540</v>
      </c>
      <c r="F393" s="239" t="s">
        <v>541</v>
      </c>
      <c r="G393" s="238" t="s">
        <v>542</v>
      </c>
      <c r="H393" s="238" t="s">
        <v>543</v>
      </c>
      <c r="I393" s="238" t="s">
        <v>544</v>
      </c>
      <c r="J393" s="239" t="s">
        <v>545</v>
      </c>
      <c r="K393" s="239" t="s">
        <v>546</v>
      </c>
      <c r="L393" s="434" t="s">
        <v>547</v>
      </c>
      <c r="M393" s="435"/>
      <c r="N393" s="434" t="s">
        <v>548</v>
      </c>
      <c r="O393" s="435"/>
      <c r="P393" s="238" t="s">
        <v>549</v>
      </c>
      <c r="Q393" s="238" t="s">
        <v>516</v>
      </c>
      <c r="R393" s="238" t="s">
        <v>517</v>
      </c>
      <c r="S393" s="238" t="s">
        <v>518</v>
      </c>
      <c r="T393" s="238" t="s">
        <v>519</v>
      </c>
      <c r="U393" s="238" t="s">
        <v>550</v>
      </c>
      <c r="V393" s="238" t="s">
        <v>551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522</v>
      </c>
      <c r="M394" s="238" t="s">
        <v>523</v>
      </c>
      <c r="N394" s="238" t="s">
        <v>522</v>
      </c>
      <c r="O394" s="238" t="s">
        <v>523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524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525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526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527</v>
      </c>
      <c r="T409" s="259" t="s">
        <v>528</v>
      </c>
      <c r="U409" s="259"/>
      <c r="V409" s="259"/>
    </row>
    <row r="410" spans="1:22"/>
    <row r="411" spans="1:22"/>
    <row r="412" spans="1:22"/>
    <row r="413" spans="1:22" ht="12.75" customHeight="1">
      <c r="A413" s="431" t="s">
        <v>504</v>
      </c>
      <c r="B413" s="431"/>
      <c r="C413" s="436"/>
      <c r="D413" s="437"/>
      <c r="E413" s="437"/>
      <c r="F413" s="437"/>
      <c r="G413" s="437"/>
      <c r="H413" s="437"/>
      <c r="I413" s="437"/>
      <c r="J413" s="437"/>
      <c r="K413" s="437"/>
      <c r="L413" s="437"/>
      <c r="M413" s="437"/>
      <c r="N413" s="437"/>
      <c r="O413" s="437"/>
      <c r="P413" s="437"/>
      <c r="Q413" s="437"/>
      <c r="R413" s="437"/>
      <c r="S413" s="437"/>
      <c r="T413" s="438"/>
      <c r="U413" s="246"/>
      <c r="V413" s="246"/>
    </row>
    <row r="414" spans="1:22" ht="12.75" customHeight="1">
      <c r="A414" s="431" t="s">
        <v>530</v>
      </c>
      <c r="B414" s="431"/>
      <c r="C414" s="439"/>
      <c r="D414" s="439"/>
      <c r="E414" s="439"/>
      <c r="F414" s="439"/>
      <c r="G414" s="439"/>
      <c r="H414" s="440" t="s">
        <v>532</v>
      </c>
      <c r="I414" s="440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246"/>
      <c r="V414" s="246"/>
    </row>
    <row r="415" spans="1:22" ht="25.5" customHeight="1">
      <c r="A415" s="431" t="s">
        <v>533</v>
      </c>
      <c r="B415" s="431"/>
      <c r="C415" s="436"/>
      <c r="D415" s="438"/>
      <c r="E415" s="248" t="s">
        <v>535</v>
      </c>
      <c r="F415" s="441"/>
      <c r="G415" s="442"/>
      <c r="H415" s="442"/>
      <c r="I415" s="443"/>
      <c r="J415" s="248" t="s">
        <v>537</v>
      </c>
      <c r="K415" s="441"/>
      <c r="L415" s="442"/>
      <c r="M415" s="443"/>
      <c r="N415" s="247" t="s">
        <v>538</v>
      </c>
      <c r="O415" s="444"/>
      <c r="P415" s="445"/>
      <c r="Q415" s="445"/>
      <c r="R415" s="445"/>
      <c r="S415" s="445"/>
      <c r="T415" s="446"/>
      <c r="U415" s="260"/>
      <c r="V415" s="260"/>
    </row>
    <row r="416" spans="1:22" ht="38.25" customHeight="1">
      <c r="A416" s="238" t="s">
        <v>161</v>
      </c>
      <c r="B416" s="433" t="s">
        <v>539</v>
      </c>
      <c r="C416" s="433"/>
      <c r="D416" s="433"/>
      <c r="E416" s="239" t="s">
        <v>540</v>
      </c>
      <c r="F416" s="239" t="s">
        <v>541</v>
      </c>
      <c r="G416" s="238" t="s">
        <v>542</v>
      </c>
      <c r="H416" s="238" t="s">
        <v>543</v>
      </c>
      <c r="I416" s="238" t="s">
        <v>544</v>
      </c>
      <c r="J416" s="239" t="s">
        <v>545</v>
      </c>
      <c r="K416" s="239" t="s">
        <v>546</v>
      </c>
      <c r="L416" s="434" t="s">
        <v>547</v>
      </c>
      <c r="M416" s="435"/>
      <c r="N416" s="434" t="s">
        <v>548</v>
      </c>
      <c r="O416" s="435"/>
      <c r="P416" s="238" t="s">
        <v>549</v>
      </c>
      <c r="Q416" s="238" t="s">
        <v>516</v>
      </c>
      <c r="R416" s="238" t="s">
        <v>517</v>
      </c>
      <c r="S416" s="238" t="s">
        <v>518</v>
      </c>
      <c r="T416" s="238" t="s">
        <v>519</v>
      </c>
      <c r="U416" s="238" t="s">
        <v>550</v>
      </c>
      <c r="V416" s="238" t="s">
        <v>551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522</v>
      </c>
      <c r="M417" s="238" t="s">
        <v>523</v>
      </c>
      <c r="N417" s="238" t="s">
        <v>522</v>
      </c>
      <c r="O417" s="238" t="s">
        <v>523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524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525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526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527</v>
      </c>
      <c r="T432" s="259" t="s">
        <v>528</v>
      </c>
      <c r="U432" s="259"/>
      <c r="V432" s="259"/>
    </row>
    <row r="433" spans="1:22"/>
    <row r="434" spans="1:22"/>
    <row r="435" spans="1:22"/>
    <row r="436" spans="1:22" ht="12.75" customHeight="1">
      <c r="A436" s="431" t="s">
        <v>504</v>
      </c>
      <c r="B436" s="431"/>
      <c r="C436" s="436"/>
      <c r="D436" s="437"/>
      <c r="E436" s="437"/>
      <c r="F436" s="437"/>
      <c r="G436" s="437"/>
      <c r="H436" s="437"/>
      <c r="I436" s="437"/>
      <c r="J436" s="437"/>
      <c r="K436" s="437"/>
      <c r="L436" s="437"/>
      <c r="M436" s="437"/>
      <c r="N436" s="437"/>
      <c r="O436" s="437"/>
      <c r="P436" s="437"/>
      <c r="Q436" s="437"/>
      <c r="R436" s="437"/>
      <c r="S436" s="437"/>
      <c r="T436" s="438"/>
      <c r="U436" s="246"/>
      <c r="V436" s="246"/>
    </row>
    <row r="437" spans="1:22" ht="12.75" customHeight="1">
      <c r="A437" s="431" t="s">
        <v>530</v>
      </c>
      <c r="B437" s="431"/>
      <c r="C437" s="439"/>
      <c r="D437" s="439"/>
      <c r="E437" s="439"/>
      <c r="F437" s="439"/>
      <c r="G437" s="439"/>
      <c r="H437" s="440" t="s">
        <v>532</v>
      </c>
      <c r="I437" s="440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246"/>
      <c r="V437" s="246"/>
    </row>
    <row r="438" spans="1:22" ht="25.5" customHeight="1">
      <c r="A438" s="431" t="s">
        <v>533</v>
      </c>
      <c r="B438" s="431"/>
      <c r="C438" s="436"/>
      <c r="D438" s="438"/>
      <c r="E438" s="248" t="s">
        <v>535</v>
      </c>
      <c r="F438" s="441"/>
      <c r="G438" s="442"/>
      <c r="H438" s="442"/>
      <c r="I438" s="443"/>
      <c r="J438" s="248" t="s">
        <v>537</v>
      </c>
      <c r="K438" s="441"/>
      <c r="L438" s="442"/>
      <c r="M438" s="443"/>
      <c r="N438" s="247" t="s">
        <v>538</v>
      </c>
      <c r="O438" s="444"/>
      <c r="P438" s="445"/>
      <c r="Q438" s="445"/>
      <c r="R438" s="445"/>
      <c r="S438" s="445"/>
      <c r="T438" s="446"/>
      <c r="U438" s="260"/>
      <c r="V438" s="260"/>
    </row>
    <row r="439" spans="1:22" ht="38.25" customHeight="1">
      <c r="A439" s="238" t="s">
        <v>161</v>
      </c>
      <c r="B439" s="433" t="s">
        <v>539</v>
      </c>
      <c r="C439" s="433"/>
      <c r="D439" s="433"/>
      <c r="E439" s="239" t="s">
        <v>540</v>
      </c>
      <c r="F439" s="239" t="s">
        <v>541</v>
      </c>
      <c r="G439" s="238" t="s">
        <v>542</v>
      </c>
      <c r="H439" s="238" t="s">
        <v>543</v>
      </c>
      <c r="I439" s="238" t="s">
        <v>544</v>
      </c>
      <c r="J439" s="239" t="s">
        <v>545</v>
      </c>
      <c r="K439" s="239" t="s">
        <v>546</v>
      </c>
      <c r="L439" s="434" t="s">
        <v>547</v>
      </c>
      <c r="M439" s="435"/>
      <c r="N439" s="434" t="s">
        <v>548</v>
      </c>
      <c r="O439" s="435"/>
      <c r="P439" s="238" t="s">
        <v>549</v>
      </c>
      <c r="Q439" s="238" t="s">
        <v>516</v>
      </c>
      <c r="R439" s="238" t="s">
        <v>517</v>
      </c>
      <c r="S439" s="238" t="s">
        <v>518</v>
      </c>
      <c r="T439" s="238" t="s">
        <v>519</v>
      </c>
      <c r="U439" s="238" t="s">
        <v>550</v>
      </c>
      <c r="V439" s="238" t="s">
        <v>551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522</v>
      </c>
      <c r="M440" s="238" t="s">
        <v>523</v>
      </c>
      <c r="N440" s="238" t="s">
        <v>522</v>
      </c>
      <c r="O440" s="238" t="s">
        <v>523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524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525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526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527</v>
      </c>
      <c r="T455" s="259" t="s">
        <v>528</v>
      </c>
      <c r="U455" s="259"/>
      <c r="V455" s="259"/>
    </row>
    <row r="456" spans="1:22"/>
    <row r="457" spans="1:22"/>
    <row r="458" spans="1:22"/>
    <row r="459" spans="1:22" ht="12.75" customHeight="1">
      <c r="A459" s="431" t="s">
        <v>504</v>
      </c>
      <c r="B459" s="431"/>
      <c r="C459" s="436"/>
      <c r="D459" s="437"/>
      <c r="E459" s="437"/>
      <c r="F459" s="437"/>
      <c r="G459" s="437"/>
      <c r="H459" s="437"/>
      <c r="I459" s="437"/>
      <c r="J459" s="437"/>
      <c r="K459" s="437"/>
      <c r="L459" s="437"/>
      <c r="M459" s="437"/>
      <c r="N459" s="437"/>
      <c r="O459" s="437"/>
      <c r="P459" s="437"/>
      <c r="Q459" s="437"/>
      <c r="R459" s="437"/>
      <c r="S459" s="437"/>
      <c r="T459" s="438"/>
      <c r="U459" s="246"/>
      <c r="V459" s="246"/>
    </row>
    <row r="460" spans="1:22" ht="12.75" customHeight="1">
      <c r="A460" s="431" t="s">
        <v>530</v>
      </c>
      <c r="B460" s="431"/>
      <c r="C460" s="439"/>
      <c r="D460" s="439"/>
      <c r="E460" s="439"/>
      <c r="F460" s="439"/>
      <c r="G460" s="439"/>
      <c r="H460" s="440" t="s">
        <v>532</v>
      </c>
      <c r="I460" s="440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246"/>
      <c r="V460" s="246"/>
    </row>
    <row r="461" spans="1:22" ht="25.5" customHeight="1">
      <c r="A461" s="431" t="s">
        <v>533</v>
      </c>
      <c r="B461" s="431"/>
      <c r="C461" s="436"/>
      <c r="D461" s="438"/>
      <c r="E461" s="248" t="s">
        <v>535</v>
      </c>
      <c r="F461" s="441"/>
      <c r="G461" s="442"/>
      <c r="H461" s="442"/>
      <c r="I461" s="443"/>
      <c r="J461" s="248" t="s">
        <v>537</v>
      </c>
      <c r="K461" s="441"/>
      <c r="L461" s="442"/>
      <c r="M461" s="443"/>
      <c r="N461" s="247" t="s">
        <v>538</v>
      </c>
      <c r="O461" s="444"/>
      <c r="P461" s="445"/>
      <c r="Q461" s="445"/>
      <c r="R461" s="445"/>
      <c r="S461" s="445"/>
      <c r="T461" s="446"/>
      <c r="U461" s="260"/>
      <c r="V461" s="260"/>
    </row>
    <row r="462" spans="1:22" ht="38.25" customHeight="1">
      <c r="A462" s="238" t="s">
        <v>161</v>
      </c>
      <c r="B462" s="433" t="s">
        <v>539</v>
      </c>
      <c r="C462" s="433"/>
      <c r="D462" s="433"/>
      <c r="E462" s="239" t="s">
        <v>540</v>
      </c>
      <c r="F462" s="239" t="s">
        <v>541</v>
      </c>
      <c r="G462" s="238" t="s">
        <v>542</v>
      </c>
      <c r="H462" s="238" t="s">
        <v>543</v>
      </c>
      <c r="I462" s="238" t="s">
        <v>544</v>
      </c>
      <c r="J462" s="239" t="s">
        <v>545</v>
      </c>
      <c r="K462" s="239" t="s">
        <v>546</v>
      </c>
      <c r="L462" s="434" t="s">
        <v>547</v>
      </c>
      <c r="M462" s="435"/>
      <c r="N462" s="434" t="s">
        <v>548</v>
      </c>
      <c r="O462" s="435"/>
      <c r="P462" s="238" t="s">
        <v>549</v>
      </c>
      <c r="Q462" s="238" t="s">
        <v>516</v>
      </c>
      <c r="R462" s="238" t="s">
        <v>517</v>
      </c>
      <c r="S462" s="238" t="s">
        <v>518</v>
      </c>
      <c r="T462" s="238" t="s">
        <v>519</v>
      </c>
      <c r="U462" s="238" t="s">
        <v>550</v>
      </c>
      <c r="V462" s="238" t="s">
        <v>551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522</v>
      </c>
      <c r="M463" s="238" t="s">
        <v>523</v>
      </c>
      <c r="N463" s="238" t="s">
        <v>522</v>
      </c>
      <c r="O463" s="238" t="s">
        <v>523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524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525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526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527</v>
      </c>
      <c r="T478" s="259" t="s">
        <v>528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54" t="s">
        <v>5</v>
      </c>
      <c r="B1" s="454" t="s">
        <v>552</v>
      </c>
      <c r="C1" s="454" t="s">
        <v>553</v>
      </c>
      <c r="D1" s="456" t="s">
        <v>554</v>
      </c>
      <c r="E1" s="456" t="s">
        <v>555</v>
      </c>
      <c r="F1" s="458" t="s">
        <v>556</v>
      </c>
      <c r="G1" s="454" t="s">
        <v>29</v>
      </c>
      <c r="H1" s="454" t="s">
        <v>557</v>
      </c>
      <c r="I1" s="454" t="s">
        <v>558</v>
      </c>
      <c r="J1" s="454" t="s">
        <v>559</v>
      </c>
      <c r="K1" s="454" t="s">
        <v>560</v>
      </c>
      <c r="L1" s="454" t="s">
        <v>561</v>
      </c>
      <c r="M1" s="454" t="s">
        <v>562</v>
      </c>
      <c r="N1" s="454" t="s">
        <v>563</v>
      </c>
      <c r="O1" s="454" t="s">
        <v>564</v>
      </c>
      <c r="P1" s="454" t="s">
        <v>565</v>
      </c>
      <c r="Q1" s="454" t="s">
        <v>566</v>
      </c>
      <c r="R1" s="447" t="s">
        <v>567</v>
      </c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9"/>
    </row>
    <row r="2" spans="1:29" ht="42" customHeight="1">
      <c r="A2" s="455"/>
      <c r="B2" s="455"/>
      <c r="C2" s="455"/>
      <c r="D2" s="457"/>
      <c r="E2" s="457"/>
      <c r="F2" s="459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0" t="s">
        <v>568</v>
      </c>
      <c r="M103" s="451"/>
      <c r="N103" s="236">
        <f>SUM(P3:P102)</f>
        <v>0</v>
      </c>
      <c r="O103" s="237"/>
      <c r="P103" s="237"/>
    </row>
    <row r="104" spans="1:29">
      <c r="L104" s="452" t="s">
        <v>569</v>
      </c>
      <c r="M104" s="453"/>
      <c r="N104" s="236">
        <f>SUM(N3:N102)</f>
        <v>0</v>
      </c>
      <c r="O104" s="237"/>
      <c r="P104" s="237"/>
    </row>
    <row r="105" spans="1:29">
      <c r="L105" s="452" t="s">
        <v>570</v>
      </c>
      <c r="M105" s="453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M1:M2"/>
    <mergeCell ref="N1:N2"/>
    <mergeCell ref="O1:O2"/>
    <mergeCell ref="P1:P2"/>
    <mergeCell ref="Q1:Q2"/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69</v>
      </c>
      <c r="C2" s="460">
        <f>BasicInput!$D$27</f>
        <v>3000000</v>
      </c>
      <c r="D2" s="460"/>
      <c r="E2" s="460"/>
      <c r="F2" s="460"/>
      <c r="G2" s="460"/>
    </row>
    <row r="3" spans="2:7">
      <c r="B3" s="202" t="s">
        <v>70</v>
      </c>
      <c r="C3" s="461">
        <f>BasicInput!$F$27</f>
        <v>12</v>
      </c>
      <c r="D3" s="462"/>
      <c r="E3" s="462"/>
      <c r="F3" s="462"/>
      <c r="G3" s="462"/>
    </row>
    <row r="4" spans="2:7">
      <c r="B4" s="202" t="s">
        <v>71</v>
      </c>
      <c r="C4" s="463">
        <f>BasicInput!$E$27</f>
        <v>240</v>
      </c>
      <c r="D4" s="462"/>
      <c r="E4" s="462"/>
      <c r="F4" s="462"/>
      <c r="G4" s="462"/>
    </row>
    <row r="5" spans="2:7" ht="12" customHeight="1"/>
    <row r="6" spans="2:7">
      <c r="B6" s="202" t="s">
        <v>73</v>
      </c>
      <c r="C6" s="464" t="s">
        <v>32</v>
      </c>
      <c r="D6" s="465"/>
      <c r="E6" s="465"/>
      <c r="F6" s="465"/>
      <c r="G6" s="466"/>
    </row>
    <row r="7" spans="2:7">
      <c r="B7" s="203" t="s">
        <v>74</v>
      </c>
      <c r="C7" s="467" t="s">
        <v>75</v>
      </c>
      <c r="D7" s="467"/>
      <c r="E7" s="467"/>
      <c r="F7" s="468"/>
      <c r="G7" s="469"/>
    </row>
    <row r="8" spans="2:7">
      <c r="B8" s="204" t="s">
        <v>76</v>
      </c>
      <c r="C8" s="460">
        <f>BasicInput!$I$39</f>
        <v>0</v>
      </c>
      <c r="D8" s="460"/>
      <c r="E8" s="460"/>
      <c r="F8" s="460"/>
      <c r="G8" s="460"/>
    </row>
    <row r="9" spans="2:7">
      <c r="B9" s="204" t="s">
        <v>77</v>
      </c>
      <c r="C9" s="460">
        <f>BasicInput!$J$39</f>
        <v>0</v>
      </c>
      <c r="D9" s="460"/>
      <c r="E9" s="460"/>
      <c r="F9" s="460"/>
      <c r="G9" s="460"/>
    </row>
    <row r="10" spans="2:7">
      <c r="B10" s="204" t="s">
        <v>571</v>
      </c>
      <c r="C10" s="470"/>
      <c r="D10" s="471"/>
      <c r="E10" s="471"/>
      <c r="F10" s="471"/>
      <c r="G10" s="472"/>
    </row>
    <row r="11" spans="2:7">
      <c r="B11" s="204" t="s">
        <v>78</v>
      </c>
      <c r="C11" s="473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74"/>
      <c r="E11" s="474"/>
      <c r="F11" s="474"/>
      <c r="G11" s="475"/>
    </row>
    <row r="12" spans="2:7" ht="12" customHeight="1"/>
    <row r="13" spans="2:7">
      <c r="B13" s="203" t="s">
        <v>79</v>
      </c>
      <c r="C13" s="467" t="s">
        <v>75</v>
      </c>
      <c r="D13" s="467"/>
      <c r="E13" s="467"/>
      <c r="F13" s="468"/>
      <c r="G13" s="469"/>
    </row>
    <row r="14" spans="2:7">
      <c r="B14" s="204" t="s">
        <v>572</v>
      </c>
      <c r="C14" s="460">
        <f>'ExistingLoans&amp;Facilities&amp;RTR'!$N$103</f>
        <v>0</v>
      </c>
      <c r="D14" s="460"/>
      <c r="E14" s="460"/>
      <c r="F14" s="460"/>
      <c r="G14" s="460"/>
    </row>
    <row r="15" spans="2:7">
      <c r="B15" s="204" t="s">
        <v>81</v>
      </c>
      <c r="C15" s="460">
        <f>'ExistingLoans&amp;Facilities&amp;RTR'!$N$105</f>
        <v>0</v>
      </c>
      <c r="D15" s="460"/>
      <c r="E15" s="460"/>
      <c r="F15" s="460"/>
      <c r="G15" s="460"/>
    </row>
    <row r="16" spans="2:7" ht="12" customHeight="1"/>
    <row r="17" spans="2:11">
      <c r="B17" s="476" t="s">
        <v>82</v>
      </c>
      <c r="C17" s="476"/>
      <c r="D17" s="476"/>
      <c r="E17" s="476"/>
      <c r="F17" s="476"/>
      <c r="G17" s="476"/>
    </row>
    <row r="18" spans="2:11">
      <c r="B18" s="205" t="s">
        <v>83</v>
      </c>
      <c r="C18" s="206" t="s">
        <v>84</v>
      </c>
      <c r="D18" s="206" t="s">
        <v>87</v>
      </c>
      <c r="E18" s="206" t="s">
        <v>85</v>
      </c>
      <c r="F18" s="206" t="s">
        <v>86</v>
      </c>
      <c r="G18" s="206" t="s">
        <v>88</v>
      </c>
    </row>
    <row r="19" spans="2:11">
      <c r="B19" s="477" t="s">
        <v>573</v>
      </c>
      <c r="C19" s="477"/>
      <c r="D19" s="477"/>
      <c r="E19" s="477"/>
      <c r="F19" s="477"/>
      <c r="G19" s="477"/>
    </row>
    <row r="20" spans="2:11">
      <c r="B20" s="204" t="s">
        <v>97</v>
      </c>
      <c r="C20" s="207">
        <v>1</v>
      </c>
      <c r="D20" s="208" t="s">
        <v>100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7" t="s">
        <v>574</v>
      </c>
      <c r="C21" s="477"/>
      <c r="D21" s="477"/>
      <c r="E21" s="477"/>
      <c r="F21" s="477"/>
      <c r="G21" s="477"/>
    </row>
    <row r="22" spans="2:11">
      <c r="B22" s="204" t="s">
        <v>575</v>
      </c>
      <c r="C22" s="207">
        <v>1</v>
      </c>
      <c r="D22" s="208" t="s">
        <v>100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94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576</v>
      </c>
      <c r="C23" s="207">
        <v>1</v>
      </c>
      <c r="D23" s="208" t="s">
        <v>100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95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577</v>
      </c>
      <c r="C24" s="207">
        <v>1</v>
      </c>
      <c r="D24" s="208" t="s">
        <v>100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95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578</v>
      </c>
      <c r="C25" s="207">
        <v>1</v>
      </c>
      <c r="D25" s="208" t="s">
        <v>100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96"/>
      <c r="J25" s="201">
        <f>IF(D25="Monthly",C25*E25*12,C25*E25)</f>
        <v>0</v>
      </c>
      <c r="K25" s="201">
        <f>IF(D25="Monthly",C25*F25*12,C25*F25)</f>
        <v>0</v>
      </c>
    </row>
    <row r="26" spans="2:11">
      <c r="B26" s="477" t="s">
        <v>107</v>
      </c>
      <c r="C26" s="477"/>
      <c r="D26" s="477"/>
      <c r="E26" s="477"/>
      <c r="F26" s="477"/>
      <c r="G26" s="477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108</v>
      </c>
      <c r="C27" s="207">
        <v>1</v>
      </c>
      <c r="D27" s="208" t="s">
        <v>100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109</v>
      </c>
      <c r="C28" s="207">
        <v>1</v>
      </c>
      <c r="D28" s="208" t="s">
        <v>100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110</v>
      </c>
      <c r="C29" s="207">
        <v>0.5</v>
      </c>
      <c r="D29" s="208" t="s">
        <v>100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111</v>
      </c>
      <c r="C30" s="207">
        <v>1</v>
      </c>
      <c r="D30" s="208" t="s">
        <v>100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107</v>
      </c>
      <c r="C31" s="207">
        <v>1</v>
      </c>
      <c r="D31" s="208" t="s">
        <v>100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8" t="s">
        <v>579</v>
      </c>
      <c r="C32" s="478"/>
      <c r="D32" s="478"/>
      <c r="E32" s="478"/>
      <c r="F32" s="478"/>
      <c r="G32" s="478"/>
    </row>
    <row r="33" spans="2:7" ht="12" customHeight="1">
      <c r="B33" s="479" t="s">
        <v>113</v>
      </c>
      <c r="C33" s="480"/>
      <c r="D33" s="480"/>
      <c r="E33" s="480"/>
      <c r="F33" s="480"/>
      <c r="G33" s="481"/>
    </row>
    <row r="34" spans="2:7">
      <c r="B34" s="204" t="s">
        <v>114</v>
      </c>
      <c r="C34" s="210">
        <v>1</v>
      </c>
      <c r="D34" s="208" t="s">
        <v>100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115</v>
      </c>
      <c r="C35" s="210">
        <v>1</v>
      </c>
      <c r="D35" s="208" t="s">
        <v>100</v>
      </c>
      <c r="E35" s="211"/>
      <c r="F35" s="211"/>
      <c r="G35" s="209">
        <f>IF(D35="Monthly",AVERAGE(C35*F35*12,C35*E35*12),AVERAGE(C35*F35,C35*E35))</f>
        <v>0</v>
      </c>
    </row>
    <row r="36" spans="2:7">
      <c r="B36" s="479" t="s">
        <v>580</v>
      </c>
      <c r="C36" s="480"/>
      <c r="D36" s="480"/>
      <c r="E36" s="480"/>
      <c r="F36" s="481"/>
      <c r="G36" s="212">
        <f>IF(SUM(G27:G31)&gt;SUM(G22,G20),SUM(G20,G22,G22,G20,G34:G35),SUM(G20,G22,G27:G31,G34:G35))</f>
        <v>0</v>
      </c>
    </row>
    <row r="37" spans="2:7">
      <c r="B37" s="482" t="s">
        <v>581</v>
      </c>
      <c r="C37" s="483"/>
      <c r="D37" s="483"/>
      <c r="E37" s="483"/>
      <c r="F37" s="483"/>
      <c r="G37" s="484"/>
    </row>
    <row r="38" spans="2:7" ht="12" customHeight="1"/>
    <row r="39" spans="2:7">
      <c r="B39" s="476" t="s">
        <v>118</v>
      </c>
      <c r="C39" s="476"/>
      <c r="D39" s="476"/>
      <c r="E39" s="476"/>
      <c r="F39" s="476"/>
      <c r="G39" s="476"/>
    </row>
    <row r="40" spans="2:7" ht="2.25" customHeight="1">
      <c r="B40" s="486"/>
      <c r="C40" s="487"/>
      <c r="D40" s="487"/>
      <c r="E40" s="487"/>
      <c r="F40" s="487"/>
      <c r="G40" s="488"/>
    </row>
    <row r="41" spans="2:7">
      <c r="B41" s="204" t="s">
        <v>119</v>
      </c>
      <c r="C41" s="489">
        <f>G36/12</f>
        <v>0</v>
      </c>
      <c r="D41" s="490"/>
      <c r="E41" s="490"/>
      <c r="F41" s="490"/>
      <c r="G41" s="490"/>
    </row>
    <row r="42" spans="2:7">
      <c r="B42" s="204" t="s">
        <v>120</v>
      </c>
      <c r="C42" s="485">
        <v>0.8</v>
      </c>
      <c r="D42" s="485"/>
      <c r="E42" s="485"/>
      <c r="F42" s="485"/>
      <c r="G42" s="485"/>
    </row>
    <row r="43" spans="2:7">
      <c r="B43" s="204" t="s">
        <v>582</v>
      </c>
      <c r="C43" s="490">
        <f>C14</f>
        <v>0</v>
      </c>
      <c r="D43" s="490"/>
      <c r="E43" s="490"/>
      <c r="F43" s="490"/>
      <c r="G43" s="490"/>
    </row>
    <row r="44" spans="2:7">
      <c r="B44" s="204" t="s">
        <v>122</v>
      </c>
      <c r="C44" s="490">
        <f>(C41*C42)-C43</f>
        <v>0</v>
      </c>
      <c r="D44" s="490"/>
      <c r="E44" s="490"/>
      <c r="F44" s="490"/>
      <c r="G44" s="490"/>
    </row>
    <row r="45" spans="2:7">
      <c r="B45" s="213" t="s">
        <v>583</v>
      </c>
      <c r="C45" s="498" t="str">
        <f>IF(C44&lt;=0,"Case Not Eligible",(C44/(PMT(C3/12,C4,-100000)))*100000)</f>
        <v>Case Not Eligible</v>
      </c>
      <c r="D45" s="498"/>
      <c r="E45" s="498"/>
      <c r="F45" s="498"/>
      <c r="G45" s="498"/>
    </row>
    <row r="46" spans="2:7" ht="2.25" customHeight="1">
      <c r="B46" s="486"/>
      <c r="C46" s="487"/>
      <c r="D46" s="487"/>
      <c r="E46" s="487"/>
      <c r="F46" s="487"/>
      <c r="G46" s="488"/>
    </row>
    <row r="47" spans="2:7">
      <c r="B47" s="204" t="s">
        <v>124</v>
      </c>
      <c r="C47" s="499">
        <f>+C11</f>
        <v>0</v>
      </c>
      <c r="D47" s="499"/>
      <c r="E47" s="499"/>
      <c r="F47" s="499"/>
      <c r="G47" s="499"/>
    </row>
    <row r="48" spans="2:7">
      <c r="B48" s="204" t="s">
        <v>125</v>
      </c>
      <c r="C48" s="485">
        <f>IF(C6="LAP-Resi",70%,IF(C6="LAP-Resi (Vacant)",65%,IF(C6="LAP-Comm",60%,IF(C6="LAP-Comm (Vacant)",55%,IF(C6="Commerical Purchase",65%,IF(C6="Home Loan",80%,IF(C6="Industrial Property",50%,0)))))))</f>
        <v>0.8</v>
      </c>
      <c r="D48" s="485"/>
      <c r="E48" s="485"/>
      <c r="F48" s="485"/>
      <c r="G48" s="485"/>
    </row>
    <row r="49" spans="2:7">
      <c r="B49" s="213" t="s">
        <v>126</v>
      </c>
      <c r="C49" s="498" t="s">
        <v>584</v>
      </c>
      <c r="D49" s="498"/>
      <c r="E49" s="498"/>
      <c r="F49" s="498"/>
      <c r="G49" s="498"/>
    </row>
    <row r="50" spans="2:7" ht="2.25" customHeight="1">
      <c r="B50" s="486"/>
      <c r="C50" s="487"/>
      <c r="D50" s="487"/>
      <c r="E50" s="487"/>
      <c r="F50" s="487"/>
      <c r="G50" s="488"/>
    </row>
    <row r="51" spans="2:7">
      <c r="B51" s="213" t="s">
        <v>127</v>
      </c>
      <c r="C51" s="498" t="str">
        <f>IF(C45="Case Not Eligible","Case Not Eligible",IF(C49=0,MIN(C45,C2),MIN(C45,C49,C2)))</f>
        <v>Case Not Eligible</v>
      </c>
      <c r="D51" s="498"/>
      <c r="E51" s="498"/>
      <c r="F51" s="498"/>
      <c r="G51" s="498"/>
    </row>
    <row r="52" spans="2:7">
      <c r="B52" s="204" t="s">
        <v>128</v>
      </c>
      <c r="C52" s="499" t="str">
        <f>IF(C51="Case Not Eligible","Case Not Eligible",PMT(C3/12,C4,-C51))</f>
        <v>Case Not Eligible</v>
      </c>
      <c r="D52" s="499"/>
      <c r="E52" s="499"/>
      <c r="F52" s="499"/>
      <c r="G52" s="499"/>
    </row>
    <row r="53" spans="2:7" ht="2.25" customHeight="1">
      <c r="B53" s="486"/>
      <c r="C53" s="487"/>
      <c r="D53" s="487"/>
      <c r="E53" s="487"/>
      <c r="F53" s="487"/>
      <c r="G53" s="488"/>
    </row>
    <row r="54" spans="2:7">
      <c r="B54" s="204" t="s">
        <v>129</v>
      </c>
      <c r="C54" s="485" t="e">
        <f>SUM(PMT(C3/12,C4,-C2),C43)/C41</f>
        <v>#DIV/0!</v>
      </c>
      <c r="D54" s="485"/>
      <c r="E54" s="485"/>
      <c r="F54" s="485"/>
      <c r="G54" s="485"/>
    </row>
    <row r="55" spans="2:7">
      <c r="B55" s="204" t="s">
        <v>130</v>
      </c>
      <c r="C55" s="485" t="e">
        <f>C2/C47</f>
        <v>#DIV/0!</v>
      </c>
      <c r="D55" s="485"/>
      <c r="E55" s="485"/>
      <c r="F55" s="485"/>
      <c r="G55" s="485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585</v>
      </c>
      <c r="C57" s="497" t="e">
        <f>IF(((SUM(F22:F25)-SUM(E22:E25))/SUM(E22:E25))&gt;=-20%,"No Deviation","Deviation Approval required")</f>
        <v>#DIV/0!</v>
      </c>
      <c r="D57" s="497"/>
      <c r="E57" s="497"/>
      <c r="F57" s="497"/>
      <c r="G57" s="497"/>
    </row>
    <row r="58" spans="2:7" ht="12" customHeight="1">
      <c r="B58" s="215" t="s">
        <v>586</v>
      </c>
      <c r="C58" s="497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97"/>
      <c r="E58" s="497"/>
      <c r="F58" s="497"/>
      <c r="G58" s="497"/>
    </row>
    <row r="59" spans="2:7" ht="12.75" customHeight="1">
      <c r="B59" s="215" t="s">
        <v>587</v>
      </c>
      <c r="C59" s="497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97"/>
      <c r="E59" s="497"/>
      <c r="F59" s="497"/>
      <c r="G59" s="497"/>
    </row>
    <row r="60" spans="2:7" ht="12" customHeight="1">
      <c r="B60" s="215" t="s">
        <v>588</v>
      </c>
      <c r="C60" s="491" t="str">
        <f>IF(C2&gt;100000000,"Offering Under this Program for the Applied Loan Amount is Not Permitted"," No Deviation ")</f>
        <v xml:space="preserve"> No Deviation </v>
      </c>
      <c r="D60" s="492"/>
      <c r="E60" s="492"/>
      <c r="F60" s="492"/>
      <c r="G60" s="493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  <mergeCell ref="C48:G48"/>
    <mergeCell ref="B39:G39"/>
    <mergeCell ref="B40:G40"/>
    <mergeCell ref="C41:G41"/>
    <mergeCell ref="C42:G42"/>
    <mergeCell ref="C43:G43"/>
    <mergeCell ref="B26:G26"/>
    <mergeCell ref="B32:G32"/>
    <mergeCell ref="B33:G33"/>
    <mergeCell ref="B36:F36"/>
    <mergeCell ref="B37:G37"/>
    <mergeCell ref="C14:G14"/>
    <mergeCell ref="C15:G15"/>
    <mergeCell ref="B17:G17"/>
    <mergeCell ref="B19:G19"/>
    <mergeCell ref="B21:G21"/>
    <mergeCell ref="C8:G8"/>
    <mergeCell ref="C9:G9"/>
    <mergeCell ref="C10:G10"/>
    <mergeCell ref="C11:G11"/>
    <mergeCell ref="C13:G13"/>
    <mergeCell ref="C2:G2"/>
    <mergeCell ref="C3:G3"/>
    <mergeCell ref="C4:G4"/>
    <mergeCell ref="C6:G6"/>
    <mergeCell ref="C7:G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589</v>
      </c>
      <c r="B1" s="500" t="s">
        <v>2044</v>
      </c>
      <c r="C1" s="500"/>
      <c r="D1" s="500"/>
      <c r="E1" s="500"/>
      <c r="H1" s="501" t="s">
        <v>590</v>
      </c>
      <c r="I1" s="501"/>
      <c r="J1" s="501"/>
      <c r="K1" s="501"/>
      <c r="L1" s="501"/>
    </row>
    <row r="2" spans="1:13" s="1" customFormat="1">
      <c r="A2" s="45" t="s">
        <v>591</v>
      </c>
      <c r="B2" s="502">
        <v>43102</v>
      </c>
      <c r="C2" s="502"/>
      <c r="D2" s="502"/>
      <c r="E2" s="502"/>
      <c r="H2" s="170" t="s">
        <v>592</v>
      </c>
      <c r="I2" s="358" t="s">
        <v>593</v>
      </c>
      <c r="J2" s="358"/>
      <c r="K2" s="358" t="s">
        <v>594</v>
      </c>
      <c r="L2" s="358"/>
    </row>
    <row r="3" spans="1:13" s="1" customFormat="1">
      <c r="A3" s="45" t="s">
        <v>595</v>
      </c>
      <c r="B3" s="500" t="s">
        <v>17</v>
      </c>
      <c r="C3" s="500"/>
      <c r="D3" s="500"/>
      <c r="E3" s="500"/>
      <c r="H3" s="3" t="s">
        <v>596</v>
      </c>
      <c r="I3" s="503"/>
      <c r="J3" s="503"/>
      <c r="K3" s="504"/>
      <c r="L3" s="504"/>
    </row>
    <row r="4" spans="1:13" s="1" customFormat="1">
      <c r="A4" s="45" t="s">
        <v>597</v>
      </c>
      <c r="B4" s="500" t="s">
        <v>2045</v>
      </c>
      <c r="C4" s="500"/>
      <c r="D4" s="500"/>
      <c r="E4" s="500"/>
      <c r="H4" s="3" t="s">
        <v>598</v>
      </c>
      <c r="I4" s="503"/>
      <c r="J4" s="503"/>
      <c r="K4" s="504"/>
      <c r="L4" s="504"/>
    </row>
    <row r="5" spans="1:13" s="1" customFormat="1">
      <c r="A5" s="45" t="s">
        <v>599</v>
      </c>
      <c r="B5" s="500" t="s">
        <v>829</v>
      </c>
      <c r="C5" s="500"/>
      <c r="D5" s="500"/>
      <c r="E5" s="500"/>
      <c r="H5" s="3" t="s">
        <v>600</v>
      </c>
      <c r="I5" s="503"/>
      <c r="J5" s="503"/>
      <c r="K5" s="504"/>
      <c r="L5" s="504"/>
    </row>
    <row r="6" spans="1:13" s="1" customFormat="1">
      <c r="A6" s="45" t="s">
        <v>601</v>
      </c>
      <c r="B6" s="500"/>
      <c r="C6" s="500"/>
      <c r="D6" s="500"/>
      <c r="E6" s="500"/>
      <c r="H6" s="3" t="s">
        <v>602</v>
      </c>
      <c r="I6" s="503"/>
      <c r="J6" s="503"/>
      <c r="K6" s="504"/>
      <c r="L6" s="504"/>
    </row>
    <row r="7" spans="1:13" s="1" customFormat="1" ht="25.5">
      <c r="A7" s="45" t="s">
        <v>603</v>
      </c>
      <c r="B7" s="505"/>
      <c r="C7" s="505"/>
      <c r="D7" s="505"/>
      <c r="E7" s="505"/>
      <c r="H7" s="3" t="s">
        <v>604</v>
      </c>
      <c r="I7" s="503"/>
      <c r="J7" s="503"/>
      <c r="K7" s="504"/>
      <c r="L7" s="504"/>
      <c r="M7" s="1" t="s">
        <v>605</v>
      </c>
    </row>
    <row r="8" spans="1:13" s="1" customFormat="1">
      <c r="A8" s="45" t="s">
        <v>606</v>
      </c>
      <c r="B8" s="505" t="s">
        <v>2046</v>
      </c>
      <c r="C8" s="505"/>
      <c r="D8" s="505"/>
      <c r="E8" s="505"/>
      <c r="H8" s="3" t="s">
        <v>607</v>
      </c>
      <c r="I8" s="503"/>
      <c r="J8" s="503"/>
      <c r="K8" s="504"/>
      <c r="L8" s="504"/>
    </row>
    <row r="9" spans="1:13" s="1" customFormat="1">
      <c r="A9" s="45" t="s">
        <v>608</v>
      </c>
      <c r="B9" s="506" t="s">
        <v>2047</v>
      </c>
      <c r="C9" s="506"/>
      <c r="D9" s="506"/>
      <c r="E9" s="506"/>
      <c r="H9" s="3" t="s">
        <v>609</v>
      </c>
      <c r="I9" s="503"/>
      <c r="J9" s="503"/>
      <c r="K9" s="504"/>
      <c r="L9" s="504"/>
    </row>
    <row r="10" spans="1:13" s="1" customFormat="1">
      <c r="A10" s="45" t="s">
        <v>610</v>
      </c>
      <c r="B10" s="506" t="s">
        <v>2048</v>
      </c>
      <c r="C10" s="506"/>
      <c r="D10" s="506"/>
      <c r="E10" s="506"/>
      <c r="H10" s="3" t="s">
        <v>611</v>
      </c>
      <c r="I10" s="503"/>
      <c r="J10" s="503"/>
      <c r="K10" s="504"/>
      <c r="L10" s="504"/>
    </row>
    <row r="11" spans="1:13" s="1" customFormat="1">
      <c r="A11" s="45" t="s">
        <v>612</v>
      </c>
      <c r="B11" s="506" t="s">
        <v>2049</v>
      </c>
      <c r="C11" s="506"/>
      <c r="D11" s="506"/>
      <c r="E11" s="506"/>
      <c r="H11" s="170" t="s">
        <v>613</v>
      </c>
      <c r="I11" s="358" t="s">
        <v>614</v>
      </c>
      <c r="J11" s="358"/>
      <c r="K11" s="358" t="s">
        <v>75</v>
      </c>
      <c r="L11" s="358"/>
    </row>
    <row r="12" spans="1:13" s="1" customFormat="1">
      <c r="H12" s="3" t="s">
        <v>615</v>
      </c>
      <c r="I12" s="419"/>
      <c r="J12" s="419"/>
      <c r="K12" s="504"/>
      <c r="L12" s="504"/>
    </row>
    <row r="13" spans="1:13" s="1" customFormat="1" ht="38.25">
      <c r="A13" s="2" t="s">
        <v>616</v>
      </c>
      <c r="B13" s="2" t="s">
        <v>617</v>
      </c>
      <c r="C13" s="2" t="s">
        <v>618</v>
      </c>
      <c r="D13" s="2" t="s">
        <v>619</v>
      </c>
      <c r="E13" s="2" t="s">
        <v>91</v>
      </c>
      <c r="H13" s="3"/>
      <c r="I13" s="419"/>
      <c r="J13" s="419"/>
      <c r="K13" s="504"/>
      <c r="L13" s="504"/>
    </row>
    <row r="14" spans="1:13" s="1" customFormat="1">
      <c r="A14" s="3" t="s">
        <v>620</v>
      </c>
      <c r="B14" s="194"/>
      <c r="C14" s="194"/>
      <c r="D14" s="195"/>
      <c r="E14" s="195">
        <v>100000</v>
      </c>
      <c r="H14" s="3" t="s">
        <v>621</v>
      </c>
      <c r="I14" s="419"/>
      <c r="J14" s="419"/>
      <c r="K14" s="504"/>
      <c r="L14" s="504"/>
    </row>
    <row r="15" spans="1:13" s="1" customFormat="1" ht="25.5">
      <c r="A15" s="3"/>
      <c r="B15" s="194"/>
      <c r="C15" s="194"/>
      <c r="D15" s="195"/>
      <c r="E15" s="195"/>
      <c r="H15" s="3" t="s">
        <v>622</v>
      </c>
      <c r="I15" s="419"/>
      <c r="J15" s="419"/>
      <c r="K15" s="419"/>
      <c r="L15" s="419"/>
    </row>
    <row r="16" spans="1:13" s="1" customFormat="1">
      <c r="A16" s="170" t="s">
        <v>623</v>
      </c>
      <c r="B16" s="146"/>
      <c r="C16" s="146"/>
      <c r="D16" s="196"/>
      <c r="E16" s="196">
        <f>SUM(E14:E15)</f>
        <v>100000</v>
      </c>
      <c r="H16" s="3" t="s">
        <v>624</v>
      </c>
      <c r="I16" s="419"/>
      <c r="J16" s="419"/>
      <c r="K16" s="419"/>
      <c r="L16" s="419"/>
    </row>
    <row r="17" spans="1:12" s="1" customFormat="1">
      <c r="A17" s="170" t="s">
        <v>625</v>
      </c>
      <c r="B17" s="194"/>
      <c r="C17" s="194"/>
      <c r="D17" s="195"/>
      <c r="E17" s="195"/>
      <c r="H17" s="3" t="s">
        <v>626</v>
      </c>
      <c r="I17" s="419"/>
      <c r="J17" s="419"/>
      <c r="K17" s="419"/>
      <c r="L17" s="419"/>
    </row>
    <row r="18" spans="1:12" s="1" customFormat="1" ht="38.25">
      <c r="A18" s="3" t="s">
        <v>627</v>
      </c>
      <c r="B18" s="194"/>
      <c r="C18" s="194"/>
      <c r="D18" s="195"/>
      <c r="E18" s="195">
        <v>20000</v>
      </c>
      <c r="H18" s="3" t="s">
        <v>628</v>
      </c>
      <c r="I18" s="419" t="s">
        <v>629</v>
      </c>
      <c r="J18" s="419"/>
      <c r="K18" s="419"/>
      <c r="L18" s="419"/>
    </row>
    <row r="19" spans="1:12" s="1" customFormat="1">
      <c r="A19" s="3" t="s">
        <v>630</v>
      </c>
      <c r="B19" s="194"/>
      <c r="C19" s="194"/>
      <c r="D19" s="195"/>
      <c r="E19" s="195"/>
      <c r="H19" s="3" t="s">
        <v>631</v>
      </c>
      <c r="I19" s="362" t="s">
        <v>632</v>
      </c>
      <c r="J19" s="362"/>
      <c r="K19" s="362" t="s">
        <v>633</v>
      </c>
      <c r="L19" s="362"/>
    </row>
    <row r="20" spans="1:12" s="1" customFormat="1">
      <c r="A20" s="3" t="s">
        <v>634</v>
      </c>
      <c r="B20" s="194"/>
      <c r="C20" s="194"/>
      <c r="D20" s="195"/>
      <c r="E20" s="195"/>
      <c r="H20" s="3" t="s">
        <v>635</v>
      </c>
      <c r="I20" s="194"/>
      <c r="J20" s="194"/>
      <c r="K20" s="194"/>
      <c r="L20" s="194"/>
    </row>
    <row r="21" spans="1:12" s="1" customFormat="1">
      <c r="A21" s="3" t="s">
        <v>636</v>
      </c>
      <c r="B21" s="194"/>
      <c r="C21" s="194"/>
      <c r="D21" s="195"/>
      <c r="E21" s="195"/>
      <c r="H21" s="3" t="s">
        <v>637</v>
      </c>
      <c r="I21" s="194"/>
      <c r="J21" s="194"/>
      <c r="K21" s="194"/>
      <c r="L21" s="194"/>
    </row>
    <row r="22" spans="1:12" s="1" customFormat="1">
      <c r="A22" s="3" t="s">
        <v>638</v>
      </c>
      <c r="B22" s="194"/>
      <c r="C22" s="194"/>
      <c r="D22" s="195"/>
      <c r="E22" s="195"/>
    </row>
    <row r="23" spans="1:12" s="1" customFormat="1">
      <c r="A23" s="3" t="s">
        <v>639</v>
      </c>
      <c r="B23" s="194"/>
      <c r="C23" s="194"/>
      <c r="D23" s="195"/>
      <c r="E23" s="195"/>
    </row>
    <row r="24" spans="1:12" s="1" customFormat="1">
      <c r="A24" s="3" t="s">
        <v>640</v>
      </c>
      <c r="B24" s="194"/>
      <c r="C24" s="194"/>
      <c r="D24" s="195"/>
      <c r="E24" s="195"/>
    </row>
    <row r="25" spans="1:12" s="1" customFormat="1">
      <c r="A25" s="3" t="s">
        <v>641</v>
      </c>
      <c r="B25" s="194"/>
      <c r="C25" s="194"/>
      <c r="D25" s="195"/>
      <c r="E25" s="195"/>
    </row>
    <row r="26" spans="1:12" s="1" customFormat="1">
      <c r="A26" s="3" t="s">
        <v>642</v>
      </c>
      <c r="B26" s="194"/>
      <c r="C26" s="194"/>
      <c r="D26" s="195"/>
      <c r="E26" s="195"/>
    </row>
    <row r="27" spans="1:12" s="1" customFormat="1">
      <c r="A27" s="3" t="s">
        <v>643</v>
      </c>
      <c r="B27" s="194"/>
      <c r="C27" s="194"/>
      <c r="D27" s="195"/>
      <c r="E27" s="195"/>
    </row>
    <row r="28" spans="1:12" s="1" customFormat="1">
      <c r="A28" s="3" t="s">
        <v>644</v>
      </c>
      <c r="B28" s="194"/>
      <c r="C28" s="194"/>
      <c r="D28" s="195"/>
      <c r="E28" s="195"/>
    </row>
    <row r="29" spans="1:12" s="1" customFormat="1">
      <c r="A29" s="3" t="s">
        <v>645</v>
      </c>
      <c r="B29" s="194"/>
      <c r="C29" s="194"/>
      <c r="D29" s="195"/>
      <c r="E29" s="195">
        <v>20000</v>
      </c>
    </row>
    <row r="30" spans="1:12" s="1" customFormat="1">
      <c r="A30" s="170" t="s">
        <v>646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647</v>
      </c>
      <c r="B31" s="197"/>
      <c r="C31" s="197"/>
      <c r="D31" s="198"/>
      <c r="E31" s="198">
        <f>E16-E30</f>
        <v>60000</v>
      </c>
    </row>
    <row r="32" spans="1:12" s="1" customFormat="1">
      <c r="A32" s="358" t="s">
        <v>648</v>
      </c>
      <c r="B32" s="358"/>
      <c r="C32" s="358"/>
      <c r="D32" s="358"/>
      <c r="E32" s="358"/>
    </row>
    <row r="33" spans="1:5" s="1" customFormat="1">
      <c r="A33" s="501" t="s">
        <v>649</v>
      </c>
      <c r="B33" s="501"/>
      <c r="C33" s="501" t="s">
        <v>650</v>
      </c>
      <c r="D33" s="501"/>
      <c r="E33" s="170" t="s">
        <v>594</v>
      </c>
    </row>
    <row r="34" spans="1:5" s="1" customFormat="1">
      <c r="A34" s="362" t="s">
        <v>651</v>
      </c>
      <c r="B34" s="362"/>
      <c r="C34" s="419"/>
      <c r="D34" s="419"/>
      <c r="E34" s="195"/>
    </row>
    <row r="35" spans="1:5" s="1" customFormat="1">
      <c r="A35" s="362" t="s">
        <v>652</v>
      </c>
      <c r="B35" s="362"/>
      <c r="C35" s="419"/>
      <c r="D35" s="419"/>
      <c r="E35" s="195"/>
    </row>
    <row r="36" spans="1:5" s="1" customFormat="1">
      <c r="A36" s="362" t="s">
        <v>653</v>
      </c>
      <c r="B36" s="362"/>
      <c r="C36" s="419"/>
      <c r="D36" s="419"/>
      <c r="E36" s="195"/>
    </row>
    <row r="37" spans="1:5" s="1" customFormat="1">
      <c r="A37" s="362" t="s">
        <v>654</v>
      </c>
      <c r="B37" s="362"/>
      <c r="C37" s="419"/>
      <c r="D37" s="419"/>
      <c r="E37" s="195"/>
    </row>
    <row r="38" spans="1:5" s="1" customFormat="1">
      <c r="A38" s="362" t="s">
        <v>184</v>
      </c>
      <c r="B38" s="362"/>
      <c r="C38" s="419"/>
      <c r="D38" s="419"/>
      <c r="E38" s="195"/>
    </row>
    <row r="39" spans="1:5" s="1" customFormat="1">
      <c r="A39" s="358" t="s">
        <v>655</v>
      </c>
      <c r="B39" s="358"/>
      <c r="C39" s="358"/>
      <c r="D39" s="358"/>
      <c r="E39" s="358"/>
    </row>
    <row r="40" spans="1:5" s="1" customFormat="1">
      <c r="A40" s="501" t="s">
        <v>656</v>
      </c>
      <c r="B40" s="501"/>
      <c r="C40" s="501" t="s">
        <v>650</v>
      </c>
      <c r="D40" s="501"/>
      <c r="E40" s="170" t="s">
        <v>594</v>
      </c>
    </row>
    <row r="41" spans="1:5" s="1" customFormat="1">
      <c r="A41" s="362"/>
      <c r="B41" s="362"/>
      <c r="C41" s="419"/>
      <c r="D41" s="419"/>
      <c r="E41" s="195"/>
    </row>
    <row r="42" spans="1:5" s="1" customFormat="1">
      <c r="A42" s="362"/>
      <c r="B42" s="362"/>
      <c r="C42" s="419"/>
      <c r="D42" s="419"/>
      <c r="E42" s="195"/>
    </row>
    <row r="43" spans="1:5" s="1" customFormat="1">
      <c r="A43" s="362"/>
      <c r="B43" s="362"/>
      <c r="C43" s="419"/>
      <c r="D43" s="419"/>
      <c r="E43" s="195"/>
    </row>
    <row r="44" spans="1:5" s="1" customFormat="1">
      <c r="A44" s="501" t="s">
        <v>657</v>
      </c>
      <c r="B44" s="501"/>
      <c r="C44" s="507">
        <f>SUM(E34:E38)+SUM(E41:E43)</f>
        <v>0</v>
      </c>
      <c r="D44" s="507"/>
      <c r="E44" s="507"/>
    </row>
    <row r="45" spans="1:5" s="1" customFormat="1">
      <c r="A45" s="501" t="s">
        <v>658</v>
      </c>
      <c r="B45" s="501"/>
      <c r="C45" s="508">
        <f>E31+C44</f>
        <v>60000</v>
      </c>
      <c r="D45" s="508"/>
      <c r="E45" s="508"/>
    </row>
    <row r="46" spans="1:5" s="1" customFormat="1">
      <c r="A46" s="358" t="s">
        <v>659</v>
      </c>
      <c r="B46" s="358"/>
      <c r="C46" s="358" t="s">
        <v>91</v>
      </c>
      <c r="D46" s="358"/>
      <c r="E46" s="358"/>
    </row>
    <row r="47" spans="1:5" s="1" customFormat="1">
      <c r="A47" s="509" t="s">
        <v>660</v>
      </c>
      <c r="B47" s="509"/>
      <c r="C47" s="510"/>
      <c r="D47" s="510"/>
      <c r="E47" s="510"/>
    </row>
    <row r="48" spans="1:5" s="1" customFormat="1">
      <c r="A48" s="509" t="s">
        <v>661</v>
      </c>
      <c r="B48" s="509"/>
      <c r="C48" s="510"/>
      <c r="D48" s="510"/>
      <c r="E48" s="510"/>
    </row>
    <row r="49" spans="1:8" s="1" customFormat="1">
      <c r="A49" s="509" t="s">
        <v>662</v>
      </c>
      <c r="B49" s="509"/>
      <c r="C49" s="510"/>
      <c r="D49" s="510"/>
      <c r="E49" s="510"/>
    </row>
    <row r="50" spans="1:8" s="1" customFormat="1">
      <c r="A50" s="509" t="s">
        <v>663</v>
      </c>
      <c r="B50" s="509"/>
      <c r="C50" s="510"/>
      <c r="D50" s="510"/>
      <c r="E50" s="510"/>
    </row>
    <row r="51" spans="1:8" s="1" customFormat="1">
      <c r="A51" s="509" t="s">
        <v>664</v>
      </c>
      <c r="B51" s="509"/>
      <c r="C51" s="510"/>
      <c r="D51" s="510"/>
      <c r="E51" s="510"/>
    </row>
    <row r="52" spans="1:8" s="1" customFormat="1">
      <c r="A52" s="509" t="s">
        <v>665</v>
      </c>
      <c r="B52" s="509"/>
      <c r="C52" s="510"/>
      <c r="D52" s="510"/>
      <c r="E52" s="510"/>
    </row>
    <row r="53" spans="1:8" s="1" customFormat="1">
      <c r="A53" s="509" t="s">
        <v>666</v>
      </c>
      <c r="B53" s="509"/>
      <c r="C53" s="510"/>
      <c r="D53" s="510"/>
      <c r="E53" s="510"/>
    </row>
    <row r="54" spans="1:8" s="1" customFormat="1">
      <c r="A54" s="509" t="s">
        <v>667</v>
      </c>
      <c r="B54" s="509"/>
      <c r="C54" s="510"/>
      <c r="D54" s="510"/>
      <c r="E54" s="510"/>
    </row>
    <row r="55" spans="1:8" s="1" customFormat="1">
      <c r="A55" s="509" t="s">
        <v>668</v>
      </c>
      <c r="B55" s="509"/>
      <c r="C55" s="510"/>
      <c r="D55" s="510"/>
      <c r="E55" s="510"/>
    </row>
    <row r="56" spans="1:8" s="1" customFormat="1">
      <c r="A56" s="509" t="s">
        <v>669</v>
      </c>
      <c r="B56" s="509"/>
      <c r="C56" s="510"/>
      <c r="D56" s="510"/>
      <c r="E56" s="510"/>
    </row>
    <row r="57" spans="1:8" s="1" customFormat="1">
      <c r="A57" s="358" t="s">
        <v>670</v>
      </c>
      <c r="B57" s="358"/>
      <c r="C57" s="511">
        <f>SUM(C47:E56)</f>
        <v>0</v>
      </c>
      <c r="D57" s="511"/>
      <c r="E57" s="511"/>
    </row>
    <row r="58" spans="1:8" s="1" customFormat="1">
      <c r="A58" s="512" t="s">
        <v>671</v>
      </c>
      <c r="B58" s="512"/>
      <c r="C58" s="513">
        <f>C45-C57</f>
        <v>60000</v>
      </c>
      <c r="D58" s="513"/>
      <c r="E58" s="513"/>
    </row>
    <row r="59" spans="1:8" s="1" customFormat="1"/>
    <row r="60" spans="1:8" s="1" customFormat="1"/>
    <row r="61" spans="1:8" s="1" customFormat="1">
      <c r="A61" s="514" t="s">
        <v>672</v>
      </c>
      <c r="B61" s="514"/>
      <c r="C61" s="515">
        <f>IFERROR(((C58+C55)*60%-C55)/PMT(BasicInput!$F$27/12,BasicInput!$E$27,-100000),0)*100000</f>
        <v>36000</v>
      </c>
      <c r="D61" s="515"/>
      <c r="E61" s="515"/>
    </row>
    <row r="62" spans="1:8" s="1" customFormat="1">
      <c r="A62" s="514" t="s">
        <v>673</v>
      </c>
      <c r="B62" s="514"/>
      <c r="C62" s="515">
        <f>BasicInput!D27</f>
        <v>3000000</v>
      </c>
      <c r="D62" s="515"/>
      <c r="E62" s="515"/>
    </row>
    <row r="63" spans="1:8" s="1" customFormat="1">
      <c r="A63" s="514" t="s">
        <v>674</v>
      </c>
      <c r="B63" s="514"/>
      <c r="C63" s="515">
        <f>BasicInput!G27</f>
        <v>3000000</v>
      </c>
      <c r="D63" s="515"/>
      <c r="E63" s="515"/>
    </row>
    <row r="64" spans="1:8" s="1" customFormat="1">
      <c r="A64" s="514" t="s">
        <v>675</v>
      </c>
      <c r="B64" s="514"/>
      <c r="C64" s="516">
        <f>IFERROR((C63+C55)/(C58+C55),0)</f>
        <v>50</v>
      </c>
      <c r="D64" s="516"/>
      <c r="E64" s="516"/>
      <c r="F64" s="517" t="str">
        <f>IF(C63&gt;C61,"Deviation approval required","")</f>
        <v>Deviation approval required</v>
      </c>
      <c r="G64" s="518"/>
      <c r="H64" s="518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19" t="s">
        <v>676</v>
      </c>
      <c r="B1" s="519"/>
      <c r="C1" s="519"/>
      <c r="D1" s="519"/>
      <c r="E1" s="519"/>
      <c r="F1" s="519"/>
      <c r="G1" s="519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680</v>
      </c>
      <c r="F3" s="10" t="s">
        <v>681</v>
      </c>
      <c r="G3" s="10" t="s">
        <v>682</v>
      </c>
      <c r="H3" s="10" t="s">
        <v>683</v>
      </c>
      <c r="I3" s="10" t="s">
        <v>684</v>
      </c>
      <c r="J3" s="10" t="s">
        <v>685</v>
      </c>
      <c r="K3" s="10" t="s">
        <v>686</v>
      </c>
      <c r="L3" s="10" t="s">
        <v>687</v>
      </c>
      <c r="M3" s="10" t="s">
        <v>688</v>
      </c>
      <c r="N3" s="10" t="s">
        <v>689</v>
      </c>
      <c r="O3" s="10" t="s">
        <v>690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0" t="s">
        <v>39</v>
      </c>
      <c r="B14" s="520"/>
      <c r="C14" s="520"/>
      <c r="D14" s="520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57</v>
      </c>
    </row>
    <row r="17" spans="1:3">
      <c r="A17" s="405" t="s">
        <v>58</v>
      </c>
      <c r="B17" s="407"/>
      <c r="C17" s="10"/>
    </row>
    <row r="18" spans="1:3">
      <c r="A18" s="521" t="s">
        <v>691</v>
      </c>
      <c r="B18" s="522"/>
      <c r="C18" s="143">
        <f>O14</f>
        <v>0</v>
      </c>
    </row>
    <row r="19" spans="1:3">
      <c r="A19" s="523" t="s">
        <v>119</v>
      </c>
      <c r="B19" s="524"/>
      <c r="C19" s="143">
        <f>C18/12</f>
        <v>0</v>
      </c>
    </row>
    <row r="20" spans="1:3">
      <c r="A20" s="523" t="s">
        <v>692</v>
      </c>
      <c r="B20" s="524"/>
      <c r="C20" s="144">
        <f>BasicInput!$D$27</f>
        <v>3000000</v>
      </c>
    </row>
    <row r="21" spans="1:3">
      <c r="A21" s="525" t="s">
        <v>693</v>
      </c>
      <c r="B21" s="526"/>
      <c r="C21" s="12">
        <f>'ExistingLoans&amp;Facilities&amp;RTR'!$N$103</f>
        <v>0</v>
      </c>
    </row>
    <row r="22" spans="1:3">
      <c r="A22" s="525" t="s">
        <v>694</v>
      </c>
      <c r="B22" s="526"/>
      <c r="C22" s="12">
        <f>BasicInput!$G$28</f>
        <v>3000000</v>
      </c>
    </row>
    <row r="23" spans="1:3">
      <c r="A23" s="525" t="s">
        <v>695</v>
      </c>
      <c r="B23" s="526"/>
      <c r="C23" s="12">
        <f>SUMIF(BasicInput!$B$22:$B$26,Validation!$A$38,BasicInput!$G$22:$G$26)</f>
        <v>0</v>
      </c>
    </row>
    <row r="24" spans="1:3">
      <c r="A24" s="523" t="s">
        <v>696</v>
      </c>
      <c r="B24" s="524"/>
      <c r="C24" s="16">
        <f>IF(SUM(C21:C22)=0,0,IFERROR(SUM(C21:C22)/C19,100000%))</f>
        <v>1000</v>
      </c>
    </row>
    <row r="25" spans="1:3" ht="25.5" customHeight="1">
      <c r="A25" s="523" t="s">
        <v>697</v>
      </c>
      <c r="B25" s="524"/>
      <c r="C25" s="16">
        <f>IF(SUM(C21:C23)=0,0,IFERROR(SUM(C21:C23)/C19,100000%))</f>
        <v>1000</v>
      </c>
    </row>
    <row r="26" spans="1:3">
      <c r="A26" s="523" t="s">
        <v>698</v>
      </c>
      <c r="B26" s="524"/>
      <c r="C26" s="16">
        <f>IFERROR(SUMIF(BasicInput!$B$22:$B$26,Validation!$A$38,BasicInput!$G$22:$G$26)/C19,0)</f>
        <v>0</v>
      </c>
    </row>
    <row r="27" spans="1:3">
      <c r="A27" s="523" t="s">
        <v>699</v>
      </c>
      <c r="B27" s="524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3" t="s">
        <v>700</v>
      </c>
      <c r="B28" s="524"/>
      <c r="C28" s="16">
        <f>IFERROR((BasicInput!$D$28+$G$40)/$M$40,0)</f>
        <v>0</v>
      </c>
    </row>
    <row r="29" spans="1:3">
      <c r="A29" s="523" t="s">
        <v>701</v>
      </c>
      <c r="B29" s="524"/>
      <c r="C29" s="16">
        <f>IFERROR((BasicInput!$D$27+$G$40)/$M$40,0)</f>
        <v>0</v>
      </c>
    </row>
    <row r="30" spans="1:3">
      <c r="A30" s="523" t="s">
        <v>702</v>
      </c>
      <c r="B30" s="524"/>
      <c r="C30" s="16">
        <f>IFERROR(SUMIF(BasicInput!$B$22:$B$26,Validation!$A$38,BasicInput!$D$22:$D$26)/$M$40,0)</f>
        <v>0</v>
      </c>
    </row>
    <row r="31" spans="1:3">
      <c r="A31" s="523" t="s">
        <v>703</v>
      </c>
      <c r="B31" s="524"/>
      <c r="C31" s="13">
        <f>MAX($O$40,0)</f>
        <v>0</v>
      </c>
    </row>
    <row r="32" spans="1:3">
      <c r="A32" s="527" t="s">
        <v>704</v>
      </c>
      <c r="B32" s="528"/>
      <c r="C32" s="18">
        <f>MIN(C20,C27,C31)</f>
        <v>0</v>
      </c>
    </row>
    <row r="33" spans="1:16"/>
    <row r="34" spans="1:16" ht="51">
      <c r="A34" s="10" t="s">
        <v>42</v>
      </c>
      <c r="B34" s="10" t="s">
        <v>43</v>
      </c>
      <c r="C34" s="10" t="s">
        <v>44</v>
      </c>
      <c r="D34" s="10" t="s">
        <v>45</v>
      </c>
      <c r="E34" s="10" t="s">
        <v>46</v>
      </c>
      <c r="F34" s="10" t="s">
        <v>47</v>
      </c>
      <c r="G34" s="10" t="s">
        <v>48</v>
      </c>
      <c r="H34" s="10" t="s">
        <v>49</v>
      </c>
      <c r="I34" s="10" t="s">
        <v>50</v>
      </c>
      <c r="J34" s="10" t="s">
        <v>51</v>
      </c>
      <c r="K34" s="10" t="s">
        <v>52</v>
      </c>
      <c r="L34" s="10" t="s">
        <v>53</v>
      </c>
      <c r="M34" s="10" t="s">
        <v>54</v>
      </c>
      <c r="N34" s="10" t="s">
        <v>705</v>
      </c>
      <c r="O34" s="10" t="s">
        <v>706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3" t="s">
        <v>39</v>
      </c>
      <c r="B40" s="529"/>
      <c r="C40" s="529"/>
      <c r="D40" s="529"/>
      <c r="E40" s="529"/>
      <c r="F40" s="529"/>
      <c r="G40" s="13">
        <f>SUM(G35:G39)</f>
        <v>0</v>
      </c>
      <c r="H40" s="523"/>
      <c r="I40" s="529"/>
      <c r="J40" s="529"/>
      <c r="K40" s="529"/>
      <c r="L40" s="524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30:B30"/>
    <mergeCell ref="A31:B31"/>
    <mergeCell ref="A32:B32"/>
    <mergeCell ref="A40:F40"/>
    <mergeCell ref="H40:L40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:G1"/>
    <mergeCell ref="A14:D14"/>
    <mergeCell ref="A17:B17"/>
    <mergeCell ref="A18:B18"/>
    <mergeCell ref="A19:B19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19" t="s">
        <v>707</v>
      </c>
      <c r="B1" s="519"/>
      <c r="C1" s="519"/>
      <c r="D1" s="519"/>
      <c r="E1" s="519"/>
      <c r="F1" s="519"/>
      <c r="G1" s="519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5</v>
      </c>
      <c r="B3" s="10" t="s">
        <v>504</v>
      </c>
      <c r="C3" s="10" t="s">
        <v>530</v>
      </c>
      <c r="D3" s="10" t="s">
        <v>708</v>
      </c>
      <c r="E3" s="10" t="s">
        <v>535</v>
      </c>
      <c r="F3" s="10" t="s">
        <v>537</v>
      </c>
      <c r="G3" s="10" t="s">
        <v>550</v>
      </c>
      <c r="H3" s="10" t="s">
        <v>551</v>
      </c>
      <c r="I3" s="10" t="s">
        <v>709</v>
      </c>
      <c r="J3" s="10" t="s">
        <v>516</v>
      </c>
      <c r="K3" s="10" t="s">
        <v>710</v>
      </c>
      <c r="L3" s="10" t="s">
        <v>518</v>
      </c>
      <c r="M3" s="10" t="s">
        <v>519</v>
      </c>
      <c r="N3" s="10" t="s">
        <v>711</v>
      </c>
      <c r="O3" s="10" t="s">
        <v>528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0" t="s">
        <v>39</v>
      </c>
      <c r="B24" s="520"/>
      <c r="C24" s="520"/>
      <c r="D24" s="520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57</v>
      </c>
    </row>
    <row r="27" spans="1:15">
      <c r="A27" s="405" t="s">
        <v>58</v>
      </c>
      <c r="B27" s="407"/>
      <c r="C27" s="10"/>
    </row>
    <row r="28" spans="1:15">
      <c r="A28" s="523" t="s">
        <v>712</v>
      </c>
      <c r="B28" s="524"/>
      <c r="C28" s="143">
        <f>SUMIF($K$4:$K$23,"Yes",$I$4:$I$23)*50%</f>
        <v>0</v>
      </c>
    </row>
    <row r="29" spans="1:15">
      <c r="A29" s="523" t="s">
        <v>692</v>
      </c>
      <c r="B29" s="524"/>
      <c r="C29" s="144">
        <f>BasicInput!$D$27</f>
        <v>3000000</v>
      </c>
    </row>
    <row r="30" spans="1:15">
      <c r="A30" s="525" t="s">
        <v>693</v>
      </c>
      <c r="B30" s="526"/>
      <c r="C30" s="12">
        <f>'ExistingLoans&amp;Facilities&amp;RTR'!$N$103</f>
        <v>0</v>
      </c>
    </row>
    <row r="31" spans="1:15">
      <c r="A31" s="525" t="s">
        <v>694</v>
      </c>
      <c r="B31" s="526"/>
      <c r="C31" s="12">
        <f>BasicInput!$G$28</f>
        <v>3000000</v>
      </c>
    </row>
    <row r="32" spans="1:15">
      <c r="A32" s="525" t="s">
        <v>695</v>
      </c>
      <c r="B32" s="526"/>
      <c r="C32" s="12">
        <f>SUMIF(BasicInput!$B$22:$B$26,Validation!$A$38,BasicInput!$G$22:$G$26)</f>
        <v>0</v>
      </c>
    </row>
    <row r="33" spans="1:16">
      <c r="A33" s="523" t="s">
        <v>696</v>
      </c>
      <c r="B33" s="524"/>
      <c r="C33" s="16">
        <f>IF(SUM(C30:C31)=0,0,IFERROR(SUM(C30:C31)/C28,100000%))</f>
        <v>1000</v>
      </c>
    </row>
    <row r="34" spans="1:16">
      <c r="A34" s="523" t="s">
        <v>697</v>
      </c>
      <c r="B34" s="524"/>
      <c r="C34" s="16">
        <f>IF(SUM(C30:C32)=0,0,IFERROR(SUM(C30:C32)/C28,100000%))</f>
        <v>1000</v>
      </c>
    </row>
    <row r="35" spans="1:16">
      <c r="A35" s="523" t="s">
        <v>698</v>
      </c>
      <c r="B35" s="524"/>
      <c r="C35" s="16">
        <f>IFERROR(SUMIF(BasicInput!$B$22:$B$26,Validation!$A$38,BasicInput!$G$22:$G$26)/C28,0)</f>
        <v>0</v>
      </c>
    </row>
    <row r="36" spans="1:16">
      <c r="A36" s="523" t="s">
        <v>699</v>
      </c>
      <c r="B36" s="524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3" t="s">
        <v>700</v>
      </c>
      <c r="B37" s="524"/>
      <c r="C37" s="16">
        <f>IFERROR((BasicInput!$D$28+$G$49)/$M$49,0)</f>
        <v>0</v>
      </c>
    </row>
    <row r="38" spans="1:16">
      <c r="A38" s="523" t="s">
        <v>701</v>
      </c>
      <c r="B38" s="524"/>
      <c r="C38" s="16">
        <f>IFERROR((BasicInput!$D$27+$G$49)/$M$49,0)</f>
        <v>0</v>
      </c>
    </row>
    <row r="39" spans="1:16">
      <c r="A39" s="523" t="s">
        <v>702</v>
      </c>
      <c r="B39" s="524"/>
      <c r="C39" s="16">
        <f>IFERROR(SUMIF(BasicInput!$B$22:$B$26,Validation!$A$38,BasicInput!$D$22:$D$26)/$M$49,0)</f>
        <v>0</v>
      </c>
    </row>
    <row r="40" spans="1:16">
      <c r="A40" s="523" t="s">
        <v>703</v>
      </c>
      <c r="B40" s="524"/>
      <c r="C40" s="13">
        <f>MAX($O$49,0)</f>
        <v>0</v>
      </c>
    </row>
    <row r="41" spans="1:16">
      <c r="A41" s="527" t="s">
        <v>704</v>
      </c>
      <c r="B41" s="528"/>
      <c r="C41" s="18">
        <f>MIN(C29,C36,C40)</f>
        <v>0</v>
      </c>
    </row>
    <row r="42" spans="1:16"/>
    <row r="43" spans="1:16" ht="51">
      <c r="A43" s="10" t="s">
        <v>42</v>
      </c>
      <c r="B43" s="10" t="s">
        <v>43</v>
      </c>
      <c r="C43" s="10" t="s">
        <v>44</v>
      </c>
      <c r="D43" s="10" t="s">
        <v>45</v>
      </c>
      <c r="E43" s="10" t="s">
        <v>46</v>
      </c>
      <c r="F43" s="10" t="s">
        <v>47</v>
      </c>
      <c r="G43" s="10" t="s">
        <v>48</v>
      </c>
      <c r="H43" s="10" t="s">
        <v>49</v>
      </c>
      <c r="I43" s="10" t="s">
        <v>50</v>
      </c>
      <c r="J43" s="10" t="s">
        <v>51</v>
      </c>
      <c r="K43" s="10" t="s">
        <v>52</v>
      </c>
      <c r="L43" s="10" t="s">
        <v>53</v>
      </c>
      <c r="M43" s="10" t="s">
        <v>54</v>
      </c>
      <c r="N43" s="10" t="s">
        <v>705</v>
      </c>
      <c r="O43" s="10" t="s">
        <v>706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3" t="s">
        <v>39</v>
      </c>
      <c r="B49" s="529"/>
      <c r="C49" s="529"/>
      <c r="D49" s="529"/>
      <c r="E49" s="529"/>
      <c r="F49" s="529"/>
      <c r="G49" s="13">
        <f>SUM(G44:G48)</f>
        <v>0</v>
      </c>
      <c r="H49" s="523"/>
      <c r="I49" s="529"/>
      <c r="J49" s="529"/>
      <c r="K49" s="529"/>
      <c r="L49" s="524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1:G1"/>
    <mergeCell ref="A24:D24"/>
    <mergeCell ref="A27:B27"/>
    <mergeCell ref="A28:B28"/>
    <mergeCell ref="A29:B2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0" t="s">
        <v>713</v>
      </c>
      <c r="B1" s="530"/>
      <c r="C1" s="530"/>
      <c r="D1" s="530"/>
      <c r="E1" s="530"/>
      <c r="F1" s="530"/>
      <c r="G1" s="530"/>
    </row>
    <row r="3" spans="1:7">
      <c r="A3" s="45" t="s">
        <v>714</v>
      </c>
      <c r="B3" s="531" t="str">
        <f>IF(Afford1!B1="","",CONCATENATE(Afford1!B1," &amp; Group"))</f>
        <v>KANHAIYA BHARTI &amp; Group</v>
      </c>
      <c r="C3" s="531"/>
      <c r="D3" s="531"/>
      <c r="E3" s="531"/>
      <c r="F3" s="531"/>
      <c r="G3" s="531"/>
    </row>
    <row r="5" spans="1:7">
      <c r="A5" s="532" t="s">
        <v>715</v>
      </c>
      <c r="B5" s="532"/>
      <c r="C5" s="532"/>
      <c r="D5" s="532"/>
      <c r="E5" s="532"/>
      <c r="F5" s="532"/>
      <c r="G5" s="532"/>
    </row>
    <row r="6" spans="1:7">
      <c r="B6" s="533" t="s">
        <v>716</v>
      </c>
      <c r="C6" s="533"/>
      <c r="D6" s="533"/>
      <c r="E6" s="533"/>
    </row>
    <row r="7" spans="1:7" ht="38.25">
      <c r="A7" s="48" t="s">
        <v>717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718</v>
      </c>
      <c r="G7" s="52" t="s">
        <v>719</v>
      </c>
    </row>
    <row r="8" spans="1:7">
      <c r="A8" s="152" t="s">
        <v>720</v>
      </c>
      <c r="B8" s="534"/>
      <c r="C8" s="535"/>
      <c r="D8" s="535"/>
      <c r="E8" s="536"/>
      <c r="F8" s="153"/>
      <c r="G8" s="153"/>
    </row>
    <row r="9" spans="1:7">
      <c r="A9" s="171" t="s">
        <v>721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722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723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724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725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726</v>
      </c>
      <c r="B14" s="534"/>
      <c r="C14" s="535"/>
      <c r="D14" s="535"/>
      <c r="E14" s="536"/>
      <c r="F14" s="153"/>
      <c r="G14" s="153"/>
    </row>
    <row r="15" spans="1:7">
      <c r="A15" s="60" t="s">
        <v>727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728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729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730</v>
      </c>
      <c r="B18" s="534"/>
      <c r="C18" s="535"/>
      <c r="D18" s="535"/>
      <c r="E18" s="536"/>
      <c r="F18" s="153"/>
      <c r="G18" s="153"/>
    </row>
    <row r="19" spans="1:7">
      <c r="A19" s="60" t="s">
        <v>731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732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733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734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735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736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737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738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739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740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741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742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743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744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745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746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747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748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749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3" t="s">
        <v>716</v>
      </c>
      <c r="C38" s="533"/>
      <c r="D38" s="533"/>
      <c r="E38" s="533"/>
      <c r="F38" s="64"/>
      <c r="G38" s="64"/>
    </row>
    <row r="39" spans="1:7" ht="38.25">
      <c r="A39" s="48" t="s">
        <v>750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718</v>
      </c>
      <c r="G39" s="52" t="s">
        <v>719</v>
      </c>
    </row>
    <row r="40" spans="1:7">
      <c r="A40" s="152" t="s">
        <v>751</v>
      </c>
      <c r="B40" s="534"/>
      <c r="C40" s="535"/>
      <c r="D40" s="535"/>
      <c r="E40" s="536"/>
      <c r="F40" s="153"/>
      <c r="G40" s="153"/>
    </row>
    <row r="41" spans="1:7">
      <c r="A41" s="60" t="s">
        <v>752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753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754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755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756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757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758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759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760</v>
      </c>
      <c r="B49" s="534"/>
      <c r="C49" s="535"/>
      <c r="D49" s="535"/>
      <c r="E49" s="536"/>
      <c r="F49" s="153"/>
      <c r="G49" s="153"/>
    </row>
    <row r="50" spans="1:7">
      <c r="A50" s="60" t="s">
        <v>761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762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763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764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765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766</v>
      </c>
      <c r="B55" s="534"/>
      <c r="C55" s="535"/>
      <c r="D55" s="535"/>
      <c r="E55" s="536"/>
      <c r="F55" s="153"/>
      <c r="G55" s="153"/>
    </row>
    <row r="56" spans="1:7">
      <c r="A56" s="60" t="s">
        <v>767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768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769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770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771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772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773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774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775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776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777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778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779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780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781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782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783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784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785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786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787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788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789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790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774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791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792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793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794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795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796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797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798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799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800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801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802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803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804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805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806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807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808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809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810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811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812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813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814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815</v>
      </c>
      <c r="B108" s="3"/>
      <c r="C108" s="3"/>
      <c r="D108" s="3"/>
      <c r="E108" s="3"/>
    </row>
    <row r="109" spans="1:7">
      <c r="A109" s="3" t="s">
        <v>576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816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817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818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819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820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821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822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823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783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788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824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39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825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826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827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B55:E55"/>
    <mergeCell ref="B14:E14"/>
    <mergeCell ref="B18:E18"/>
    <mergeCell ref="B38:E38"/>
    <mergeCell ref="B40:E40"/>
    <mergeCell ref="B49:E49"/>
    <mergeCell ref="A1:G1"/>
    <mergeCell ref="B3:G3"/>
    <mergeCell ref="A5:G5"/>
    <mergeCell ref="B6:E6"/>
    <mergeCell ref="B8:E8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0" t="s">
        <v>16</v>
      </c>
      <c r="C1" s="500"/>
      <c r="D1" s="500"/>
      <c r="E1" s="500"/>
      <c r="F1" s="500"/>
      <c r="G1" s="500"/>
    </row>
    <row r="2" spans="1:10">
      <c r="A2" s="45" t="s">
        <v>591</v>
      </c>
      <c r="B2" s="502">
        <v>27700</v>
      </c>
      <c r="C2" s="502"/>
      <c r="D2" s="502"/>
      <c r="E2" s="502"/>
      <c r="F2" s="502"/>
      <c r="G2" s="502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20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2" t="str">
        <f>CONCATENATE("Financial Details: ",B1)</f>
        <v>Financial Details: KANHAIYA BHARTI</v>
      </c>
      <c r="B11" s="532"/>
      <c r="C11" s="532"/>
      <c r="D11" s="532"/>
      <c r="E11" s="532"/>
      <c r="F11" s="532"/>
      <c r="G11" s="532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4"/>
      <c r="C14" s="535"/>
      <c r="D14" s="535"/>
      <c r="E14" s="536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724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725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726</v>
      </c>
      <c r="B20" s="534"/>
      <c r="C20" s="535"/>
      <c r="D20" s="535"/>
      <c r="E20" s="536"/>
      <c r="F20" s="153"/>
      <c r="G20" s="153"/>
    </row>
    <row r="21" spans="1:7">
      <c r="A21" s="60" t="s">
        <v>727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728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729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730</v>
      </c>
      <c r="B24" s="534"/>
      <c r="C24" s="535"/>
      <c r="D24" s="535"/>
      <c r="E24" s="536"/>
      <c r="F24" s="153"/>
      <c r="G24" s="153"/>
    </row>
    <row r="25" spans="1:7">
      <c r="A25" s="60" t="s">
        <v>731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732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733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734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736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737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738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739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741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745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746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747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748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4"/>
      <c r="C46" s="535"/>
      <c r="D46" s="535"/>
      <c r="E46" s="536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753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754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758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760</v>
      </c>
      <c r="B55" s="534"/>
      <c r="C55" s="535"/>
      <c r="D55" s="535"/>
      <c r="E55" s="536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764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766</v>
      </c>
      <c r="B61" s="534"/>
      <c r="C61" s="535"/>
      <c r="D61" s="535"/>
      <c r="E61" s="536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768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769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770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771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772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773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774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782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784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785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789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790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774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818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0" t="s">
        <v>21</v>
      </c>
      <c r="C1" s="500"/>
      <c r="D1" s="500"/>
      <c r="E1" s="500"/>
      <c r="F1" s="500"/>
      <c r="G1" s="500"/>
    </row>
    <row r="2" spans="1:10">
      <c r="A2" s="45" t="s">
        <v>591</v>
      </c>
      <c r="B2" s="502">
        <v>30078</v>
      </c>
      <c r="C2" s="502"/>
      <c r="D2" s="502"/>
      <c r="E2" s="502"/>
      <c r="F2" s="502"/>
      <c r="G2" s="502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24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2" t="str">
        <f>CONCATENATE("Financial Details: ",B1)</f>
        <v>Financial Details: SANDHYA BHARTI</v>
      </c>
      <c r="B11" s="532"/>
      <c r="C11" s="532"/>
      <c r="D11" s="532"/>
      <c r="E11" s="532"/>
      <c r="F11" s="532"/>
      <c r="G11" s="532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4"/>
      <c r="C14" s="535"/>
      <c r="D14" s="535"/>
      <c r="E14" s="536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4"/>
      <c r="C20" s="535"/>
      <c r="D20" s="535"/>
      <c r="E20" s="536"/>
      <c r="F20" s="153"/>
      <c r="G20" s="153"/>
    </row>
    <row r="21" spans="1:7">
      <c r="A21" s="60" t="s">
        <v>727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4"/>
      <c r="C24" s="535"/>
      <c r="D24" s="535"/>
      <c r="E24" s="536"/>
      <c r="F24" s="153"/>
      <c r="G24" s="153"/>
    </row>
    <row r="25" spans="1:7">
      <c r="A25" s="60" t="s">
        <v>731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4"/>
      <c r="C46" s="535"/>
      <c r="D46" s="535"/>
      <c r="E46" s="536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4"/>
      <c r="C55" s="535"/>
      <c r="D55" s="535"/>
      <c r="E55" s="536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4"/>
      <c r="C61" s="535"/>
      <c r="D61" s="535"/>
      <c r="E61" s="536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0"/>
      <c r="C1" s="500"/>
      <c r="D1" s="500"/>
      <c r="E1" s="500"/>
      <c r="F1" s="500"/>
      <c r="G1" s="500"/>
    </row>
    <row r="2" spans="1:10">
      <c r="A2" s="45" t="s">
        <v>591</v>
      </c>
      <c r="B2" s="502"/>
      <c r="C2" s="502"/>
      <c r="D2" s="502"/>
      <c r="E2" s="502"/>
      <c r="F2" s="502"/>
      <c r="G2" s="502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24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2" t="str">
        <f>CONCATENATE("Financial Details: ",B1)</f>
        <v xml:space="preserve">Financial Details: </v>
      </c>
      <c r="B11" s="532"/>
      <c r="C11" s="532"/>
      <c r="D11" s="532"/>
      <c r="E11" s="532"/>
      <c r="F11" s="532"/>
      <c r="G11" s="532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4"/>
      <c r="C14" s="535"/>
      <c r="D14" s="535"/>
      <c r="E14" s="536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4"/>
      <c r="C20" s="535"/>
      <c r="D20" s="535"/>
      <c r="E20" s="536"/>
      <c r="F20" s="153"/>
      <c r="G20" s="153"/>
    </row>
    <row r="21" spans="1:7">
      <c r="A21" s="60" t="s">
        <v>727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4"/>
      <c r="C24" s="535"/>
      <c r="D24" s="535"/>
      <c r="E24" s="536"/>
      <c r="F24" s="153"/>
      <c r="G24" s="153"/>
    </row>
    <row r="25" spans="1:7">
      <c r="A25" s="60" t="s">
        <v>731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4"/>
      <c r="C46" s="535"/>
      <c r="D46" s="535"/>
      <c r="E46" s="536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4"/>
      <c r="C55" s="535"/>
      <c r="D55" s="535"/>
      <c r="E55" s="536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4"/>
      <c r="C61" s="535"/>
      <c r="D61" s="535"/>
      <c r="E61" s="536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0"/>
      <c r="C1" s="500"/>
      <c r="D1" s="500"/>
      <c r="E1" s="500"/>
      <c r="F1" s="500"/>
      <c r="G1" s="500"/>
    </row>
    <row r="2" spans="1:10">
      <c r="A2" s="45" t="s">
        <v>591</v>
      </c>
      <c r="B2" s="502"/>
      <c r="C2" s="502"/>
      <c r="D2" s="502"/>
      <c r="E2" s="502"/>
      <c r="F2" s="502"/>
      <c r="G2" s="502"/>
    </row>
    <row r="3" spans="1:10">
      <c r="A3" s="45" t="s">
        <v>595</v>
      </c>
      <c r="B3" s="537" t="s">
        <v>17</v>
      </c>
      <c r="C3" s="537"/>
      <c r="D3" s="537"/>
      <c r="E3" s="537"/>
      <c r="F3" s="537"/>
      <c r="G3" s="537"/>
    </row>
    <row r="4" spans="1:10">
      <c r="A4" s="45" t="s">
        <v>597</v>
      </c>
      <c r="B4" s="537" t="s">
        <v>828</v>
      </c>
      <c r="C4" s="537"/>
      <c r="D4" s="537"/>
      <c r="E4" s="537"/>
      <c r="F4" s="537"/>
      <c r="G4" s="537"/>
    </row>
    <row r="5" spans="1:10">
      <c r="A5" s="45" t="s">
        <v>599</v>
      </c>
      <c r="B5" s="537" t="s">
        <v>829</v>
      </c>
      <c r="C5" s="537"/>
      <c r="D5" s="537"/>
      <c r="E5" s="537"/>
      <c r="F5" s="537"/>
      <c r="G5" s="537"/>
    </row>
    <row r="6" spans="1:10">
      <c r="A6" s="45" t="s">
        <v>601</v>
      </c>
      <c r="B6" s="537" t="s">
        <v>830</v>
      </c>
      <c r="C6" s="537"/>
      <c r="D6" s="537"/>
      <c r="E6" s="537"/>
      <c r="F6" s="537"/>
      <c r="G6" s="537"/>
    </row>
    <row r="7" spans="1:10" ht="25.5">
      <c r="A7" s="45" t="s">
        <v>603</v>
      </c>
      <c r="B7" s="538">
        <v>2024</v>
      </c>
      <c r="C7" s="538"/>
      <c r="D7" s="538"/>
      <c r="E7" s="538"/>
      <c r="F7" s="538"/>
      <c r="G7" s="538"/>
    </row>
    <row r="8" spans="1:10">
      <c r="A8" s="45" t="s">
        <v>831</v>
      </c>
      <c r="B8" s="537" t="s">
        <v>20</v>
      </c>
      <c r="C8" s="537"/>
      <c r="D8" s="537"/>
      <c r="E8" s="537"/>
      <c r="F8" s="537"/>
      <c r="G8" s="537"/>
    </row>
    <row r="9" spans="1:10">
      <c r="A9" s="45" t="s">
        <v>832</v>
      </c>
      <c r="B9" s="539">
        <v>1</v>
      </c>
      <c r="C9" s="539"/>
      <c r="D9" s="539"/>
      <c r="E9" s="539"/>
      <c r="F9" s="539"/>
      <c r="G9" s="539"/>
    </row>
    <row r="11" spans="1:10">
      <c r="A11" s="532" t="str">
        <f>CONCATENATE("Financial Details: ",B1)</f>
        <v xml:space="preserve">Financial Details: </v>
      </c>
      <c r="B11" s="532"/>
      <c r="C11" s="532"/>
      <c r="D11" s="532"/>
      <c r="E11" s="532"/>
      <c r="F11" s="532"/>
      <c r="G11" s="532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4"/>
      <c r="C14" s="535"/>
      <c r="D14" s="535"/>
      <c r="E14" s="536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4"/>
      <c r="C20" s="535"/>
      <c r="D20" s="535"/>
      <c r="E20" s="536"/>
      <c r="F20" s="153"/>
      <c r="G20" s="153"/>
    </row>
    <row r="21" spans="1:7">
      <c r="A21" s="60" t="s">
        <v>727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4"/>
      <c r="C24" s="535"/>
      <c r="D24" s="535"/>
      <c r="E24" s="536"/>
      <c r="F24" s="153"/>
      <c r="G24" s="153"/>
    </row>
    <row r="25" spans="1:7">
      <c r="A25" s="60" t="s">
        <v>731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4"/>
      <c r="C46" s="535"/>
      <c r="D46" s="535"/>
      <c r="E46" s="536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4"/>
      <c r="C55" s="535"/>
      <c r="D55" s="535"/>
      <c r="E55" s="536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4"/>
      <c r="C61" s="535"/>
      <c r="D61" s="535"/>
      <c r="E61" s="536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0"/>
      <c r="C1" s="500"/>
      <c r="D1" s="500"/>
      <c r="E1" s="500"/>
      <c r="F1" s="500"/>
      <c r="G1" s="500"/>
    </row>
    <row r="2" spans="1:10">
      <c r="A2" s="45" t="s">
        <v>591</v>
      </c>
      <c r="B2" s="502"/>
      <c r="C2" s="502"/>
      <c r="D2" s="502"/>
      <c r="E2" s="502"/>
      <c r="F2" s="502"/>
      <c r="G2" s="502"/>
    </row>
    <row r="3" spans="1:10">
      <c r="A3" s="45" t="s">
        <v>595</v>
      </c>
      <c r="B3" s="500"/>
      <c r="C3" s="500"/>
      <c r="D3" s="500"/>
      <c r="E3" s="500"/>
      <c r="F3" s="500"/>
      <c r="G3" s="500"/>
    </row>
    <row r="4" spans="1:10">
      <c r="A4" s="45" t="s">
        <v>597</v>
      </c>
      <c r="B4" s="500"/>
      <c r="C4" s="500"/>
      <c r="D4" s="500"/>
      <c r="E4" s="500"/>
      <c r="F4" s="500"/>
      <c r="G4" s="500"/>
    </row>
    <row r="5" spans="1:10">
      <c r="A5" s="45" t="s">
        <v>599</v>
      </c>
      <c r="B5" s="500"/>
      <c r="C5" s="500"/>
      <c r="D5" s="500"/>
      <c r="E5" s="500"/>
      <c r="F5" s="500"/>
      <c r="G5" s="500"/>
    </row>
    <row r="6" spans="1:10">
      <c r="A6" s="45" t="s">
        <v>601</v>
      </c>
      <c r="B6" s="500"/>
      <c r="C6" s="500"/>
      <c r="D6" s="500"/>
      <c r="E6" s="500"/>
      <c r="F6" s="500"/>
      <c r="G6" s="500"/>
    </row>
    <row r="7" spans="1:10" ht="25.5">
      <c r="A7" s="45" t="s">
        <v>603</v>
      </c>
      <c r="B7" s="505"/>
      <c r="C7" s="505"/>
      <c r="D7" s="505"/>
      <c r="E7" s="505"/>
      <c r="F7" s="505"/>
      <c r="G7" s="505"/>
    </row>
    <row r="8" spans="1:10">
      <c r="A8" s="45" t="s">
        <v>831</v>
      </c>
      <c r="B8" s="500"/>
      <c r="C8" s="500"/>
      <c r="D8" s="500"/>
      <c r="E8" s="500"/>
      <c r="F8" s="500"/>
      <c r="G8" s="500"/>
    </row>
    <row r="9" spans="1:10">
      <c r="A9" s="45" t="s">
        <v>832</v>
      </c>
      <c r="B9" s="506"/>
      <c r="C9" s="506"/>
      <c r="D9" s="506"/>
      <c r="E9" s="506"/>
      <c r="F9" s="506"/>
      <c r="G9" s="506"/>
    </row>
    <row r="11" spans="1:10">
      <c r="A11" s="532" t="str">
        <f>CONCATENATE("Financial Details: ",B1)</f>
        <v xml:space="preserve">Financial Details: </v>
      </c>
      <c r="B11" s="532"/>
      <c r="C11" s="532"/>
      <c r="D11" s="532"/>
      <c r="E11" s="532"/>
      <c r="F11" s="532"/>
      <c r="G11" s="532"/>
    </row>
    <row r="12" spans="1:10">
      <c r="A12" s="1"/>
      <c r="B12" s="533" t="s">
        <v>833</v>
      </c>
      <c r="C12" s="533"/>
      <c r="D12" s="533"/>
      <c r="E12" s="533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4"/>
      <c r="C14" s="535"/>
      <c r="D14" s="535"/>
      <c r="E14" s="536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4"/>
      <c r="C20" s="535"/>
      <c r="D20" s="535"/>
      <c r="E20" s="536"/>
      <c r="F20" s="153"/>
      <c r="G20" s="153"/>
    </row>
    <row r="21" spans="1:7">
      <c r="A21" s="60" t="s">
        <v>727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4"/>
      <c r="C24" s="535"/>
      <c r="D24" s="535"/>
      <c r="E24" s="536"/>
      <c r="F24" s="153"/>
      <c r="G24" s="153"/>
    </row>
    <row r="25" spans="1:7">
      <c r="A25" s="60" t="s">
        <v>731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3" t="s">
        <v>833</v>
      </c>
      <c r="C44" s="533"/>
      <c r="D44" s="533"/>
      <c r="E44" s="533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718</v>
      </c>
      <c r="G45" s="52" t="s">
        <v>719</v>
      </c>
    </row>
    <row r="46" spans="1:10">
      <c r="A46" s="152" t="s">
        <v>751</v>
      </c>
      <c r="B46" s="534"/>
      <c r="C46" s="535"/>
      <c r="D46" s="535"/>
      <c r="E46" s="536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4"/>
      <c r="C55" s="535"/>
      <c r="D55" s="535"/>
      <c r="E55" s="536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4"/>
      <c r="C61" s="535"/>
      <c r="D61" s="535"/>
      <c r="E61" s="536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19" t="s">
        <v>835</v>
      </c>
      <c r="B1" s="519"/>
      <c r="C1" s="519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65" t="s">
        <v>57</v>
      </c>
      <c r="C2" s="365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58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836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576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837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838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839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840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574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841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842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843</v>
      </c>
      <c r="B13" s="12">
        <f>BasicInput!$D$49</f>
        <v>0</v>
      </c>
      <c r="C13" s="362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63</v>
      </c>
      <c r="B14" s="12">
        <f>BasicInput!$D$50</f>
        <v>0</v>
      </c>
      <c r="C14" s="362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64</v>
      </c>
      <c r="B15" s="12">
        <f>BasicInput!$D$51</f>
        <v>0</v>
      </c>
      <c r="C15" s="362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844</v>
      </c>
      <c r="B16" s="12">
        <f>BasicInput!$D$52</f>
        <v>0</v>
      </c>
      <c r="C16" s="362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107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66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691</v>
      </c>
      <c r="B19" s="13">
        <f>B12+B17+B18</f>
        <v>0</v>
      </c>
      <c r="C19" s="5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119</v>
      </c>
      <c r="B20" s="13">
        <f>B19/12</f>
        <v>0</v>
      </c>
      <c r="C20" s="541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692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693</v>
      </c>
      <c r="B22" s="12">
        <f>'ExistingLoans&amp;Facilities&amp;RTR'!$N$103</f>
        <v>0</v>
      </c>
      <c r="C22" s="542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694</v>
      </c>
      <c r="B23" s="12">
        <f>BasicInput!$G$28</f>
        <v>3000000</v>
      </c>
      <c r="C23" s="543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845</v>
      </c>
      <c r="B24" s="12">
        <f>SUMIF(BasicInput!$B$22:$B$26,Validation!$A$37,BasicInput!$G$22:$G$26)</f>
        <v>0</v>
      </c>
      <c r="C24" s="543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695</v>
      </c>
      <c r="B25" s="12">
        <f>SUMIF(BasicInput!$B$22:$B$26,Validation!$A$38,BasicInput!$G$22:$G$26)</f>
        <v>0</v>
      </c>
      <c r="C25" s="544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696</v>
      </c>
      <c r="B26" s="16">
        <f>IF(SUM(B22:B23)=0,0,IFERROR(SUM(B22:B23)/B20,100000%))</f>
        <v>1000</v>
      </c>
      <c r="C26" s="545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697</v>
      </c>
      <c r="B27" s="16">
        <f>IF(SUM(B22:B25)=0,0,IFERROR(SUM(B22:B25)/B20,100000%))</f>
        <v>1000</v>
      </c>
      <c r="C27" s="546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698</v>
      </c>
      <c r="B28" s="16">
        <f>IFERROR(SUMIF(BasicInput!$B$22:$B$26,Validation!$A$38,BasicInput!$G$22:$G$26)/B20,0)</f>
        <v>0</v>
      </c>
      <c r="C28" s="547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699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700</v>
      </c>
      <c r="B30" s="16">
        <f>IFERROR((BasicInput!$D$28+$G$43)/$M$43,0)</f>
        <v>0</v>
      </c>
      <c r="C30" s="545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701</v>
      </c>
      <c r="B31" s="16">
        <f>IFERROR((BasicInput!$D$27+$G$43)/$M$43,0)</f>
        <v>0</v>
      </c>
      <c r="C31" s="546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702</v>
      </c>
      <c r="B32" s="16">
        <f>IFERROR(SUMIF(BasicInput!$B$22:$B$26,Validation!$A$38,BasicInput!$D$22:$D$26)/$M$43,0)</f>
        <v>0</v>
      </c>
      <c r="C32" s="547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703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704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42</v>
      </c>
      <c r="B37" s="10" t="s">
        <v>43</v>
      </c>
      <c r="C37" s="10" t="s">
        <v>44</v>
      </c>
      <c r="D37" s="10" t="s">
        <v>45</v>
      </c>
      <c r="E37" s="10" t="s">
        <v>46</v>
      </c>
      <c r="F37" s="10" t="s">
        <v>47</v>
      </c>
      <c r="G37" s="10" t="s">
        <v>48</v>
      </c>
      <c r="H37" s="10" t="s">
        <v>49</v>
      </c>
      <c r="I37" s="10" t="s">
        <v>50</v>
      </c>
      <c r="J37" s="10" t="s">
        <v>51</v>
      </c>
      <c r="K37" s="10" t="s">
        <v>52</v>
      </c>
      <c r="L37" s="10" t="s">
        <v>53</v>
      </c>
      <c r="M37" s="10" t="s">
        <v>54</v>
      </c>
      <c r="N37" s="10" t="s">
        <v>705</v>
      </c>
      <c r="O37" s="10" t="s">
        <v>706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3" t="s">
        <v>39</v>
      </c>
      <c r="B43" s="529"/>
      <c r="C43" s="529"/>
      <c r="D43" s="529"/>
      <c r="E43" s="529"/>
      <c r="F43" s="529"/>
      <c r="G43" s="13">
        <f>SUM(G38:G42)</f>
        <v>0</v>
      </c>
      <c r="H43" s="523"/>
      <c r="I43" s="529"/>
      <c r="J43" s="529"/>
      <c r="K43" s="529"/>
      <c r="L43" s="524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8" t="s">
        <v>713</v>
      </c>
      <c r="B1" s="548"/>
      <c r="C1" s="548"/>
      <c r="D1" s="548"/>
      <c r="E1" s="548"/>
      <c r="F1" s="548"/>
      <c r="G1" s="548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714</v>
      </c>
      <c r="B3" s="531" t="str">
        <f>IF(Prime1!B1="","",CONCATENATE(Prime1!B1," &amp; Group"))</f>
        <v>NARENDRA KUMAR VYAS &amp; Group</v>
      </c>
      <c r="C3" s="531"/>
      <c r="D3" s="531"/>
      <c r="E3" s="531"/>
      <c r="F3" s="531"/>
      <c r="G3" s="531"/>
    </row>
    <row r="4" spans="1:11"/>
    <row r="5" spans="1:11">
      <c r="A5" s="532" t="s">
        <v>715</v>
      </c>
      <c r="B5" s="532"/>
      <c r="C5" s="532"/>
      <c r="D5" s="532"/>
      <c r="E5" s="532"/>
      <c r="F5" s="532"/>
      <c r="G5" s="532"/>
    </row>
    <row r="6" spans="1:11">
      <c r="B6" s="533" t="s">
        <v>716</v>
      </c>
      <c r="C6" s="533"/>
      <c r="D6" s="533"/>
      <c r="E6" s="533"/>
    </row>
    <row r="7" spans="1:11" ht="38.25">
      <c r="A7" s="48" t="s">
        <v>717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718</v>
      </c>
      <c r="G7" s="52" t="s">
        <v>719</v>
      </c>
      <c r="I7" s="120"/>
      <c r="J7" s="120"/>
    </row>
    <row r="8" spans="1:11">
      <c r="A8" s="53" t="s">
        <v>846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847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848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849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850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851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852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853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854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855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856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857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858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859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58</v>
      </c>
      <c r="J20" s="127" t="s">
        <v>860</v>
      </c>
      <c r="K20" s="127" t="s">
        <v>860</v>
      </c>
      <c r="L20" s="127" t="s">
        <v>860</v>
      </c>
    </row>
    <row r="21" spans="1:12">
      <c r="A21" s="60" t="s">
        <v>726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861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862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863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864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865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866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867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868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869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870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49"/>
      <c r="J26" s="550"/>
      <c r="K26" s="550"/>
      <c r="L26" s="551"/>
    </row>
    <row r="27" spans="1:12">
      <c r="A27" s="60" t="s">
        <v>107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871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872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861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873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863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874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865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861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875</v>
      </c>
      <c r="J31" s="129">
        <f>('ExistingLoans&amp;Facilities&amp;RTR'!$N$103+BasicInput!$G$27)*12/100000</f>
        <v>360</v>
      </c>
      <c r="K31" s="129">
        <f>('ExistingLoans&amp;Facilities&amp;RTR'!$N$103+BasicInput!$G$27)*12/100000</f>
        <v>360</v>
      </c>
      <c r="L31" s="129">
        <f>('ExistingLoans&amp;Facilities&amp;RTR'!$N$103+BasicInput!$G$27)*12/100000</f>
        <v>360</v>
      </c>
    </row>
    <row r="32" spans="1:12">
      <c r="A32" s="60" t="s">
        <v>876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869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877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878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184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879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880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881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882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883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884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741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742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743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885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886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749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887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888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716</v>
      </c>
      <c r="C50" s="47"/>
      <c r="D50" s="47"/>
      <c r="E50" s="47"/>
      <c r="F50" s="64"/>
      <c r="G50" s="64"/>
    </row>
    <row r="51" spans="1:7" ht="38.25">
      <c r="A51" s="48" t="s">
        <v>750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718</v>
      </c>
      <c r="G51" s="52" t="s">
        <v>719</v>
      </c>
    </row>
    <row r="52" spans="1:7">
      <c r="A52" s="60" t="s">
        <v>889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890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891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892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893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894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895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896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897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898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899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900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901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902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781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903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904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905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906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907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908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909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910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911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378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912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913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914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915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916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917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918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919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920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921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922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923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924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925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791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926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927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928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929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805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930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931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932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933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934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935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936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937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938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939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940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941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942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943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944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806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945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2" t="s">
        <v>946</v>
      </c>
      <c r="B1" s="552"/>
      <c r="C1" s="552"/>
      <c r="D1" s="552"/>
      <c r="F1" s="552" t="s">
        <v>947</v>
      </c>
      <c r="G1" s="552"/>
      <c r="H1" s="552"/>
      <c r="I1" s="552"/>
      <c r="J1" s="552"/>
      <c r="K1" s="552"/>
      <c r="L1" s="552"/>
      <c r="M1" s="552"/>
    </row>
    <row r="2" spans="1:13">
      <c r="A2" s="99" t="s">
        <v>58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948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949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950</v>
      </c>
      <c r="B3" s="99"/>
      <c r="C3" s="99"/>
      <c r="D3" s="99"/>
      <c r="F3" s="101" t="s">
        <v>951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952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953</v>
      </c>
      <c r="B4" s="104">
        <v>12</v>
      </c>
      <c r="C4" s="104">
        <v>12</v>
      </c>
      <c r="D4" s="104">
        <v>12</v>
      </c>
      <c r="F4" s="101" t="s">
        <v>954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942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955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956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957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861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958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959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960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961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806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962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576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963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964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743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965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966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967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968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755</v>
      </c>
      <c r="B17" s="106"/>
      <c r="C17" s="106"/>
      <c r="D17" s="106"/>
    </row>
    <row r="18" spans="1:4">
      <c r="A18" s="109" t="s">
        <v>969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970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971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972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973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974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975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976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977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978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979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980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981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802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806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945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982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983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984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985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986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987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988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3" t="s">
        <v>716</v>
      </c>
      <c r="D2" s="554"/>
      <c r="E2" s="555"/>
    </row>
    <row r="3" spans="1:5">
      <c r="A3" s="86" t="s">
        <v>989</v>
      </c>
      <c r="B3" s="90" t="s">
        <v>990</v>
      </c>
      <c r="C3" s="91"/>
      <c r="D3" s="89"/>
      <c r="E3" s="91"/>
    </row>
    <row r="4" spans="1:5">
      <c r="A4" s="86"/>
      <c r="B4" s="89" t="s">
        <v>991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992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993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994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995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996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997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998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999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1000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1001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990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1002</v>
      </c>
      <c r="B19" s="90" t="s">
        <v>1003</v>
      </c>
      <c r="C19" s="92"/>
      <c r="D19" s="89"/>
      <c r="E19" s="92"/>
    </row>
    <row r="20" spans="1:5">
      <c r="A20" s="86"/>
      <c r="B20" s="89" t="s">
        <v>1004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1005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1006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1003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1007</v>
      </c>
      <c r="B26" s="90" t="s">
        <v>1008</v>
      </c>
      <c r="C26" s="92"/>
      <c r="D26" s="89"/>
      <c r="E26" s="92"/>
    </row>
    <row r="27" spans="1:5">
      <c r="A27" s="86"/>
      <c r="B27" s="89" t="s">
        <v>1009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1010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1011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1012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1013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1008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1014</v>
      </c>
      <c r="B35" s="86" t="s">
        <v>1015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1016</v>
      </c>
      <c r="B37" s="86" t="s">
        <v>1017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1018</v>
      </c>
      <c r="B39" s="86" t="s">
        <v>1019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1020</v>
      </c>
      <c r="B41" s="86" t="s">
        <v>1021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1022</v>
      </c>
      <c r="B43" s="86" t="s">
        <v>1023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589</v>
      </c>
      <c r="B1" s="500" t="s">
        <v>1024</v>
      </c>
      <c r="C1" s="500"/>
      <c r="D1" s="500"/>
      <c r="E1" s="500"/>
      <c r="F1" s="500"/>
      <c r="G1" s="500"/>
    </row>
    <row r="2" spans="1:10">
      <c r="A2" s="45" t="s">
        <v>591</v>
      </c>
      <c r="B2" s="502">
        <v>28025</v>
      </c>
      <c r="C2" s="502"/>
      <c r="D2" s="502"/>
      <c r="E2" s="502"/>
      <c r="F2" s="502"/>
      <c r="G2" s="502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20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>Financial Details: NARENDRA KUMAR VYAS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 ht="15">
      <c r="A15" s="79" t="s">
        <v>846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847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848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849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850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851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852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853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854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855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856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857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864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866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868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890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891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892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894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895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897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898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900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904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905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906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907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909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910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912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914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915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916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917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920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922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924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0" t="s">
        <v>1026</v>
      </c>
      <c r="C1" s="500"/>
      <c r="D1" s="500"/>
      <c r="E1" s="500"/>
      <c r="F1" s="500"/>
      <c r="G1" s="500"/>
    </row>
    <row r="2" spans="1:10">
      <c r="A2" s="45" t="s">
        <v>591</v>
      </c>
      <c r="B2" s="502">
        <v>31778</v>
      </c>
      <c r="C2" s="502"/>
      <c r="D2" s="502"/>
      <c r="E2" s="502"/>
      <c r="F2" s="502"/>
      <c r="G2" s="502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24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>Financial Details: ASHA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24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56" t="s">
        <v>17</v>
      </c>
      <c r="C3" s="556"/>
      <c r="D3" s="556"/>
      <c r="E3" s="556"/>
      <c r="F3" s="556"/>
      <c r="G3" s="556"/>
    </row>
    <row r="4" spans="1:10">
      <c r="A4" s="45" t="s">
        <v>597</v>
      </c>
      <c r="B4" s="556" t="s">
        <v>828</v>
      </c>
      <c r="C4" s="556"/>
      <c r="D4" s="556"/>
      <c r="E4" s="556"/>
      <c r="F4" s="556"/>
      <c r="G4" s="556"/>
    </row>
    <row r="5" spans="1:10">
      <c r="A5" s="45" t="s">
        <v>599</v>
      </c>
      <c r="B5" s="556" t="s">
        <v>829</v>
      </c>
      <c r="C5" s="556"/>
      <c r="D5" s="556"/>
      <c r="E5" s="556"/>
      <c r="F5" s="556"/>
      <c r="G5" s="556"/>
    </row>
    <row r="6" spans="1:10">
      <c r="A6" s="45" t="s">
        <v>601</v>
      </c>
      <c r="B6" s="556" t="s">
        <v>830</v>
      </c>
      <c r="C6" s="556"/>
      <c r="D6" s="556"/>
      <c r="E6" s="556"/>
      <c r="F6" s="556"/>
      <c r="G6" s="556"/>
    </row>
    <row r="7" spans="1:10" ht="25.5">
      <c r="A7" s="45" t="s">
        <v>603</v>
      </c>
      <c r="B7" s="557">
        <v>2024</v>
      </c>
      <c r="C7" s="557"/>
      <c r="D7" s="557"/>
      <c r="E7" s="557"/>
      <c r="F7" s="557"/>
      <c r="G7" s="557"/>
    </row>
    <row r="8" spans="1:10">
      <c r="A8" s="45" t="s">
        <v>831</v>
      </c>
      <c r="B8" s="556" t="s">
        <v>24</v>
      </c>
      <c r="C8" s="556"/>
      <c r="D8" s="556"/>
      <c r="E8" s="556"/>
      <c r="F8" s="556"/>
      <c r="G8" s="556"/>
    </row>
    <row r="9" spans="1:10">
      <c r="A9" s="45" t="s">
        <v>832</v>
      </c>
      <c r="B9" s="558">
        <v>1</v>
      </c>
      <c r="C9" s="558"/>
      <c r="D9" s="558"/>
      <c r="E9" s="558"/>
      <c r="F9" s="558"/>
      <c r="G9" s="558"/>
    </row>
    <row r="10" spans="1:10">
      <c r="A10" s="46" t="s">
        <v>1025</v>
      </c>
      <c r="B10" s="559">
        <f>IFERROR(IF(B5="Manufacturing",VLOOKUP(B6,Validation!$C$2:$D$115,2,0),IF(B5="Trading",VLOOKUP(B6,Validation!$F$2:$G$118,2,0),IF(B5="Services",VLOOKUP(B6,Validation!$I$2:$J$50,2,0),""))),"")</f>
        <v>6.5</v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0"/>
      <c r="C1" s="560"/>
      <c r="D1" s="560"/>
      <c r="E1" s="560"/>
      <c r="F1" s="560"/>
      <c r="G1" s="560"/>
    </row>
    <row r="2" spans="1:10">
      <c r="A2" s="45" t="s">
        <v>591</v>
      </c>
      <c r="B2" s="561"/>
      <c r="C2" s="561"/>
      <c r="D2" s="561"/>
      <c r="E2" s="561"/>
      <c r="F2" s="561"/>
      <c r="G2" s="561"/>
    </row>
    <row r="3" spans="1:10">
      <c r="A3" s="45" t="s">
        <v>595</v>
      </c>
      <c r="B3" s="560"/>
      <c r="C3" s="560"/>
      <c r="D3" s="560"/>
      <c r="E3" s="560"/>
      <c r="F3" s="560"/>
      <c r="G3" s="560"/>
    </row>
    <row r="4" spans="1:10">
      <c r="A4" s="45" t="s">
        <v>597</v>
      </c>
      <c r="B4" s="560"/>
      <c r="C4" s="560"/>
      <c r="D4" s="560"/>
      <c r="E4" s="560"/>
      <c r="F4" s="560"/>
      <c r="G4" s="560"/>
    </row>
    <row r="5" spans="1:10">
      <c r="A5" s="45" t="s">
        <v>599</v>
      </c>
      <c r="B5" s="560"/>
      <c r="C5" s="560"/>
      <c r="D5" s="560"/>
      <c r="E5" s="560"/>
      <c r="F5" s="560"/>
      <c r="G5" s="560"/>
    </row>
    <row r="6" spans="1:10">
      <c r="A6" s="45" t="s">
        <v>601</v>
      </c>
      <c r="B6" s="560"/>
      <c r="C6" s="560"/>
      <c r="D6" s="560"/>
      <c r="E6" s="560"/>
      <c r="F6" s="560"/>
      <c r="G6" s="560"/>
    </row>
    <row r="7" spans="1:10" ht="25.5">
      <c r="A7" s="45" t="s">
        <v>603</v>
      </c>
      <c r="B7" s="562"/>
      <c r="C7" s="562"/>
      <c r="D7" s="562"/>
      <c r="E7" s="562"/>
      <c r="F7" s="562"/>
      <c r="G7" s="562"/>
    </row>
    <row r="8" spans="1:10">
      <c r="A8" s="45" t="s">
        <v>831</v>
      </c>
      <c r="B8" s="560"/>
      <c r="C8" s="560"/>
      <c r="D8" s="560"/>
      <c r="E8" s="560"/>
      <c r="F8" s="560"/>
      <c r="G8" s="560"/>
    </row>
    <row r="9" spans="1:10">
      <c r="A9" s="45" t="s">
        <v>832</v>
      </c>
      <c r="B9" s="563"/>
      <c r="C9" s="563"/>
      <c r="D9" s="563"/>
      <c r="E9" s="563"/>
      <c r="F9" s="563"/>
      <c r="G9" s="563"/>
    </row>
    <row r="10" spans="1:10">
      <c r="A10" s="46" t="s">
        <v>1025</v>
      </c>
      <c r="B10" s="559" t="str">
        <f>IFERROR(IF(B5="Manufacturing",VLOOKUP(B6,Validation!$C$2:$D$115,2,0),IF(B5="Trading",VLOOKUP(B6,Validation!$F$2:$G$118,2,0),IF(B5="Services",VLOOKUP(B6,Validation!$I$2:$J$50,2,0),""))),"")</f>
        <v/>
      </c>
      <c r="C10" s="559"/>
      <c r="D10" s="559"/>
      <c r="E10" s="559"/>
      <c r="F10" s="559"/>
      <c r="G10" s="559"/>
    </row>
    <row r="12" spans="1:10">
      <c r="A12" s="532" t="str">
        <f>CONCATENATE("Financial Details: ",B1)</f>
        <v xml:space="preserve">Financial Details: </v>
      </c>
      <c r="B12" s="532"/>
      <c r="C12" s="532"/>
      <c r="D12" s="532"/>
      <c r="E12" s="532"/>
      <c r="F12" s="532"/>
      <c r="G12" s="532"/>
    </row>
    <row r="13" spans="1:10">
      <c r="A13" s="1"/>
      <c r="B13" s="533" t="s">
        <v>833</v>
      </c>
      <c r="C13" s="533"/>
      <c r="D13" s="533"/>
      <c r="E13" s="533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3" t="s">
        <v>833</v>
      </c>
      <c r="C57" s="533"/>
      <c r="D57" s="533"/>
      <c r="E57" s="533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19" t="s">
        <v>1741</v>
      </c>
      <c r="B1" s="519"/>
      <c r="C1" s="519"/>
      <c r="D1" s="519"/>
      <c r="E1" s="519"/>
      <c r="F1" s="519"/>
      <c r="G1" s="519"/>
      <c r="H1" s="519"/>
      <c r="I1" s="519"/>
      <c r="J1" s="519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">
        <v>1743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1744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3" t="s">
        <v>39</v>
      </c>
      <c r="B14" s="529"/>
      <c r="C14" s="529"/>
      <c r="D14" s="529"/>
      <c r="E14" s="529"/>
      <c r="F14" s="529"/>
      <c r="G14" s="529"/>
      <c r="H14" s="529"/>
      <c r="I14" s="524"/>
      <c r="J14" s="13">
        <f>SUM(J4:J13)</f>
        <v>0</v>
      </c>
      <c r="K14" s="15"/>
    </row>
    <row r="15" spans="1:11">
      <c r="A15" s="400" t="s">
        <v>1745</v>
      </c>
      <c r="B15" s="401"/>
      <c r="C15" s="401"/>
      <c r="D15" s="401"/>
      <c r="E15" s="401"/>
      <c r="F15" s="401"/>
      <c r="G15" s="401"/>
      <c r="H15" s="401"/>
      <c r="I15" s="402"/>
      <c r="J15" s="21"/>
      <c r="K15" s="15"/>
    </row>
    <row r="16" spans="1:11">
      <c r="A16" s="523" t="s">
        <v>1746</v>
      </c>
      <c r="B16" s="529"/>
      <c r="C16" s="529"/>
      <c r="D16" s="529"/>
      <c r="E16" s="529"/>
      <c r="F16" s="529"/>
      <c r="G16" s="529"/>
      <c r="H16" s="529"/>
      <c r="I16" s="524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62" t="s">
        <v>62</v>
      </c>
      <c r="B17" s="362"/>
      <c r="C17" s="362"/>
      <c r="D17" s="362"/>
      <c r="E17" s="362"/>
      <c r="F17" s="362"/>
      <c r="G17" s="362"/>
      <c r="H17" s="362"/>
      <c r="I17" s="362"/>
      <c r="J17" s="12">
        <f>BasicInput!$D$49</f>
        <v>0</v>
      </c>
    </row>
    <row r="18" spans="1:11">
      <c r="A18" s="362" t="s">
        <v>63</v>
      </c>
      <c r="B18" s="362"/>
      <c r="C18" s="362"/>
      <c r="D18" s="362"/>
      <c r="E18" s="362"/>
      <c r="F18" s="362"/>
      <c r="G18" s="362"/>
      <c r="H18" s="362"/>
      <c r="I18" s="362"/>
      <c r="J18" s="12">
        <f>BasicInput!$D$50</f>
        <v>0</v>
      </c>
    </row>
    <row r="19" spans="1:11">
      <c r="A19" s="362" t="s">
        <v>64</v>
      </c>
      <c r="B19" s="362"/>
      <c r="C19" s="362"/>
      <c r="D19" s="362"/>
      <c r="E19" s="362"/>
      <c r="F19" s="362"/>
      <c r="G19" s="362"/>
      <c r="H19" s="362"/>
      <c r="I19" s="362"/>
      <c r="J19" s="12">
        <f>BasicInput!$D$51</f>
        <v>0</v>
      </c>
    </row>
    <row r="20" spans="1:11">
      <c r="A20" s="362" t="s">
        <v>844</v>
      </c>
      <c r="B20" s="362"/>
      <c r="C20" s="362"/>
      <c r="D20" s="362"/>
      <c r="E20" s="362"/>
      <c r="F20" s="362"/>
      <c r="G20" s="362"/>
      <c r="H20" s="362"/>
      <c r="I20" s="362"/>
      <c r="J20" s="12">
        <f>BasicInput!$D$52</f>
        <v>0</v>
      </c>
    </row>
    <row r="21" spans="1:11">
      <c r="A21" s="523" t="s">
        <v>107</v>
      </c>
      <c r="B21" s="529"/>
      <c r="C21" s="529"/>
      <c r="D21" s="529"/>
      <c r="E21" s="529"/>
      <c r="F21" s="529"/>
      <c r="G21" s="529"/>
      <c r="H21" s="529"/>
      <c r="I21" s="524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62" t="s">
        <v>66</v>
      </c>
      <c r="B22" s="362"/>
      <c r="C22" s="362"/>
      <c r="D22" s="362"/>
      <c r="E22" s="362"/>
      <c r="F22" s="362"/>
      <c r="G22" s="362"/>
      <c r="H22" s="362"/>
      <c r="I22" s="362"/>
      <c r="J22" s="12">
        <f>BasicInput!$D$53</f>
        <v>0</v>
      </c>
    </row>
    <row r="23" spans="1:11">
      <c r="A23" s="523" t="s">
        <v>691</v>
      </c>
      <c r="B23" s="529"/>
      <c r="C23" s="529"/>
      <c r="D23" s="529"/>
      <c r="E23" s="529"/>
      <c r="F23" s="529"/>
      <c r="G23" s="529"/>
      <c r="H23" s="529"/>
      <c r="I23" s="524"/>
      <c r="J23" s="13">
        <f>J16+J21+J22</f>
        <v>0</v>
      </c>
    </row>
    <row r="24" spans="1:11">
      <c r="A24" s="523" t="s">
        <v>119</v>
      </c>
      <c r="B24" s="529"/>
      <c r="C24" s="529"/>
      <c r="D24" s="529"/>
      <c r="E24" s="529"/>
      <c r="F24" s="529"/>
      <c r="G24" s="529"/>
      <c r="H24" s="529"/>
      <c r="I24" s="524"/>
      <c r="J24" s="13">
        <f>J23/12</f>
        <v>0</v>
      </c>
    </row>
    <row r="25" spans="1:11">
      <c r="A25" s="523" t="s">
        <v>692</v>
      </c>
      <c r="B25" s="529"/>
      <c r="C25" s="529"/>
      <c r="D25" s="529"/>
      <c r="E25" s="529"/>
      <c r="F25" s="529"/>
      <c r="G25" s="529"/>
      <c r="H25" s="529"/>
      <c r="I25" s="524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62" t="s">
        <v>693</v>
      </c>
      <c r="B26" s="362"/>
      <c r="C26" s="362"/>
      <c r="D26" s="362"/>
      <c r="E26" s="362"/>
      <c r="F26" s="362"/>
      <c r="G26" s="362"/>
      <c r="H26" s="362"/>
      <c r="I26" s="362"/>
      <c r="J26" s="12">
        <f>'ExistingLoans&amp;Facilities&amp;RTR'!$N$103</f>
        <v>0</v>
      </c>
    </row>
    <row r="27" spans="1:11">
      <c r="A27" s="362" t="s">
        <v>694</v>
      </c>
      <c r="B27" s="362"/>
      <c r="C27" s="362"/>
      <c r="D27" s="362"/>
      <c r="E27" s="362"/>
      <c r="F27" s="362"/>
      <c r="G27" s="362"/>
      <c r="H27" s="362"/>
      <c r="I27" s="362"/>
      <c r="J27" s="12">
        <f>BasicInput!$G$28</f>
        <v>3000000</v>
      </c>
    </row>
    <row r="28" spans="1:11">
      <c r="A28" s="362" t="s">
        <v>845</v>
      </c>
      <c r="B28" s="362"/>
      <c r="C28" s="362"/>
      <c r="D28" s="362"/>
      <c r="E28" s="362"/>
      <c r="F28" s="362"/>
      <c r="G28" s="362"/>
      <c r="H28" s="362"/>
      <c r="I28" s="362"/>
      <c r="J28" s="12">
        <f>SUMIF(BasicInput!$B$22:$B$26,Validation!$A$37,BasicInput!$G$22:$G$26)</f>
        <v>0</v>
      </c>
    </row>
    <row r="29" spans="1:11">
      <c r="A29" s="362" t="s">
        <v>695</v>
      </c>
      <c r="B29" s="362"/>
      <c r="C29" s="362"/>
      <c r="D29" s="362"/>
      <c r="E29" s="362"/>
      <c r="F29" s="362"/>
      <c r="G29" s="362"/>
      <c r="H29" s="362"/>
      <c r="I29" s="362"/>
      <c r="J29" s="12">
        <f>SUMIF(BasicInput!$B$22:$B$26,Validation!$A$38,BasicInput!$G$22:$G$26)</f>
        <v>0</v>
      </c>
    </row>
    <row r="30" spans="1:11">
      <c r="A30" s="523" t="s">
        <v>696</v>
      </c>
      <c r="B30" s="529"/>
      <c r="C30" s="529"/>
      <c r="D30" s="529"/>
      <c r="E30" s="529"/>
      <c r="F30" s="529"/>
      <c r="G30" s="529"/>
      <c r="H30" s="529"/>
      <c r="I30" s="524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3" t="s">
        <v>697</v>
      </c>
      <c r="B31" s="529"/>
      <c r="C31" s="529"/>
      <c r="D31" s="529"/>
      <c r="E31" s="529"/>
      <c r="F31" s="529"/>
      <c r="G31" s="529"/>
      <c r="H31" s="529"/>
      <c r="I31" s="524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3" t="s">
        <v>698</v>
      </c>
      <c r="B32" s="529"/>
      <c r="C32" s="529"/>
      <c r="D32" s="529"/>
      <c r="E32" s="529"/>
      <c r="F32" s="529"/>
      <c r="G32" s="529"/>
      <c r="H32" s="529"/>
      <c r="I32" s="524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3" t="s">
        <v>699</v>
      </c>
      <c r="B33" s="529"/>
      <c r="C33" s="529"/>
      <c r="D33" s="529"/>
      <c r="E33" s="529"/>
      <c r="F33" s="529"/>
      <c r="G33" s="529"/>
      <c r="H33" s="529"/>
      <c r="I33" s="524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3" t="s">
        <v>700</v>
      </c>
      <c r="B34" s="529"/>
      <c r="C34" s="529"/>
      <c r="D34" s="529"/>
      <c r="E34" s="529"/>
      <c r="F34" s="529"/>
      <c r="G34" s="529"/>
      <c r="H34" s="529"/>
      <c r="I34" s="524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3" t="s">
        <v>701</v>
      </c>
      <c r="B35" s="529"/>
      <c r="C35" s="529"/>
      <c r="D35" s="529"/>
      <c r="E35" s="529"/>
      <c r="F35" s="529"/>
      <c r="G35" s="529"/>
      <c r="H35" s="529"/>
      <c r="I35" s="524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3" t="s">
        <v>702</v>
      </c>
      <c r="B36" s="529"/>
      <c r="C36" s="529"/>
      <c r="D36" s="529"/>
      <c r="E36" s="529"/>
      <c r="F36" s="529"/>
      <c r="G36" s="529"/>
      <c r="H36" s="529"/>
      <c r="I36" s="524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3" t="s">
        <v>703</v>
      </c>
      <c r="B37" s="529"/>
      <c r="C37" s="529"/>
      <c r="D37" s="529"/>
      <c r="E37" s="529"/>
      <c r="F37" s="529"/>
      <c r="G37" s="529"/>
      <c r="H37" s="529"/>
      <c r="I37" s="524"/>
      <c r="J37" s="13">
        <f>MAX($P$47,0)</f>
        <v>0</v>
      </c>
      <c r="K37" s="15"/>
    </row>
    <row r="38" spans="1:17">
      <c r="A38" s="527" t="s">
        <v>704</v>
      </c>
      <c r="B38" s="564"/>
      <c r="C38" s="564"/>
      <c r="D38" s="564"/>
      <c r="E38" s="564"/>
      <c r="F38" s="564"/>
      <c r="G38" s="564"/>
      <c r="H38" s="564"/>
      <c r="I38" s="528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42</v>
      </c>
      <c r="C41" s="10" t="s">
        <v>43</v>
      </c>
      <c r="D41" s="10" t="s">
        <v>44</v>
      </c>
      <c r="E41" s="10" t="s">
        <v>45</v>
      </c>
      <c r="F41" s="10" t="s">
        <v>46</v>
      </c>
      <c r="G41" s="10" t="s">
        <v>47</v>
      </c>
      <c r="H41" s="10" t="s">
        <v>48</v>
      </c>
      <c r="I41" s="10" t="s">
        <v>49</v>
      </c>
      <c r="J41" s="10" t="s">
        <v>50</v>
      </c>
      <c r="K41" s="10" t="s">
        <v>51</v>
      </c>
      <c r="L41" s="10" t="s">
        <v>52</v>
      </c>
      <c r="M41" s="10" t="s">
        <v>53</v>
      </c>
      <c r="N41" s="10" t="s">
        <v>54</v>
      </c>
      <c r="O41" s="10" t="s">
        <v>705</v>
      </c>
      <c r="P41" s="10" t="s">
        <v>706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3" t="s">
        <v>39</v>
      </c>
      <c r="C47" s="529"/>
      <c r="D47" s="529"/>
      <c r="E47" s="529"/>
      <c r="F47" s="529"/>
      <c r="G47" s="529"/>
      <c r="H47" s="13">
        <f>SUM(H42:H46)</f>
        <v>0</v>
      </c>
      <c r="I47" s="523"/>
      <c r="J47" s="529"/>
      <c r="K47" s="529"/>
      <c r="L47" s="529"/>
      <c r="M47" s="524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38:I38"/>
    <mergeCell ref="B47:G47"/>
    <mergeCell ref="I47:M47"/>
    <mergeCell ref="A33:I33"/>
    <mergeCell ref="A34:I34"/>
    <mergeCell ref="A35:I35"/>
    <mergeCell ref="A36:I36"/>
    <mergeCell ref="A37:I37"/>
    <mergeCell ref="A28:I28"/>
    <mergeCell ref="A29:I29"/>
    <mergeCell ref="A30:I30"/>
    <mergeCell ref="A31:I31"/>
    <mergeCell ref="A32:I32"/>
    <mergeCell ref="A23:I23"/>
    <mergeCell ref="A24:I24"/>
    <mergeCell ref="A25:I25"/>
    <mergeCell ref="A26:I26"/>
    <mergeCell ref="A27:I27"/>
    <mergeCell ref="A18:I18"/>
    <mergeCell ref="A19:I19"/>
    <mergeCell ref="A20:I20"/>
    <mergeCell ref="A21:I21"/>
    <mergeCell ref="A22:I22"/>
    <mergeCell ref="A1:J1"/>
    <mergeCell ref="A14:I14"/>
    <mergeCell ref="A15:I15"/>
    <mergeCell ref="A16:I16"/>
    <mergeCell ref="A17:I1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19" t="s">
        <v>1747</v>
      </c>
      <c r="B1" s="519"/>
      <c r="C1" s="519"/>
      <c r="D1" s="519"/>
      <c r="E1" s="519"/>
      <c r="F1" s="519"/>
      <c r="G1" s="519"/>
      <c r="H1" s="519"/>
      <c r="I1" s="519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1744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3" t="s">
        <v>1748</v>
      </c>
      <c r="B14" s="529"/>
      <c r="C14" s="529"/>
      <c r="D14" s="529"/>
      <c r="E14" s="529"/>
      <c r="F14" s="529"/>
      <c r="G14" s="529"/>
      <c r="H14" s="524"/>
      <c r="I14" s="13">
        <f>SUM(I4:I13)</f>
        <v>0</v>
      </c>
      <c r="J14" s="15"/>
    </row>
    <row r="15" spans="1:10" ht="27" customHeight="1">
      <c r="A15" s="362" t="s">
        <v>62</v>
      </c>
      <c r="B15" s="362"/>
      <c r="C15" s="362"/>
      <c r="D15" s="362"/>
      <c r="E15" s="362"/>
      <c r="F15" s="362"/>
      <c r="G15" s="362"/>
      <c r="H15" s="362"/>
      <c r="I15" s="12">
        <f>BasicInput!$D$49</f>
        <v>0</v>
      </c>
    </row>
    <row r="16" spans="1:10">
      <c r="A16" s="362" t="s">
        <v>63</v>
      </c>
      <c r="B16" s="362"/>
      <c r="C16" s="362"/>
      <c r="D16" s="362"/>
      <c r="E16" s="362"/>
      <c r="F16" s="362"/>
      <c r="G16" s="362"/>
      <c r="H16" s="362"/>
      <c r="I16" s="12">
        <f>BasicInput!$D$50</f>
        <v>0</v>
      </c>
    </row>
    <row r="17" spans="1:10">
      <c r="A17" s="362" t="s">
        <v>64</v>
      </c>
      <c r="B17" s="362"/>
      <c r="C17" s="362"/>
      <c r="D17" s="362"/>
      <c r="E17" s="362"/>
      <c r="F17" s="362"/>
      <c r="G17" s="362"/>
      <c r="H17" s="362"/>
      <c r="I17" s="12">
        <f>BasicInput!$D$51</f>
        <v>0</v>
      </c>
    </row>
    <row r="18" spans="1:10">
      <c r="A18" s="362" t="s">
        <v>844</v>
      </c>
      <c r="B18" s="362"/>
      <c r="C18" s="362"/>
      <c r="D18" s="362"/>
      <c r="E18" s="362"/>
      <c r="F18" s="362"/>
      <c r="G18" s="362"/>
      <c r="H18" s="362"/>
      <c r="I18" s="12">
        <f>BasicInput!$D$52</f>
        <v>0</v>
      </c>
    </row>
    <row r="19" spans="1:10">
      <c r="A19" s="523" t="s">
        <v>107</v>
      </c>
      <c r="B19" s="529"/>
      <c r="C19" s="529"/>
      <c r="D19" s="529"/>
      <c r="E19" s="529"/>
      <c r="F19" s="529"/>
      <c r="G19" s="529"/>
      <c r="H19" s="524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62" t="s">
        <v>66</v>
      </c>
      <c r="B20" s="362"/>
      <c r="C20" s="362"/>
      <c r="D20" s="362"/>
      <c r="E20" s="362"/>
      <c r="F20" s="362"/>
      <c r="G20" s="362"/>
      <c r="H20" s="362"/>
      <c r="I20" s="12">
        <f>BasicInput!$D$53</f>
        <v>0</v>
      </c>
    </row>
    <row r="21" spans="1:10">
      <c r="A21" s="523" t="s">
        <v>691</v>
      </c>
      <c r="B21" s="529"/>
      <c r="C21" s="529"/>
      <c r="D21" s="529"/>
      <c r="E21" s="529"/>
      <c r="F21" s="529"/>
      <c r="G21" s="529"/>
      <c r="H21" s="524"/>
      <c r="I21" s="13">
        <f>I14+I19+I20</f>
        <v>0</v>
      </c>
    </row>
    <row r="22" spans="1:10">
      <c r="A22" s="523" t="s">
        <v>119</v>
      </c>
      <c r="B22" s="529"/>
      <c r="C22" s="529"/>
      <c r="D22" s="529"/>
      <c r="E22" s="529"/>
      <c r="F22" s="529"/>
      <c r="G22" s="529"/>
      <c r="H22" s="524"/>
      <c r="I22" s="13">
        <f>I21/12</f>
        <v>0</v>
      </c>
    </row>
    <row r="23" spans="1:10">
      <c r="A23" s="523" t="s">
        <v>692</v>
      </c>
      <c r="B23" s="529"/>
      <c r="C23" s="529"/>
      <c r="D23" s="529"/>
      <c r="E23" s="529"/>
      <c r="F23" s="529"/>
      <c r="G23" s="529"/>
      <c r="H23" s="524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62" t="s">
        <v>693</v>
      </c>
      <c r="B24" s="362"/>
      <c r="C24" s="362"/>
      <c r="D24" s="362"/>
      <c r="E24" s="362"/>
      <c r="F24" s="362"/>
      <c r="G24" s="362"/>
      <c r="H24" s="362"/>
      <c r="I24" s="12">
        <f>'ExistingLoans&amp;Facilities&amp;RTR'!$N$103</f>
        <v>0</v>
      </c>
    </row>
    <row r="25" spans="1:10">
      <c r="A25" s="362" t="s">
        <v>694</v>
      </c>
      <c r="B25" s="362"/>
      <c r="C25" s="362"/>
      <c r="D25" s="362"/>
      <c r="E25" s="362"/>
      <c r="F25" s="362"/>
      <c r="G25" s="362"/>
      <c r="H25" s="362"/>
      <c r="I25" s="12">
        <f>BasicInput!$G$28</f>
        <v>3000000</v>
      </c>
    </row>
    <row r="26" spans="1:10">
      <c r="A26" s="362" t="s">
        <v>845</v>
      </c>
      <c r="B26" s="362"/>
      <c r="C26" s="362"/>
      <c r="D26" s="362"/>
      <c r="E26" s="362"/>
      <c r="F26" s="362"/>
      <c r="G26" s="362"/>
      <c r="H26" s="362"/>
      <c r="I26" s="12">
        <f>SUMIF(BasicInput!$B$22:$B$26,Validation!$A$37,BasicInput!$G$22:$G$26)</f>
        <v>0</v>
      </c>
    </row>
    <row r="27" spans="1:10">
      <c r="A27" s="362" t="s">
        <v>695</v>
      </c>
      <c r="B27" s="362"/>
      <c r="C27" s="362"/>
      <c r="D27" s="362"/>
      <c r="E27" s="362"/>
      <c r="F27" s="362"/>
      <c r="G27" s="362"/>
      <c r="H27" s="362"/>
      <c r="I27" s="12">
        <f>SUMIF(BasicInput!$B$22:$B$26,Validation!$A$38,BasicInput!$G$22:$G$26)</f>
        <v>0</v>
      </c>
    </row>
    <row r="28" spans="1:10">
      <c r="A28" s="523" t="s">
        <v>696</v>
      </c>
      <c r="B28" s="529"/>
      <c r="C28" s="529"/>
      <c r="D28" s="529"/>
      <c r="E28" s="529"/>
      <c r="F28" s="529"/>
      <c r="G28" s="529"/>
      <c r="H28" s="524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3" t="s">
        <v>697</v>
      </c>
      <c r="B29" s="529"/>
      <c r="C29" s="529"/>
      <c r="D29" s="529"/>
      <c r="E29" s="529"/>
      <c r="F29" s="529"/>
      <c r="G29" s="529"/>
      <c r="H29" s="524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3" t="s">
        <v>698</v>
      </c>
      <c r="B30" s="529"/>
      <c r="C30" s="529"/>
      <c r="D30" s="529"/>
      <c r="E30" s="529"/>
      <c r="F30" s="529"/>
      <c r="G30" s="529"/>
      <c r="H30" s="524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3" t="s">
        <v>699</v>
      </c>
      <c r="B31" s="529"/>
      <c r="C31" s="529"/>
      <c r="D31" s="529"/>
      <c r="E31" s="529"/>
      <c r="F31" s="529"/>
      <c r="G31" s="529"/>
      <c r="H31" s="524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3" t="s">
        <v>700</v>
      </c>
      <c r="B32" s="529"/>
      <c r="C32" s="529"/>
      <c r="D32" s="529"/>
      <c r="E32" s="529"/>
      <c r="F32" s="529"/>
      <c r="G32" s="529"/>
      <c r="H32" s="524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3" t="s">
        <v>701</v>
      </c>
      <c r="B33" s="529"/>
      <c r="C33" s="529"/>
      <c r="D33" s="529"/>
      <c r="E33" s="529"/>
      <c r="F33" s="529"/>
      <c r="G33" s="529"/>
      <c r="H33" s="524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3" t="s">
        <v>702</v>
      </c>
      <c r="B34" s="529"/>
      <c r="C34" s="529"/>
      <c r="D34" s="529"/>
      <c r="E34" s="529"/>
      <c r="F34" s="529"/>
      <c r="G34" s="529"/>
      <c r="H34" s="524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3" t="s">
        <v>703</v>
      </c>
      <c r="B35" s="529"/>
      <c r="C35" s="529"/>
      <c r="D35" s="529"/>
      <c r="E35" s="529"/>
      <c r="F35" s="529"/>
      <c r="G35" s="529"/>
      <c r="H35" s="524"/>
      <c r="I35" s="13">
        <f>MAX($P$45,0)</f>
        <v>0</v>
      </c>
      <c r="J35" s="15"/>
    </row>
    <row r="36" spans="1:17">
      <c r="A36" s="527" t="s">
        <v>704</v>
      </c>
      <c r="B36" s="564"/>
      <c r="C36" s="564"/>
      <c r="D36" s="564"/>
      <c r="E36" s="564"/>
      <c r="F36" s="564"/>
      <c r="G36" s="564"/>
      <c r="H36" s="528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3" t="s">
        <v>39</v>
      </c>
      <c r="C45" s="529"/>
      <c r="D45" s="529"/>
      <c r="E45" s="529"/>
      <c r="F45" s="529"/>
      <c r="G45" s="529"/>
      <c r="H45" s="13">
        <f>SUM(H40:H44)</f>
        <v>0</v>
      </c>
      <c r="I45" s="523"/>
      <c r="J45" s="529"/>
      <c r="K45" s="529"/>
      <c r="L45" s="529"/>
      <c r="M45" s="524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I45:M45"/>
    <mergeCell ref="A33:H33"/>
    <mergeCell ref="A34:H34"/>
    <mergeCell ref="A35:H35"/>
    <mergeCell ref="A36:H36"/>
    <mergeCell ref="B45:G45"/>
    <mergeCell ref="A28:H28"/>
    <mergeCell ref="A29:H29"/>
    <mergeCell ref="A30:H30"/>
    <mergeCell ref="A31:H31"/>
    <mergeCell ref="A32:H32"/>
    <mergeCell ref="A23:H23"/>
    <mergeCell ref="A24:H24"/>
    <mergeCell ref="A25:H25"/>
    <mergeCell ref="A26:H26"/>
    <mergeCell ref="A27:H27"/>
    <mergeCell ref="A18:H18"/>
    <mergeCell ref="A19:H19"/>
    <mergeCell ref="A20:H20"/>
    <mergeCell ref="A21:H21"/>
    <mergeCell ref="A22:H22"/>
    <mergeCell ref="A1:I1"/>
    <mergeCell ref="A14:H14"/>
    <mergeCell ref="A15:H15"/>
    <mergeCell ref="A16:H16"/>
    <mergeCell ref="A17:H17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19" t="s">
        <v>1749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1744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3" t="s">
        <v>1748</v>
      </c>
      <c r="B14" s="529"/>
      <c r="C14" s="529"/>
      <c r="D14" s="529"/>
      <c r="E14" s="529"/>
      <c r="F14" s="529"/>
      <c r="G14" s="529"/>
      <c r="H14" s="529"/>
      <c r="I14" s="529"/>
      <c r="J14" s="529"/>
      <c r="K14" s="524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62" t="s">
        <v>62</v>
      </c>
      <c r="B15" s="362"/>
      <c r="C15" s="362"/>
      <c r="D15" s="362"/>
      <c r="E15" s="362"/>
      <c r="F15" s="362"/>
      <c r="G15" s="362"/>
      <c r="H15" s="362"/>
      <c r="I15" s="362"/>
      <c r="J15" s="362"/>
      <c r="K15" s="362"/>
      <c r="L15" s="12">
        <f>BasicInput!$D$49</f>
        <v>0</v>
      </c>
    </row>
    <row r="16" spans="1:13">
      <c r="A16" s="362" t="s">
        <v>63</v>
      </c>
      <c r="B16" s="362"/>
      <c r="C16" s="362"/>
      <c r="D16" s="362"/>
      <c r="E16" s="362"/>
      <c r="F16" s="362"/>
      <c r="G16" s="362"/>
      <c r="H16" s="362"/>
      <c r="I16" s="362"/>
      <c r="J16" s="362"/>
      <c r="K16" s="362"/>
      <c r="L16" s="12">
        <f>BasicInput!$D$50</f>
        <v>0</v>
      </c>
    </row>
    <row r="17" spans="1:13">
      <c r="A17" s="362" t="s">
        <v>64</v>
      </c>
      <c r="B17" s="362"/>
      <c r="C17" s="362"/>
      <c r="D17" s="362"/>
      <c r="E17" s="362"/>
      <c r="F17" s="362"/>
      <c r="G17" s="362"/>
      <c r="H17" s="362"/>
      <c r="I17" s="362"/>
      <c r="J17" s="362"/>
      <c r="K17" s="362"/>
      <c r="L17" s="12">
        <f>BasicInput!$D$51</f>
        <v>0</v>
      </c>
    </row>
    <row r="18" spans="1:13">
      <c r="A18" s="362" t="s">
        <v>844</v>
      </c>
      <c r="B18" s="362"/>
      <c r="C18" s="362"/>
      <c r="D18" s="362"/>
      <c r="E18" s="362"/>
      <c r="F18" s="362"/>
      <c r="G18" s="362"/>
      <c r="H18" s="362"/>
      <c r="I18" s="362"/>
      <c r="J18" s="362"/>
      <c r="K18" s="362"/>
      <c r="L18" s="12">
        <f>BasicInput!$D$52</f>
        <v>0</v>
      </c>
    </row>
    <row r="19" spans="1:13">
      <c r="A19" s="523" t="s">
        <v>107</v>
      </c>
      <c r="B19" s="529"/>
      <c r="C19" s="529"/>
      <c r="D19" s="529"/>
      <c r="E19" s="529"/>
      <c r="F19" s="529"/>
      <c r="G19" s="529"/>
      <c r="H19" s="529"/>
      <c r="I19" s="529"/>
      <c r="J19" s="529"/>
      <c r="K19" s="524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62" t="s">
        <v>66</v>
      </c>
      <c r="B20" s="362"/>
      <c r="C20" s="362"/>
      <c r="D20" s="362"/>
      <c r="E20" s="362"/>
      <c r="F20" s="362"/>
      <c r="G20" s="362"/>
      <c r="H20" s="362"/>
      <c r="I20" s="362"/>
      <c r="J20" s="362"/>
      <c r="K20" s="362"/>
      <c r="L20" s="12">
        <f>BasicInput!$D$53</f>
        <v>0</v>
      </c>
    </row>
    <row r="21" spans="1:13">
      <c r="A21" s="523" t="s">
        <v>691</v>
      </c>
      <c r="B21" s="529"/>
      <c r="C21" s="529"/>
      <c r="D21" s="529"/>
      <c r="E21" s="529"/>
      <c r="F21" s="529"/>
      <c r="G21" s="529"/>
      <c r="H21" s="529"/>
      <c r="I21" s="529"/>
      <c r="J21" s="529"/>
      <c r="K21" s="524"/>
      <c r="L21" s="13">
        <f>L14+L19+L20</f>
        <v>0</v>
      </c>
    </row>
    <row r="22" spans="1:13">
      <c r="A22" s="523" t="s">
        <v>119</v>
      </c>
      <c r="B22" s="529"/>
      <c r="C22" s="529"/>
      <c r="D22" s="529"/>
      <c r="E22" s="529"/>
      <c r="F22" s="529"/>
      <c r="G22" s="529"/>
      <c r="H22" s="529"/>
      <c r="I22" s="529"/>
      <c r="J22" s="529"/>
      <c r="K22" s="524"/>
      <c r="L22" s="13">
        <f>L21/12</f>
        <v>0</v>
      </c>
    </row>
    <row r="23" spans="1:13">
      <c r="A23" s="523" t="s">
        <v>692</v>
      </c>
      <c r="B23" s="529"/>
      <c r="C23" s="529"/>
      <c r="D23" s="529"/>
      <c r="E23" s="529"/>
      <c r="F23" s="529"/>
      <c r="G23" s="529"/>
      <c r="H23" s="529"/>
      <c r="I23" s="529"/>
      <c r="J23" s="529"/>
      <c r="K23" s="524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62" t="s">
        <v>693</v>
      </c>
      <c r="B24" s="362"/>
      <c r="C24" s="362"/>
      <c r="D24" s="362"/>
      <c r="E24" s="362"/>
      <c r="F24" s="362"/>
      <c r="G24" s="362"/>
      <c r="H24" s="362"/>
      <c r="I24" s="362"/>
      <c r="J24" s="362"/>
      <c r="K24" s="362"/>
      <c r="L24" s="12">
        <f>'ExistingLoans&amp;Facilities&amp;RTR'!$N$103</f>
        <v>0</v>
      </c>
    </row>
    <row r="25" spans="1:13">
      <c r="A25" s="362" t="s">
        <v>694</v>
      </c>
      <c r="B25" s="362"/>
      <c r="C25" s="362"/>
      <c r="D25" s="362"/>
      <c r="E25" s="362"/>
      <c r="F25" s="362"/>
      <c r="G25" s="362"/>
      <c r="H25" s="362"/>
      <c r="I25" s="362"/>
      <c r="J25" s="362"/>
      <c r="K25" s="362"/>
      <c r="L25" s="12">
        <f>BasicInput!$G$28</f>
        <v>3000000</v>
      </c>
    </row>
    <row r="26" spans="1:13">
      <c r="A26" s="362" t="s">
        <v>845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12">
        <f>SUMIF(BasicInput!$B$22:$B$26,Validation!$A$37,BasicInput!$G$22:$G$26)</f>
        <v>0</v>
      </c>
    </row>
    <row r="27" spans="1:13">
      <c r="A27" s="362" t="s">
        <v>695</v>
      </c>
      <c r="B27" s="362"/>
      <c r="C27" s="362"/>
      <c r="D27" s="362"/>
      <c r="E27" s="362"/>
      <c r="F27" s="362"/>
      <c r="G27" s="362"/>
      <c r="H27" s="362"/>
      <c r="I27" s="362"/>
      <c r="J27" s="362"/>
      <c r="K27" s="362"/>
      <c r="L27" s="12">
        <f>SUMIF(BasicInput!$B$22:$B$26,Validation!$A$38,BasicInput!$G$22:$G$26)</f>
        <v>0</v>
      </c>
    </row>
    <row r="28" spans="1:13">
      <c r="A28" s="523" t="s">
        <v>696</v>
      </c>
      <c r="B28" s="529"/>
      <c r="C28" s="529"/>
      <c r="D28" s="529"/>
      <c r="E28" s="529"/>
      <c r="F28" s="529"/>
      <c r="G28" s="529"/>
      <c r="H28" s="529"/>
      <c r="I28" s="529"/>
      <c r="J28" s="529"/>
      <c r="K28" s="524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3" t="s">
        <v>697</v>
      </c>
      <c r="B29" s="529"/>
      <c r="C29" s="529"/>
      <c r="D29" s="529"/>
      <c r="E29" s="529"/>
      <c r="F29" s="529"/>
      <c r="G29" s="529"/>
      <c r="H29" s="529"/>
      <c r="I29" s="529"/>
      <c r="J29" s="529"/>
      <c r="K29" s="524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3" t="s">
        <v>698</v>
      </c>
      <c r="B30" s="529"/>
      <c r="C30" s="529"/>
      <c r="D30" s="529"/>
      <c r="E30" s="529"/>
      <c r="F30" s="529"/>
      <c r="G30" s="529"/>
      <c r="H30" s="529"/>
      <c r="I30" s="529"/>
      <c r="J30" s="529"/>
      <c r="K30" s="524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3" t="s">
        <v>699</v>
      </c>
      <c r="B31" s="529"/>
      <c r="C31" s="529"/>
      <c r="D31" s="529"/>
      <c r="E31" s="529"/>
      <c r="F31" s="529"/>
      <c r="G31" s="529"/>
      <c r="H31" s="529"/>
      <c r="I31" s="529"/>
      <c r="J31" s="529"/>
      <c r="K31" s="524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3" t="s">
        <v>700</v>
      </c>
      <c r="B32" s="529"/>
      <c r="C32" s="529"/>
      <c r="D32" s="529"/>
      <c r="E32" s="529"/>
      <c r="F32" s="529"/>
      <c r="G32" s="529"/>
      <c r="H32" s="529"/>
      <c r="I32" s="529"/>
      <c r="J32" s="529"/>
      <c r="K32" s="524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3" t="s">
        <v>701</v>
      </c>
      <c r="B33" s="529"/>
      <c r="C33" s="529"/>
      <c r="D33" s="529"/>
      <c r="E33" s="529"/>
      <c r="F33" s="529"/>
      <c r="G33" s="529"/>
      <c r="H33" s="529"/>
      <c r="I33" s="529"/>
      <c r="J33" s="529"/>
      <c r="K33" s="524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3" t="s">
        <v>702</v>
      </c>
      <c r="B34" s="529"/>
      <c r="C34" s="529"/>
      <c r="D34" s="529"/>
      <c r="E34" s="529"/>
      <c r="F34" s="529"/>
      <c r="G34" s="529"/>
      <c r="H34" s="529"/>
      <c r="I34" s="529"/>
      <c r="J34" s="529"/>
      <c r="K34" s="524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3" t="s">
        <v>703</v>
      </c>
      <c r="B35" s="529"/>
      <c r="C35" s="529"/>
      <c r="D35" s="529"/>
      <c r="E35" s="529"/>
      <c r="F35" s="529"/>
      <c r="G35" s="529"/>
      <c r="H35" s="529"/>
      <c r="I35" s="529"/>
      <c r="J35" s="529"/>
      <c r="K35" s="524"/>
      <c r="L35" s="13">
        <f>MAX($P$45,0)</f>
        <v>0</v>
      </c>
      <c r="M35" s="15"/>
    </row>
    <row r="36" spans="1:17">
      <c r="A36" s="527" t="s">
        <v>704</v>
      </c>
      <c r="B36" s="564"/>
      <c r="C36" s="564"/>
      <c r="D36" s="564"/>
      <c r="E36" s="564"/>
      <c r="F36" s="564"/>
      <c r="G36" s="564"/>
      <c r="H36" s="564"/>
      <c r="I36" s="564"/>
      <c r="J36" s="564"/>
      <c r="K36" s="528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3" t="s">
        <v>39</v>
      </c>
      <c r="C45" s="529"/>
      <c r="D45" s="529"/>
      <c r="E45" s="529"/>
      <c r="F45" s="529"/>
      <c r="G45" s="529"/>
      <c r="H45" s="13">
        <f>SUM(H40:H44)</f>
        <v>0</v>
      </c>
      <c r="I45" s="523"/>
      <c r="J45" s="529"/>
      <c r="K45" s="529"/>
      <c r="L45" s="529"/>
      <c r="M45" s="524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33:K33"/>
    <mergeCell ref="A34:K34"/>
    <mergeCell ref="A35:K35"/>
    <mergeCell ref="A36:K36"/>
    <mergeCell ref="B45:G45"/>
    <mergeCell ref="I45:M45"/>
    <mergeCell ref="A28:K28"/>
    <mergeCell ref="A29:K29"/>
    <mergeCell ref="A30:K30"/>
    <mergeCell ref="A31:K31"/>
    <mergeCell ref="A32:K32"/>
    <mergeCell ref="A23:K23"/>
    <mergeCell ref="A24:K24"/>
    <mergeCell ref="A25:K25"/>
    <mergeCell ref="A26:K26"/>
    <mergeCell ref="A27:K27"/>
    <mergeCell ref="A18:K18"/>
    <mergeCell ref="A19:K19"/>
    <mergeCell ref="A20:K20"/>
    <mergeCell ref="A21:K21"/>
    <mergeCell ref="A22:K22"/>
    <mergeCell ref="A1:L1"/>
    <mergeCell ref="A14:K14"/>
    <mergeCell ref="A15:K15"/>
    <mergeCell ref="A16:K16"/>
    <mergeCell ref="A17:K17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1750</v>
      </c>
      <c r="C1" s="2" t="s">
        <v>1751</v>
      </c>
      <c r="D1" s="2" t="s">
        <v>1752</v>
      </c>
      <c r="F1" s="2" t="s">
        <v>1753</v>
      </c>
      <c r="G1" s="2" t="s">
        <v>1752</v>
      </c>
      <c r="I1" s="2" t="s">
        <v>829</v>
      </c>
      <c r="J1" s="2" t="s">
        <v>1752</v>
      </c>
      <c r="L1" s="5" t="s">
        <v>1754</v>
      </c>
      <c r="M1" s="5" t="s">
        <v>1755</v>
      </c>
      <c r="N1" s="5" t="s">
        <v>1756</v>
      </c>
      <c r="O1" s="5" t="s">
        <v>1757</v>
      </c>
      <c r="P1" s="5" t="s">
        <v>1758</v>
      </c>
      <c r="Q1" s="5" t="s">
        <v>1759</v>
      </c>
      <c r="R1" s="5" t="s">
        <v>1760</v>
      </c>
      <c r="S1" s="5" t="s">
        <v>1761</v>
      </c>
      <c r="T1" s="5" t="s">
        <v>1762</v>
      </c>
      <c r="U1" s="5" t="s">
        <v>1763</v>
      </c>
      <c r="V1" s="5" t="s">
        <v>1764</v>
      </c>
      <c r="W1" s="5" t="s">
        <v>1765</v>
      </c>
      <c r="X1" s="5" t="s">
        <v>1766</v>
      </c>
      <c r="Y1" s="5" t="s">
        <v>1767</v>
      </c>
      <c r="Z1" s="5" t="s">
        <v>1768</v>
      </c>
      <c r="AA1" s="5" t="s">
        <v>1769</v>
      </c>
    </row>
    <row r="2" spans="1:27" ht="25.5">
      <c r="A2" s="3" t="s">
        <v>1751</v>
      </c>
      <c r="C2" s="3" t="s">
        <v>1770</v>
      </c>
      <c r="D2" s="4">
        <v>6.64</v>
      </c>
      <c r="F2" s="3" t="s">
        <v>1770</v>
      </c>
      <c r="G2" s="4">
        <v>3.95</v>
      </c>
      <c r="I2" s="3" t="s">
        <v>1771</v>
      </c>
      <c r="J2" s="4">
        <v>10.73</v>
      </c>
      <c r="L2" s="1" t="s">
        <v>1772</v>
      </c>
      <c r="M2" s="1" t="s">
        <v>1773</v>
      </c>
      <c r="N2" s="1" t="s">
        <v>1774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1753</v>
      </c>
      <c r="C3" s="3" t="s">
        <v>1775</v>
      </c>
      <c r="D3" s="4">
        <v>5.8</v>
      </c>
      <c r="F3" s="3" t="s">
        <v>1775</v>
      </c>
      <c r="G3" s="4">
        <v>3.95</v>
      </c>
      <c r="I3" s="3" t="s">
        <v>1776</v>
      </c>
      <c r="J3" s="4">
        <v>12.9</v>
      </c>
      <c r="L3" s="1" t="s">
        <v>1772</v>
      </c>
      <c r="M3" s="1" t="s">
        <v>1777</v>
      </c>
      <c r="N3" s="1" t="s">
        <v>1774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829</v>
      </c>
      <c r="C4" s="3" t="s">
        <v>1778</v>
      </c>
      <c r="D4" s="4">
        <v>3.57</v>
      </c>
      <c r="F4" s="3" t="s">
        <v>1778</v>
      </c>
      <c r="G4" s="4">
        <v>3.57</v>
      </c>
      <c r="I4" s="3" t="s">
        <v>1779</v>
      </c>
      <c r="J4" s="4">
        <v>9.65</v>
      </c>
      <c r="L4" s="1" t="s">
        <v>1772</v>
      </c>
      <c r="M4" s="1" t="s">
        <v>1780</v>
      </c>
      <c r="N4" s="1" t="s">
        <v>1774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1781</v>
      </c>
      <c r="D5" s="4">
        <v>9.69</v>
      </c>
      <c r="F5" s="3" t="s">
        <v>1781</v>
      </c>
      <c r="G5" s="4">
        <v>3.95</v>
      </c>
      <c r="I5" s="3" t="s">
        <v>1782</v>
      </c>
      <c r="J5" s="4">
        <v>6.94</v>
      </c>
      <c r="L5" s="1" t="s">
        <v>1772</v>
      </c>
      <c r="M5" s="1" t="s">
        <v>1783</v>
      </c>
      <c r="N5" s="1" t="s">
        <v>1774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1784</v>
      </c>
      <c r="C6" s="3" t="s">
        <v>1785</v>
      </c>
      <c r="D6" s="4">
        <v>6.64</v>
      </c>
      <c r="F6" s="3" t="s">
        <v>1785</v>
      </c>
      <c r="G6" s="4">
        <v>3.95</v>
      </c>
      <c r="I6" s="3" t="s">
        <v>1786</v>
      </c>
      <c r="J6" s="4">
        <v>10.18</v>
      </c>
      <c r="L6" s="1" t="s">
        <v>1772</v>
      </c>
      <c r="M6" s="1" t="s">
        <v>1773</v>
      </c>
      <c r="N6" s="1" t="s">
        <v>1787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17</v>
      </c>
      <c r="C7" s="3" t="s">
        <v>1788</v>
      </c>
      <c r="D7" s="4">
        <v>9.42</v>
      </c>
      <c r="F7" s="3" t="s">
        <v>1788</v>
      </c>
      <c r="G7" s="4">
        <v>3.95</v>
      </c>
      <c r="I7" s="3" t="s">
        <v>1789</v>
      </c>
      <c r="J7" s="4">
        <v>13.01</v>
      </c>
      <c r="L7" s="1" t="s">
        <v>1772</v>
      </c>
      <c r="M7" s="1" t="s">
        <v>1777</v>
      </c>
      <c r="N7" s="1" t="s">
        <v>1787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1790</v>
      </c>
      <c r="C8" s="3" t="s">
        <v>1791</v>
      </c>
      <c r="D8" s="4">
        <v>15.98</v>
      </c>
      <c r="F8" s="3" t="s">
        <v>1791</v>
      </c>
      <c r="G8" s="4">
        <v>3.95</v>
      </c>
      <c r="I8" s="3" t="s">
        <v>1792</v>
      </c>
      <c r="J8" s="4">
        <v>9.4499999999999993</v>
      </c>
      <c r="L8" s="1" t="s">
        <v>1772</v>
      </c>
      <c r="M8" s="1" t="s">
        <v>1780</v>
      </c>
      <c r="N8" s="1" t="s">
        <v>1787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1793</v>
      </c>
      <c r="C9" s="3" t="s">
        <v>1794</v>
      </c>
      <c r="D9" s="4">
        <v>6.64</v>
      </c>
      <c r="F9" s="3" t="s">
        <v>1794</v>
      </c>
      <c r="G9" s="4">
        <v>3.95</v>
      </c>
      <c r="I9" s="3" t="s">
        <v>1795</v>
      </c>
      <c r="J9" s="4">
        <v>6.94</v>
      </c>
      <c r="L9" s="1" t="s">
        <v>1772</v>
      </c>
      <c r="M9" s="1" t="s">
        <v>1783</v>
      </c>
      <c r="N9" s="1" t="s">
        <v>1787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1796</v>
      </c>
      <c r="C10" s="3" t="s">
        <v>1797</v>
      </c>
      <c r="D10" s="4">
        <v>8.61</v>
      </c>
      <c r="F10" s="3" t="s">
        <v>1797</v>
      </c>
      <c r="G10" s="4">
        <v>3.95</v>
      </c>
      <c r="I10" s="3" t="s">
        <v>1798</v>
      </c>
      <c r="J10" s="4">
        <v>18.14</v>
      </c>
      <c r="L10" s="1" t="s">
        <v>1772</v>
      </c>
      <c r="M10" s="1" t="s">
        <v>1773</v>
      </c>
      <c r="N10" s="1" t="s">
        <v>1799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1800</v>
      </c>
      <c r="C11" s="3" t="s">
        <v>1801</v>
      </c>
      <c r="D11" s="4">
        <v>9.69</v>
      </c>
      <c r="F11" s="3" t="s">
        <v>1801</v>
      </c>
      <c r="G11" s="4">
        <v>3.95</v>
      </c>
      <c r="I11" s="3" t="s">
        <v>1802</v>
      </c>
      <c r="J11" s="4">
        <v>10.38</v>
      </c>
      <c r="L11" s="1" t="s">
        <v>1772</v>
      </c>
      <c r="M11" s="1" t="s">
        <v>1777</v>
      </c>
      <c r="N11" s="1" t="s">
        <v>1799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1803</v>
      </c>
      <c r="C12" s="3" t="s">
        <v>1804</v>
      </c>
      <c r="D12" s="4">
        <v>12.26</v>
      </c>
      <c r="F12" s="3" t="s">
        <v>1804</v>
      </c>
      <c r="G12" s="4">
        <v>3.95</v>
      </c>
      <c r="I12" s="3" t="s">
        <v>1805</v>
      </c>
      <c r="J12" s="4">
        <v>5.4</v>
      </c>
      <c r="L12" s="1" t="s">
        <v>1772</v>
      </c>
      <c r="M12" s="1" t="s">
        <v>1780</v>
      </c>
      <c r="N12" s="1" t="s">
        <v>1799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1806</v>
      </c>
      <c r="C13" s="3" t="s">
        <v>1807</v>
      </c>
      <c r="D13" s="4">
        <v>6.09</v>
      </c>
      <c r="F13" s="3" t="s">
        <v>1807</v>
      </c>
      <c r="G13" s="4">
        <v>3.95</v>
      </c>
      <c r="I13" s="3" t="s">
        <v>1808</v>
      </c>
      <c r="J13" s="4">
        <v>18.5</v>
      </c>
      <c r="L13" s="1" t="s">
        <v>1772</v>
      </c>
      <c r="M13" s="1" t="s">
        <v>1783</v>
      </c>
      <c r="N13" s="1" t="s">
        <v>1799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1809</v>
      </c>
      <c r="C14" s="3" t="s">
        <v>1810</v>
      </c>
      <c r="D14" s="4">
        <v>6.64</v>
      </c>
      <c r="F14" s="3" t="s">
        <v>1810</v>
      </c>
      <c r="G14" s="4">
        <v>3.95</v>
      </c>
      <c r="I14" s="3" t="s">
        <v>1811</v>
      </c>
      <c r="J14" s="4">
        <v>18.5</v>
      </c>
      <c r="L14" s="1" t="s">
        <v>1772</v>
      </c>
      <c r="M14" s="1" t="s">
        <v>1812</v>
      </c>
      <c r="N14" s="1" t="s">
        <v>1774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1813</v>
      </c>
      <c r="C15" s="3" t="s">
        <v>1814</v>
      </c>
      <c r="D15" s="4">
        <v>7.43</v>
      </c>
      <c r="F15" s="3" t="s">
        <v>1814</v>
      </c>
      <c r="G15" s="4">
        <v>7.43</v>
      </c>
      <c r="I15" s="3" t="s">
        <v>1815</v>
      </c>
      <c r="J15" s="4">
        <v>13.41</v>
      </c>
      <c r="L15" s="1" t="s">
        <v>1772</v>
      </c>
      <c r="M15" s="1" t="s">
        <v>1816</v>
      </c>
      <c r="N15" s="1" t="s">
        <v>1774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1817</v>
      </c>
      <c r="C16" s="3" t="s">
        <v>1818</v>
      </c>
      <c r="D16" s="4">
        <v>10.17</v>
      </c>
      <c r="F16" s="3" t="s">
        <v>1819</v>
      </c>
      <c r="G16" s="4">
        <v>5.43</v>
      </c>
      <c r="I16" s="3" t="s">
        <v>1820</v>
      </c>
      <c r="J16" s="4">
        <v>12.91</v>
      </c>
      <c r="L16" s="1" t="s">
        <v>1772</v>
      </c>
      <c r="M16" s="1" t="s">
        <v>1821</v>
      </c>
      <c r="N16" s="1" t="s">
        <v>1774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1822</v>
      </c>
      <c r="D17" s="4">
        <v>10.17</v>
      </c>
      <c r="F17" s="3" t="s">
        <v>1818</v>
      </c>
      <c r="G17" s="4">
        <v>5.43</v>
      </c>
      <c r="I17" s="3" t="s">
        <v>1823</v>
      </c>
      <c r="J17" s="4">
        <v>12.47</v>
      </c>
      <c r="L17" s="1" t="s">
        <v>1772</v>
      </c>
      <c r="M17" s="1" t="s">
        <v>1824</v>
      </c>
      <c r="N17" s="1" t="s">
        <v>1774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1825</v>
      </c>
      <c r="C18" s="3" t="s">
        <v>1826</v>
      </c>
      <c r="D18" s="4">
        <v>2.7</v>
      </c>
      <c r="F18" s="3" t="s">
        <v>1822</v>
      </c>
      <c r="G18" s="4">
        <v>5.43</v>
      </c>
      <c r="I18" s="3" t="s">
        <v>1827</v>
      </c>
      <c r="J18" s="4">
        <v>12.9</v>
      </c>
      <c r="L18" s="1" t="s">
        <v>1772</v>
      </c>
      <c r="M18" s="1" t="s">
        <v>1812</v>
      </c>
      <c r="N18" s="1" t="s">
        <v>1787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32</v>
      </c>
      <c r="B19" s="1">
        <v>240</v>
      </c>
      <c r="C19" s="3" t="s">
        <v>1828</v>
      </c>
      <c r="D19" s="4">
        <v>8.5</v>
      </c>
      <c r="F19" s="3" t="s">
        <v>1826</v>
      </c>
      <c r="G19" s="4">
        <v>5.43</v>
      </c>
      <c r="I19" s="3" t="s">
        <v>1829</v>
      </c>
      <c r="J19" s="4">
        <v>9.06</v>
      </c>
      <c r="L19" s="1" t="s">
        <v>1772</v>
      </c>
      <c r="M19" s="1" t="s">
        <v>1816</v>
      </c>
      <c r="N19" s="1" t="s">
        <v>1787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1830</v>
      </c>
      <c r="B20" s="1">
        <v>240</v>
      </c>
      <c r="C20" s="3" t="s">
        <v>1831</v>
      </c>
      <c r="D20" s="4">
        <v>10.99</v>
      </c>
      <c r="F20" s="3" t="s">
        <v>1828</v>
      </c>
      <c r="G20" s="4">
        <v>5.43</v>
      </c>
      <c r="I20" s="3" t="s">
        <v>1832</v>
      </c>
      <c r="J20" s="4">
        <v>11.95</v>
      </c>
      <c r="L20" s="1" t="s">
        <v>1772</v>
      </c>
      <c r="M20" s="1" t="s">
        <v>1821</v>
      </c>
      <c r="N20" s="1" t="s">
        <v>1787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1833</v>
      </c>
      <c r="B21" s="1">
        <v>120</v>
      </c>
      <c r="C21" s="3" t="s">
        <v>1834</v>
      </c>
      <c r="D21" s="4">
        <v>9.48</v>
      </c>
      <c r="F21" s="3" t="s">
        <v>1835</v>
      </c>
      <c r="G21" s="4">
        <v>5.04</v>
      </c>
      <c r="I21" s="3" t="s">
        <v>1836</v>
      </c>
      <c r="J21" s="4">
        <v>11.95</v>
      </c>
      <c r="L21" s="1" t="s">
        <v>1772</v>
      </c>
      <c r="M21" s="1" t="s">
        <v>1824</v>
      </c>
      <c r="N21" s="1" t="s">
        <v>1787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1837</v>
      </c>
      <c r="B22" s="1">
        <v>240</v>
      </c>
      <c r="C22" s="3" t="s">
        <v>1838</v>
      </c>
      <c r="D22" s="4">
        <v>9.48</v>
      </c>
      <c r="F22" s="3" t="s">
        <v>1831</v>
      </c>
      <c r="G22" s="4">
        <v>5.04</v>
      </c>
      <c r="I22" s="3" t="s">
        <v>1839</v>
      </c>
      <c r="J22" s="4">
        <v>12.45</v>
      </c>
      <c r="L22" s="1" t="s">
        <v>1772</v>
      </c>
      <c r="M22" s="1" t="s">
        <v>1812</v>
      </c>
      <c r="N22" s="1" t="s">
        <v>1799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1840</v>
      </c>
      <c r="B23" s="1">
        <v>120</v>
      </c>
      <c r="C23" s="3" t="s">
        <v>1841</v>
      </c>
      <c r="D23" s="4">
        <v>8.11</v>
      </c>
      <c r="F23" s="3" t="s">
        <v>1834</v>
      </c>
      <c r="G23" s="4">
        <v>5.31</v>
      </c>
      <c r="I23" s="3" t="s">
        <v>1842</v>
      </c>
      <c r="J23" s="4">
        <v>15.8</v>
      </c>
      <c r="L23" s="1" t="s">
        <v>1772</v>
      </c>
      <c r="M23" s="1" t="s">
        <v>1816</v>
      </c>
      <c r="N23" s="1" t="s">
        <v>1799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1843</v>
      </c>
      <c r="B24" s="1">
        <v>240</v>
      </c>
      <c r="C24" s="3" t="s">
        <v>1844</v>
      </c>
      <c r="D24" s="4">
        <v>8.81</v>
      </c>
      <c r="F24" s="3" t="s">
        <v>1845</v>
      </c>
      <c r="G24" s="4">
        <v>5.31</v>
      </c>
      <c r="I24" s="3" t="s">
        <v>1846</v>
      </c>
      <c r="J24" s="4">
        <v>11</v>
      </c>
      <c r="L24" s="1" t="s">
        <v>1772</v>
      </c>
      <c r="M24" s="1" t="s">
        <v>1821</v>
      </c>
      <c r="N24" s="1" t="s">
        <v>1799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1847</v>
      </c>
      <c r="B25" s="1">
        <v>240</v>
      </c>
      <c r="C25" s="3" t="s">
        <v>1848</v>
      </c>
      <c r="D25" s="4">
        <v>9.48</v>
      </c>
      <c r="F25" s="3" t="s">
        <v>1838</v>
      </c>
      <c r="G25" s="4">
        <v>5.31</v>
      </c>
      <c r="I25" s="3" t="s">
        <v>830</v>
      </c>
      <c r="J25" s="4">
        <v>6.5</v>
      </c>
      <c r="L25" s="1" t="s">
        <v>1772</v>
      </c>
      <c r="M25" s="1" t="s">
        <v>1824</v>
      </c>
      <c r="N25" s="1" t="s">
        <v>1799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1849</v>
      </c>
      <c r="B26" s="1">
        <v>240</v>
      </c>
      <c r="C26" s="3" t="s">
        <v>1850</v>
      </c>
      <c r="D26" s="4">
        <v>7.45</v>
      </c>
      <c r="F26" s="3" t="s">
        <v>1841</v>
      </c>
      <c r="G26" s="4">
        <v>5.31</v>
      </c>
      <c r="I26" s="3" t="s">
        <v>1851</v>
      </c>
      <c r="J26" s="4">
        <v>12.36</v>
      </c>
      <c r="L26" s="1" t="s">
        <v>1772</v>
      </c>
      <c r="M26" s="1" t="s">
        <v>1852</v>
      </c>
      <c r="N26" s="1" t="s">
        <v>1774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1853</v>
      </c>
      <c r="B27" s="1">
        <v>240</v>
      </c>
      <c r="C27" s="3" t="s">
        <v>1854</v>
      </c>
      <c r="D27" s="4">
        <v>7.15</v>
      </c>
      <c r="F27" s="3" t="s">
        <v>1844</v>
      </c>
      <c r="G27" s="4">
        <v>5.31</v>
      </c>
      <c r="I27" s="3" t="s">
        <v>1855</v>
      </c>
      <c r="J27" s="7">
        <v>8.0399999999999991</v>
      </c>
      <c r="L27" s="1" t="s">
        <v>1772</v>
      </c>
      <c r="M27" s="1" t="s">
        <v>1856</v>
      </c>
      <c r="N27" s="1" t="s">
        <v>1774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1857</v>
      </c>
      <c r="B28" s="1">
        <v>240</v>
      </c>
      <c r="C28" s="3" t="s">
        <v>1858</v>
      </c>
      <c r="D28" s="4">
        <v>6.29</v>
      </c>
      <c r="F28" s="3" t="s">
        <v>1848</v>
      </c>
      <c r="G28" s="4">
        <v>5.31</v>
      </c>
      <c r="I28" s="3" t="s">
        <v>1859</v>
      </c>
      <c r="J28" s="4">
        <v>8.75</v>
      </c>
      <c r="L28" s="1" t="s">
        <v>1772</v>
      </c>
      <c r="M28" s="1" t="s">
        <v>1860</v>
      </c>
      <c r="N28" s="1" t="s">
        <v>1774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1861</v>
      </c>
      <c r="B29" s="1">
        <v>120</v>
      </c>
      <c r="C29" s="3" t="s">
        <v>1862</v>
      </c>
      <c r="D29" s="4">
        <v>10.11</v>
      </c>
      <c r="F29" s="3" t="s">
        <v>1850</v>
      </c>
      <c r="G29" s="4">
        <v>5.31</v>
      </c>
      <c r="I29" s="3" t="s">
        <v>1863</v>
      </c>
      <c r="J29" s="4">
        <v>4.66</v>
      </c>
      <c r="L29" s="1" t="s">
        <v>1772</v>
      </c>
      <c r="M29" s="1" t="s">
        <v>1864</v>
      </c>
      <c r="N29" s="1" t="s">
        <v>1774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1865</v>
      </c>
      <c r="B30" s="1">
        <v>120</v>
      </c>
      <c r="C30" s="3" t="s">
        <v>1866</v>
      </c>
      <c r="D30" s="4">
        <v>7.98</v>
      </c>
      <c r="F30" s="3" t="s">
        <v>1854</v>
      </c>
      <c r="G30" s="4">
        <v>5.31</v>
      </c>
      <c r="I30" s="3" t="s">
        <v>1867</v>
      </c>
      <c r="J30" s="4">
        <v>15.78</v>
      </c>
      <c r="L30" s="1" t="s">
        <v>1772</v>
      </c>
      <c r="M30" s="1" t="s">
        <v>1852</v>
      </c>
      <c r="N30" s="1" t="s">
        <v>1787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1868</v>
      </c>
      <c r="B31" s="1">
        <v>240</v>
      </c>
      <c r="C31" s="3" t="s">
        <v>1869</v>
      </c>
      <c r="D31" s="4">
        <v>9.64</v>
      </c>
      <c r="F31" s="3" t="s">
        <v>1858</v>
      </c>
      <c r="G31" s="4">
        <v>5.31</v>
      </c>
      <c r="I31" s="3" t="s">
        <v>1870</v>
      </c>
      <c r="J31" s="4">
        <v>9.4600000000000009</v>
      </c>
      <c r="L31" s="1" t="s">
        <v>1772</v>
      </c>
      <c r="M31" s="1" t="s">
        <v>1856</v>
      </c>
      <c r="N31" s="1" t="s">
        <v>1787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1871</v>
      </c>
      <c r="B32" s="1">
        <v>240</v>
      </c>
      <c r="C32" s="3" t="s">
        <v>1872</v>
      </c>
      <c r="D32" s="4">
        <v>9.1300000000000008</v>
      </c>
      <c r="F32" s="3" t="s">
        <v>1862</v>
      </c>
      <c r="G32" s="4">
        <v>5.31</v>
      </c>
      <c r="I32" s="3" t="s">
        <v>1873</v>
      </c>
      <c r="J32" s="4">
        <v>4.7699999999999996</v>
      </c>
      <c r="L32" s="1" t="s">
        <v>1772</v>
      </c>
      <c r="M32" s="1" t="s">
        <v>1860</v>
      </c>
      <c r="N32" s="1" t="s">
        <v>1787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1874</v>
      </c>
      <c r="B33" s="1">
        <v>240</v>
      </c>
      <c r="C33" s="3" t="s">
        <v>1875</v>
      </c>
      <c r="D33" s="4">
        <v>7.98</v>
      </c>
      <c r="F33" s="3" t="s">
        <v>1866</v>
      </c>
      <c r="G33" s="4">
        <v>7.98</v>
      </c>
      <c r="I33" s="3" t="s">
        <v>1876</v>
      </c>
      <c r="J33" s="4">
        <v>11.22</v>
      </c>
      <c r="L33" s="1" t="s">
        <v>1772</v>
      </c>
      <c r="M33" s="1" t="s">
        <v>1864</v>
      </c>
      <c r="N33" s="1" t="s">
        <v>1787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1877</v>
      </c>
      <c r="B34" s="1">
        <v>180</v>
      </c>
      <c r="C34" s="3" t="s">
        <v>1792</v>
      </c>
      <c r="D34" s="4">
        <v>9.4499999999999993</v>
      </c>
      <c r="F34" s="3" t="s">
        <v>1869</v>
      </c>
      <c r="G34" s="4">
        <v>5.04</v>
      </c>
      <c r="I34" s="3" t="s">
        <v>1878</v>
      </c>
      <c r="J34" s="4">
        <v>10.36</v>
      </c>
      <c r="L34" s="1" t="s">
        <v>1772</v>
      </c>
      <c r="M34" s="1" t="s">
        <v>1852</v>
      </c>
      <c r="N34" s="1" t="s">
        <v>1799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1879</v>
      </c>
      <c r="B35" s="1">
        <v>180</v>
      </c>
      <c r="C35" s="3" t="s">
        <v>1795</v>
      </c>
      <c r="D35" s="4">
        <v>6.94</v>
      </c>
      <c r="F35" s="3" t="s">
        <v>1872</v>
      </c>
      <c r="G35" s="4">
        <v>9.1300000000000008</v>
      </c>
      <c r="I35" s="3" t="s">
        <v>1880</v>
      </c>
      <c r="J35" s="4">
        <v>1.95</v>
      </c>
      <c r="L35" s="1" t="s">
        <v>1772</v>
      </c>
      <c r="M35" s="1" t="s">
        <v>1856</v>
      </c>
      <c r="N35" s="1" t="s">
        <v>1799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1881</v>
      </c>
      <c r="B36" s="1">
        <v>120</v>
      </c>
      <c r="C36" s="3" t="s">
        <v>1882</v>
      </c>
      <c r="D36" s="4">
        <v>8.58</v>
      </c>
      <c r="F36" s="3" t="s">
        <v>1875</v>
      </c>
      <c r="G36" s="4">
        <v>7.98</v>
      </c>
      <c r="I36" s="3" t="s">
        <v>1883</v>
      </c>
      <c r="J36" s="4">
        <v>15.93</v>
      </c>
      <c r="L36" s="1" t="s">
        <v>1772</v>
      </c>
      <c r="M36" s="1" t="s">
        <v>1860</v>
      </c>
      <c r="N36" s="1" t="s">
        <v>1799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1884</v>
      </c>
      <c r="B37" s="1">
        <v>120</v>
      </c>
      <c r="C37" s="3" t="s">
        <v>1885</v>
      </c>
      <c r="D37" s="4">
        <v>7.6</v>
      </c>
      <c r="F37" s="3" t="s">
        <v>1792</v>
      </c>
      <c r="G37" s="4">
        <v>9.4499999999999993</v>
      </c>
      <c r="I37" s="3" t="s">
        <v>1886</v>
      </c>
      <c r="J37" s="4">
        <v>6.5</v>
      </c>
      <c r="L37" s="1" t="s">
        <v>1772</v>
      </c>
      <c r="M37" s="1" t="s">
        <v>1864</v>
      </c>
      <c r="N37" s="1" t="s">
        <v>1799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1887</v>
      </c>
      <c r="B38" s="1">
        <v>240</v>
      </c>
      <c r="C38" s="3" t="s">
        <v>1888</v>
      </c>
      <c r="D38" s="4">
        <v>7.17</v>
      </c>
      <c r="F38" s="3" t="s">
        <v>1795</v>
      </c>
      <c r="G38" s="4">
        <v>6.94</v>
      </c>
      <c r="I38" s="3" t="s">
        <v>1889</v>
      </c>
      <c r="J38" s="4">
        <v>12.7</v>
      </c>
      <c r="L38" s="1" t="s">
        <v>1772</v>
      </c>
      <c r="M38" s="1" t="s">
        <v>1890</v>
      </c>
      <c r="N38" s="1" t="s">
        <v>1774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1891</v>
      </c>
      <c r="D39" s="4">
        <v>6.49</v>
      </c>
      <c r="F39" s="3" t="s">
        <v>1882</v>
      </c>
      <c r="G39" s="4">
        <v>8.58</v>
      </c>
      <c r="I39" s="3" t="s">
        <v>1892</v>
      </c>
      <c r="J39" s="4">
        <v>12.8</v>
      </c>
      <c r="L39" s="1" t="s">
        <v>1772</v>
      </c>
      <c r="M39" s="1" t="s">
        <v>1893</v>
      </c>
      <c r="N39" s="1" t="s">
        <v>1774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1894</v>
      </c>
      <c r="C40" s="3" t="s">
        <v>1895</v>
      </c>
      <c r="D40" s="4">
        <v>7.17</v>
      </c>
      <c r="F40" s="3" t="s">
        <v>1885</v>
      </c>
      <c r="G40" s="4">
        <v>5.04</v>
      </c>
      <c r="I40" s="3" t="s">
        <v>1896</v>
      </c>
      <c r="J40" s="4">
        <v>10.88</v>
      </c>
      <c r="L40" s="1" t="s">
        <v>1772</v>
      </c>
      <c r="M40" s="1" t="s">
        <v>1897</v>
      </c>
      <c r="N40" s="1" t="s">
        <v>1774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1772</v>
      </c>
      <c r="C41" s="3" t="s">
        <v>1898</v>
      </c>
      <c r="D41" s="4">
        <v>4.34</v>
      </c>
      <c r="F41" s="3" t="s">
        <v>1888</v>
      </c>
      <c r="G41" s="4">
        <v>3.95</v>
      </c>
      <c r="I41" s="3" t="s">
        <v>1899</v>
      </c>
      <c r="J41" s="4">
        <v>6.5</v>
      </c>
      <c r="L41" s="1" t="s">
        <v>1772</v>
      </c>
      <c r="M41" s="1" t="s">
        <v>1890</v>
      </c>
      <c r="N41" s="1" t="s">
        <v>1787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1900</v>
      </c>
      <c r="C42" s="3" t="s">
        <v>1901</v>
      </c>
      <c r="D42" s="4">
        <v>5.33</v>
      </c>
      <c r="F42" s="3" t="s">
        <v>1891</v>
      </c>
      <c r="G42" s="4">
        <v>3.95</v>
      </c>
      <c r="I42" s="3" t="s">
        <v>1902</v>
      </c>
      <c r="J42" s="4">
        <v>7.36</v>
      </c>
      <c r="L42" s="1" t="s">
        <v>1772</v>
      </c>
      <c r="M42" s="1" t="s">
        <v>1893</v>
      </c>
      <c r="N42" s="1" t="s">
        <v>1787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1903</v>
      </c>
      <c r="C43" s="3" t="s">
        <v>1904</v>
      </c>
      <c r="D43" s="4">
        <v>9.42</v>
      </c>
      <c r="F43" s="3" t="s">
        <v>1895</v>
      </c>
      <c r="G43" s="4">
        <v>3.95</v>
      </c>
      <c r="I43" s="3" t="s">
        <v>1905</v>
      </c>
      <c r="J43" s="4">
        <v>12.96</v>
      </c>
      <c r="L43" s="1" t="s">
        <v>1772</v>
      </c>
      <c r="M43" s="1" t="s">
        <v>1897</v>
      </c>
      <c r="N43" s="1" t="s">
        <v>1787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870</v>
      </c>
      <c r="C44" s="3" t="s">
        <v>1906</v>
      </c>
      <c r="D44" s="4">
        <v>3.4</v>
      </c>
      <c r="F44" s="3" t="s">
        <v>1898</v>
      </c>
      <c r="G44" s="4">
        <v>3.95</v>
      </c>
      <c r="I44" s="3" t="s">
        <v>1907</v>
      </c>
      <c r="J44" s="4">
        <v>11.09</v>
      </c>
      <c r="L44" s="1" t="s">
        <v>1772</v>
      </c>
      <c r="M44" s="1" t="s">
        <v>1890</v>
      </c>
      <c r="N44" s="1" t="s">
        <v>1799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1908</v>
      </c>
      <c r="C45" s="3" t="s">
        <v>1909</v>
      </c>
      <c r="D45" s="4">
        <v>4.8899999999999997</v>
      </c>
      <c r="F45" s="3" t="s">
        <v>1901</v>
      </c>
      <c r="G45" s="4">
        <v>3.95</v>
      </c>
      <c r="I45" s="3" t="s">
        <v>1910</v>
      </c>
      <c r="J45" s="4">
        <v>9.64</v>
      </c>
      <c r="L45" s="1" t="s">
        <v>1772</v>
      </c>
      <c r="M45" s="1" t="s">
        <v>1893</v>
      </c>
      <c r="N45" s="1" t="s">
        <v>1799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1911</v>
      </c>
      <c r="C46" s="3" t="s">
        <v>1912</v>
      </c>
      <c r="D46" s="4">
        <v>6.64</v>
      </c>
      <c r="F46" s="3" t="s">
        <v>1904</v>
      </c>
      <c r="G46" s="4">
        <v>3.95</v>
      </c>
      <c r="I46" s="3" t="s">
        <v>1913</v>
      </c>
      <c r="J46" s="4">
        <v>6.48</v>
      </c>
      <c r="L46" s="1" t="s">
        <v>1772</v>
      </c>
      <c r="M46" s="1" t="s">
        <v>1897</v>
      </c>
      <c r="N46" s="1" t="s">
        <v>1799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1914</v>
      </c>
      <c r="C47" s="3" t="s">
        <v>1915</v>
      </c>
      <c r="D47" s="4">
        <v>11.15</v>
      </c>
      <c r="F47" s="3" t="s">
        <v>1906</v>
      </c>
      <c r="G47" s="4">
        <v>3.95</v>
      </c>
      <c r="I47" s="3" t="s">
        <v>1916</v>
      </c>
      <c r="J47" s="4">
        <v>8.3800000000000008</v>
      </c>
      <c r="L47" s="1" t="s">
        <v>1900</v>
      </c>
      <c r="M47" s="1" t="s">
        <v>1773</v>
      </c>
      <c r="N47" s="1" t="s">
        <v>1774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1917</v>
      </c>
      <c r="C48" s="3" t="s">
        <v>1918</v>
      </c>
      <c r="D48" s="4">
        <v>7.98</v>
      </c>
      <c r="F48" s="3" t="s">
        <v>1909</v>
      </c>
      <c r="G48" s="4">
        <v>3.95</v>
      </c>
      <c r="I48" s="3" t="s">
        <v>1919</v>
      </c>
      <c r="J48" s="4">
        <v>8.3800000000000008</v>
      </c>
      <c r="L48" s="1" t="s">
        <v>1900</v>
      </c>
      <c r="M48" s="1" t="s">
        <v>1777</v>
      </c>
      <c r="N48" s="1" t="s">
        <v>1774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1920</v>
      </c>
      <c r="C49" s="3" t="s">
        <v>1921</v>
      </c>
      <c r="D49" s="4">
        <v>8.8000000000000007</v>
      </c>
      <c r="F49" s="3" t="s">
        <v>1912</v>
      </c>
      <c r="G49" s="4">
        <v>3.95</v>
      </c>
      <c r="I49" s="3" t="s">
        <v>1922</v>
      </c>
      <c r="J49" s="4">
        <v>13.17</v>
      </c>
      <c r="L49" s="1" t="s">
        <v>1900</v>
      </c>
      <c r="M49" s="1" t="s">
        <v>1780</v>
      </c>
      <c r="N49" s="1" t="s">
        <v>1774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1923</v>
      </c>
      <c r="C50" s="3" t="s">
        <v>1924</v>
      </c>
      <c r="D50" s="4">
        <v>11.15</v>
      </c>
      <c r="F50" s="3" t="s">
        <v>1915</v>
      </c>
      <c r="G50" s="4">
        <v>5.8</v>
      </c>
      <c r="I50" s="3" t="s">
        <v>1925</v>
      </c>
      <c r="J50" s="4">
        <v>18.86</v>
      </c>
      <c r="L50" s="1" t="s">
        <v>1900</v>
      </c>
      <c r="M50" s="1" t="s">
        <v>1783</v>
      </c>
      <c r="N50" s="1" t="s">
        <v>1774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1926</v>
      </c>
      <c r="C51" s="3" t="s">
        <v>1927</v>
      </c>
      <c r="D51" s="4">
        <v>7.6</v>
      </c>
      <c r="F51" s="3" t="s">
        <v>1918</v>
      </c>
      <c r="G51" s="4">
        <v>7.98</v>
      </c>
      <c r="J51" s="8"/>
      <c r="L51" s="1" t="s">
        <v>1900</v>
      </c>
      <c r="M51" s="1" t="s">
        <v>1773</v>
      </c>
      <c r="N51" s="1" t="s">
        <v>1787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1928</v>
      </c>
      <c r="C52" s="3" t="s">
        <v>1929</v>
      </c>
      <c r="D52" s="4">
        <v>8.58</v>
      </c>
      <c r="F52" s="3" t="s">
        <v>1921</v>
      </c>
      <c r="G52" s="4">
        <v>8.8000000000000007</v>
      </c>
      <c r="J52" s="8"/>
      <c r="L52" s="1" t="s">
        <v>1900</v>
      </c>
      <c r="M52" s="1" t="s">
        <v>1777</v>
      </c>
      <c r="N52" s="1" t="s">
        <v>1787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1930</v>
      </c>
      <c r="D53" s="4">
        <v>7.6</v>
      </c>
      <c r="F53" s="3" t="s">
        <v>1924</v>
      </c>
      <c r="G53" s="4">
        <v>5.65</v>
      </c>
      <c r="J53" s="8"/>
      <c r="L53" s="1" t="s">
        <v>1900</v>
      </c>
      <c r="M53" s="1" t="s">
        <v>1780</v>
      </c>
      <c r="N53" s="1" t="s">
        <v>1787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1931</v>
      </c>
      <c r="D54" s="4">
        <v>8.2200000000000006</v>
      </c>
      <c r="F54" s="3" t="s">
        <v>1927</v>
      </c>
      <c r="G54" s="4">
        <v>5.04</v>
      </c>
      <c r="J54" s="8"/>
      <c r="L54" s="1" t="s">
        <v>1900</v>
      </c>
      <c r="M54" s="1" t="s">
        <v>1783</v>
      </c>
      <c r="N54" s="1" t="s">
        <v>1787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1932</v>
      </c>
      <c r="D55" s="4">
        <v>11.78</v>
      </c>
      <c r="F55" s="3" t="s">
        <v>1929</v>
      </c>
      <c r="G55" s="4">
        <v>8.58</v>
      </c>
      <c r="J55" s="8"/>
      <c r="L55" s="1" t="s">
        <v>1900</v>
      </c>
      <c r="M55" s="1" t="s">
        <v>1773</v>
      </c>
      <c r="N55" s="1" t="s">
        <v>1799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27</v>
      </c>
      <c r="C56" s="3" t="s">
        <v>1933</v>
      </c>
      <c r="D56" s="4">
        <v>11.94</v>
      </c>
      <c r="F56" s="3" t="s">
        <v>1930</v>
      </c>
      <c r="G56" s="4">
        <v>5.04</v>
      </c>
      <c r="J56" s="8"/>
      <c r="L56" s="1" t="s">
        <v>1900</v>
      </c>
      <c r="M56" s="1" t="s">
        <v>1777</v>
      </c>
      <c r="N56" s="1" t="s">
        <v>1799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33</v>
      </c>
      <c r="C57" s="3" t="s">
        <v>1934</v>
      </c>
      <c r="D57" s="4">
        <v>10.36</v>
      </c>
      <c r="F57" s="3" t="s">
        <v>1931</v>
      </c>
      <c r="G57" s="4">
        <v>8.2200000000000006</v>
      </c>
      <c r="J57" s="8"/>
      <c r="L57" s="1" t="s">
        <v>1900</v>
      </c>
      <c r="M57" s="1" t="s">
        <v>1780</v>
      </c>
      <c r="N57" s="1" t="s">
        <v>1799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1935</v>
      </c>
      <c r="C58" s="3" t="s">
        <v>1936</v>
      </c>
      <c r="D58" s="4">
        <v>10.62</v>
      </c>
      <c r="F58" s="3" t="s">
        <v>1932</v>
      </c>
      <c r="G58" s="4">
        <v>11.78</v>
      </c>
      <c r="J58" s="8"/>
      <c r="L58" s="1" t="s">
        <v>1900</v>
      </c>
      <c r="M58" s="1" t="s">
        <v>1783</v>
      </c>
      <c r="N58" s="1" t="s">
        <v>1799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1937</v>
      </c>
      <c r="C59" s="3" t="s">
        <v>1938</v>
      </c>
      <c r="D59" s="4">
        <v>8.2799999999999994</v>
      </c>
      <c r="F59" s="3" t="s">
        <v>1933</v>
      </c>
      <c r="G59" s="4">
        <v>11.94</v>
      </c>
      <c r="J59" s="8"/>
      <c r="L59" s="1" t="s">
        <v>1900</v>
      </c>
      <c r="M59" s="1" t="s">
        <v>1812</v>
      </c>
      <c r="N59" s="1" t="s">
        <v>1774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1939</v>
      </c>
      <c r="C60" s="3" t="s">
        <v>1940</v>
      </c>
      <c r="D60" s="4">
        <v>11.57</v>
      </c>
      <c r="F60" s="3" t="s">
        <v>1934</v>
      </c>
      <c r="G60" s="4">
        <v>5.1100000000000003</v>
      </c>
      <c r="J60" s="8"/>
      <c r="L60" s="1" t="s">
        <v>1900</v>
      </c>
      <c r="M60" s="1" t="s">
        <v>1816</v>
      </c>
      <c r="N60" s="1" t="s">
        <v>1774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1941</v>
      </c>
      <c r="C61" s="3" t="s">
        <v>1942</v>
      </c>
      <c r="D61" s="4">
        <v>2.12</v>
      </c>
      <c r="F61" s="3" t="s">
        <v>1936</v>
      </c>
      <c r="G61" s="4">
        <v>10.62</v>
      </c>
      <c r="J61" s="8"/>
      <c r="L61" s="1" t="s">
        <v>1900</v>
      </c>
      <c r="M61" s="1" t="s">
        <v>1821</v>
      </c>
      <c r="N61" s="1" t="s">
        <v>1774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1943</v>
      </c>
      <c r="C62" s="3" t="s">
        <v>1944</v>
      </c>
      <c r="D62" s="4">
        <v>10.36</v>
      </c>
      <c r="F62" s="3" t="s">
        <v>1938</v>
      </c>
      <c r="G62" s="4">
        <v>8.2799999999999994</v>
      </c>
      <c r="J62" s="8"/>
      <c r="L62" s="1" t="s">
        <v>1900</v>
      </c>
      <c r="M62" s="1" t="s">
        <v>1824</v>
      </c>
      <c r="N62" s="1" t="s">
        <v>1774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1945</v>
      </c>
      <c r="C63" s="3" t="s">
        <v>1946</v>
      </c>
      <c r="D63" s="4">
        <v>9.2100000000000009</v>
      </c>
      <c r="F63" s="3" t="s">
        <v>1940</v>
      </c>
      <c r="G63" s="4">
        <v>11.57</v>
      </c>
      <c r="J63" s="8"/>
      <c r="L63" s="1" t="s">
        <v>1900</v>
      </c>
      <c r="M63" s="1" t="s">
        <v>1812</v>
      </c>
      <c r="N63" s="1" t="s">
        <v>1787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1947</v>
      </c>
      <c r="C64" s="3" t="s">
        <v>1948</v>
      </c>
      <c r="D64" s="4">
        <v>10.36</v>
      </c>
      <c r="F64" s="3" t="s">
        <v>1942</v>
      </c>
      <c r="G64" s="4">
        <v>2.12</v>
      </c>
      <c r="J64" s="8"/>
      <c r="L64" s="1" t="s">
        <v>1900</v>
      </c>
      <c r="M64" s="1" t="s">
        <v>1816</v>
      </c>
      <c r="N64" s="1" t="s">
        <v>1787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1949</v>
      </c>
      <c r="C65" s="3" t="s">
        <v>1950</v>
      </c>
      <c r="D65" s="4">
        <v>12.81</v>
      </c>
      <c r="F65" s="3" t="s">
        <v>1944</v>
      </c>
      <c r="G65" s="4">
        <v>5.1100000000000003</v>
      </c>
      <c r="J65" s="8"/>
      <c r="L65" s="1" t="s">
        <v>1900</v>
      </c>
      <c r="M65" s="1" t="s">
        <v>1821</v>
      </c>
      <c r="N65" s="1" t="s">
        <v>1787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1951</v>
      </c>
      <c r="C66" s="3" t="s">
        <v>1952</v>
      </c>
      <c r="D66" s="4">
        <v>7.75</v>
      </c>
      <c r="F66" s="3" t="s">
        <v>1946</v>
      </c>
      <c r="G66" s="4">
        <v>9.2100000000000009</v>
      </c>
      <c r="J66" s="8"/>
      <c r="L66" s="1" t="s">
        <v>1900</v>
      </c>
      <c r="M66" s="1" t="s">
        <v>1824</v>
      </c>
      <c r="N66" s="1" t="s">
        <v>1787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1928</v>
      </c>
      <c r="C67" s="3" t="s">
        <v>1953</v>
      </c>
      <c r="D67" s="4">
        <v>6.6</v>
      </c>
      <c r="F67" s="3" t="s">
        <v>1948</v>
      </c>
      <c r="G67" s="4">
        <v>5.1100000000000003</v>
      </c>
      <c r="J67" s="8"/>
      <c r="L67" s="1" t="s">
        <v>1900</v>
      </c>
      <c r="M67" s="1" t="s">
        <v>1812</v>
      </c>
      <c r="N67" s="1" t="s">
        <v>1799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1890</v>
      </c>
      <c r="C68" s="3" t="s">
        <v>1954</v>
      </c>
      <c r="D68" s="4">
        <v>9.91</v>
      </c>
      <c r="F68" s="3" t="s">
        <v>1950</v>
      </c>
      <c r="G68" s="4">
        <v>12.81</v>
      </c>
      <c r="J68" s="8"/>
      <c r="L68" s="1" t="s">
        <v>1900</v>
      </c>
      <c r="M68" s="1" t="s">
        <v>1816</v>
      </c>
      <c r="N68" s="1" t="s">
        <v>1799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1887</v>
      </c>
      <c r="C69" s="3" t="s">
        <v>1955</v>
      </c>
      <c r="D69" s="4">
        <v>7.13</v>
      </c>
      <c r="F69" s="3" t="s">
        <v>1952</v>
      </c>
      <c r="G69" s="4">
        <v>7.75</v>
      </c>
      <c r="J69" s="8"/>
      <c r="L69" s="1" t="s">
        <v>1900</v>
      </c>
      <c r="M69" s="1" t="s">
        <v>1821</v>
      </c>
      <c r="N69" s="1" t="s">
        <v>1799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1956</v>
      </c>
      <c r="D70" s="4">
        <v>6.61</v>
      </c>
      <c r="F70" s="3" t="s">
        <v>1953</v>
      </c>
      <c r="G70" s="4">
        <v>6.6</v>
      </c>
      <c r="J70" s="8"/>
      <c r="L70" s="1" t="s">
        <v>1900</v>
      </c>
      <c r="M70" s="1" t="s">
        <v>1824</v>
      </c>
      <c r="N70" s="1" t="s">
        <v>1799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1957</v>
      </c>
      <c r="D71" s="4">
        <v>7.6</v>
      </c>
      <c r="F71" s="3" t="s">
        <v>1954</v>
      </c>
      <c r="G71" s="4">
        <v>9.91</v>
      </c>
      <c r="J71" s="8"/>
      <c r="L71" s="1" t="s">
        <v>1900</v>
      </c>
      <c r="M71" s="1" t="s">
        <v>1852</v>
      </c>
      <c r="N71" s="1" t="s">
        <v>1774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43</v>
      </c>
      <c r="C72" s="3" t="s">
        <v>1958</v>
      </c>
      <c r="D72" s="4">
        <v>10.64</v>
      </c>
      <c r="F72" s="3" t="s">
        <v>1955</v>
      </c>
      <c r="G72" s="4">
        <v>7.13</v>
      </c>
      <c r="J72" s="8"/>
      <c r="L72" s="1" t="s">
        <v>1900</v>
      </c>
      <c r="M72" s="1" t="s">
        <v>1856</v>
      </c>
      <c r="N72" s="1" t="s">
        <v>1774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1959</v>
      </c>
      <c r="C73" s="3" t="s">
        <v>1960</v>
      </c>
      <c r="D73" s="4">
        <v>7.13</v>
      </c>
      <c r="F73" s="3" t="s">
        <v>1956</v>
      </c>
      <c r="G73" s="4">
        <v>6.61</v>
      </c>
      <c r="J73" s="8"/>
      <c r="L73" s="1" t="s">
        <v>1900</v>
      </c>
      <c r="M73" s="1" t="s">
        <v>1860</v>
      </c>
      <c r="N73" s="1" t="s">
        <v>1774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1961</v>
      </c>
      <c r="C74" s="3" t="s">
        <v>1962</v>
      </c>
      <c r="D74" s="4">
        <v>7.51</v>
      </c>
      <c r="F74" s="3" t="s">
        <v>1957</v>
      </c>
      <c r="G74" s="4">
        <v>3</v>
      </c>
      <c r="J74" s="8"/>
      <c r="L74" s="1" t="s">
        <v>1900</v>
      </c>
      <c r="M74" s="1" t="s">
        <v>1864</v>
      </c>
      <c r="N74" s="1" t="s">
        <v>1774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1963</v>
      </c>
      <c r="C75" s="3" t="s">
        <v>1964</v>
      </c>
      <c r="D75" s="4">
        <v>7.57</v>
      </c>
      <c r="F75" s="3" t="s">
        <v>1958</v>
      </c>
      <c r="G75" s="4">
        <v>3</v>
      </c>
      <c r="J75" s="8"/>
      <c r="L75" s="1" t="s">
        <v>1900</v>
      </c>
      <c r="M75" s="1" t="s">
        <v>1852</v>
      </c>
      <c r="N75" s="1" t="s">
        <v>1787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1965</v>
      </c>
      <c r="C76" s="3" t="s">
        <v>1966</v>
      </c>
      <c r="D76" s="4">
        <v>9.17</v>
      </c>
      <c r="F76" s="3" t="s">
        <v>1960</v>
      </c>
      <c r="G76" s="4">
        <v>3</v>
      </c>
      <c r="J76" s="8"/>
      <c r="L76" s="1" t="s">
        <v>1900</v>
      </c>
      <c r="M76" s="1" t="s">
        <v>1856</v>
      </c>
      <c r="N76" s="1" t="s">
        <v>1787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1967</v>
      </c>
      <c r="C77" s="3" t="s">
        <v>1968</v>
      </c>
      <c r="D77" s="4">
        <v>9.25</v>
      </c>
      <c r="F77" s="3" t="s">
        <v>1962</v>
      </c>
      <c r="G77" s="4">
        <v>3</v>
      </c>
      <c r="J77" s="8"/>
      <c r="L77" s="1" t="s">
        <v>1900</v>
      </c>
      <c r="M77" s="1" t="s">
        <v>1860</v>
      </c>
      <c r="N77" s="1" t="s">
        <v>1787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1969</v>
      </c>
      <c r="D78" s="4">
        <v>6.67</v>
      </c>
      <c r="F78" s="3" t="s">
        <v>1964</v>
      </c>
      <c r="G78" s="4">
        <v>3</v>
      </c>
      <c r="J78" s="8"/>
      <c r="L78" s="1" t="s">
        <v>1900</v>
      </c>
      <c r="M78" s="1" t="s">
        <v>1864</v>
      </c>
      <c r="N78" s="1" t="s">
        <v>1787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1970</v>
      </c>
      <c r="D79" s="4">
        <v>6.67</v>
      </c>
      <c r="F79" s="3" t="s">
        <v>1966</v>
      </c>
      <c r="G79" s="4">
        <v>3</v>
      </c>
      <c r="J79" s="8"/>
      <c r="L79" s="1" t="s">
        <v>1900</v>
      </c>
      <c r="M79" s="1" t="s">
        <v>1852</v>
      </c>
      <c r="N79" s="1" t="s">
        <v>1799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1971</v>
      </c>
      <c r="C80" s="3" t="s">
        <v>1972</v>
      </c>
      <c r="D80" s="4">
        <v>5</v>
      </c>
      <c r="F80" s="3" t="s">
        <v>1968</v>
      </c>
      <c r="G80" s="4">
        <v>3</v>
      </c>
      <c r="J80" s="8"/>
      <c r="L80" s="1" t="s">
        <v>1900</v>
      </c>
      <c r="M80" s="1" t="s">
        <v>1856</v>
      </c>
      <c r="N80" s="1" t="s">
        <v>1799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1774</v>
      </c>
      <c r="C81" s="3" t="s">
        <v>1973</v>
      </c>
      <c r="D81" s="4">
        <v>8.06</v>
      </c>
      <c r="F81" s="3" t="s">
        <v>1974</v>
      </c>
      <c r="G81" s="4">
        <v>3</v>
      </c>
      <c r="J81" s="8"/>
      <c r="L81" s="1" t="s">
        <v>1900</v>
      </c>
      <c r="M81" s="1" t="s">
        <v>1860</v>
      </c>
      <c r="N81" s="1" t="s">
        <v>1799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1787</v>
      </c>
      <c r="C82" s="3" t="s">
        <v>1975</v>
      </c>
      <c r="D82" s="4">
        <v>11.25</v>
      </c>
      <c r="F82" s="3" t="s">
        <v>1969</v>
      </c>
      <c r="G82" s="4">
        <v>3</v>
      </c>
      <c r="J82" s="8"/>
      <c r="L82" s="1" t="s">
        <v>1900</v>
      </c>
      <c r="M82" s="1" t="s">
        <v>1864</v>
      </c>
      <c r="N82" s="1" t="s">
        <v>1799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1799</v>
      </c>
      <c r="C83" s="3" t="s">
        <v>1976</v>
      </c>
      <c r="D83" s="4">
        <v>11.25</v>
      </c>
      <c r="F83" s="3" t="s">
        <v>1970</v>
      </c>
      <c r="G83" s="4">
        <v>3</v>
      </c>
      <c r="J83" s="8"/>
      <c r="L83" s="1" t="s">
        <v>1900</v>
      </c>
      <c r="M83" s="1" t="s">
        <v>1890</v>
      </c>
      <c r="N83" s="1" t="s">
        <v>1774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1977</v>
      </c>
      <c r="D84" s="4">
        <v>11.58</v>
      </c>
      <c r="F84" s="3" t="s">
        <v>1972</v>
      </c>
      <c r="G84" s="4">
        <v>3</v>
      </c>
      <c r="J84" s="8"/>
      <c r="L84" s="1" t="s">
        <v>1900</v>
      </c>
      <c r="M84" s="1" t="s">
        <v>1893</v>
      </c>
      <c r="N84" s="1" t="s">
        <v>1774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1978</v>
      </c>
      <c r="D85" s="4">
        <v>7.74</v>
      </c>
      <c r="F85" s="3" t="s">
        <v>1973</v>
      </c>
      <c r="G85" s="4">
        <v>3.84</v>
      </c>
      <c r="J85" s="8"/>
      <c r="L85" s="1" t="s">
        <v>1900</v>
      </c>
      <c r="M85" s="1" t="s">
        <v>1897</v>
      </c>
      <c r="N85" s="1" t="s">
        <v>1774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1979</v>
      </c>
      <c r="D86" s="4">
        <v>6.7</v>
      </c>
      <c r="F86" s="3" t="s">
        <v>1975</v>
      </c>
      <c r="G86" s="4">
        <v>3.84</v>
      </c>
      <c r="J86" s="8"/>
      <c r="L86" s="1" t="s">
        <v>1900</v>
      </c>
      <c r="M86" s="1" t="s">
        <v>1890</v>
      </c>
      <c r="N86" s="1" t="s">
        <v>1787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1980</v>
      </c>
      <c r="D87" s="4">
        <v>7.61</v>
      </c>
      <c r="F87" s="3" t="s">
        <v>1976</v>
      </c>
      <c r="G87" s="4">
        <v>3.84</v>
      </c>
      <c r="J87" s="8"/>
      <c r="L87" s="1" t="s">
        <v>1900</v>
      </c>
      <c r="M87" s="1" t="s">
        <v>1893</v>
      </c>
      <c r="N87" s="1" t="s">
        <v>1787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1981</v>
      </c>
      <c r="C88" s="3" t="s">
        <v>1982</v>
      </c>
      <c r="D88" s="4">
        <v>12.07</v>
      </c>
      <c r="F88" s="3" t="s">
        <v>1977</v>
      </c>
      <c r="G88" s="4">
        <v>11.58</v>
      </c>
      <c r="J88" s="8"/>
      <c r="L88" s="1" t="s">
        <v>1900</v>
      </c>
      <c r="M88" s="1" t="s">
        <v>1897</v>
      </c>
      <c r="N88" s="1" t="s">
        <v>1787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1983</v>
      </c>
      <c r="C89" s="3" t="s">
        <v>1984</v>
      </c>
      <c r="D89" s="4">
        <v>7.1</v>
      </c>
      <c r="F89" s="3" t="s">
        <v>1985</v>
      </c>
      <c r="G89" s="4">
        <v>5.04</v>
      </c>
      <c r="J89" s="8"/>
      <c r="L89" s="1" t="s">
        <v>1900</v>
      </c>
      <c r="M89" s="1" t="s">
        <v>1890</v>
      </c>
      <c r="N89" s="1" t="s">
        <v>1799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1986</v>
      </c>
      <c r="C90" s="3" t="s">
        <v>1987</v>
      </c>
      <c r="D90" s="4">
        <v>5.0599999999999996</v>
      </c>
      <c r="F90" s="3" t="s">
        <v>1979</v>
      </c>
      <c r="G90" s="4">
        <v>6.7</v>
      </c>
      <c r="J90" s="8"/>
      <c r="L90" s="1" t="s">
        <v>1900</v>
      </c>
      <c r="M90" s="1" t="s">
        <v>1893</v>
      </c>
      <c r="N90" s="1" t="s">
        <v>1799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1988</v>
      </c>
      <c r="C91" s="3" t="s">
        <v>1989</v>
      </c>
      <c r="D91" s="4">
        <v>5.98</v>
      </c>
      <c r="F91" s="3" t="s">
        <v>1980</v>
      </c>
      <c r="G91" s="4">
        <v>7.61</v>
      </c>
      <c r="J91" s="8"/>
      <c r="L91" s="1" t="s">
        <v>1900</v>
      </c>
      <c r="M91" s="1" t="s">
        <v>1897</v>
      </c>
      <c r="N91" s="1" t="s">
        <v>1799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1990</v>
      </c>
      <c r="C92" s="3" t="s">
        <v>1991</v>
      </c>
      <c r="D92" s="4">
        <v>8.24</v>
      </c>
      <c r="F92" s="3" t="s">
        <v>1984</v>
      </c>
      <c r="G92" s="4">
        <v>7.1</v>
      </c>
      <c r="J92" s="8"/>
      <c r="L92" s="1" t="s">
        <v>1903</v>
      </c>
      <c r="M92" s="1" t="s">
        <v>1773</v>
      </c>
      <c r="N92" s="1" t="s">
        <v>1774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1992</v>
      </c>
      <c r="C93" s="3" t="s">
        <v>1993</v>
      </c>
      <c r="D93" s="4">
        <v>9.4499999999999993</v>
      </c>
      <c r="F93" s="3" t="s">
        <v>1987</v>
      </c>
      <c r="G93" s="4">
        <v>5.0599999999999996</v>
      </c>
      <c r="J93" s="8"/>
      <c r="L93" s="1" t="s">
        <v>1903</v>
      </c>
      <c r="M93" s="1" t="s">
        <v>1777</v>
      </c>
      <c r="N93" s="1" t="s">
        <v>1774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1994</v>
      </c>
      <c r="C94" s="3" t="s">
        <v>1995</v>
      </c>
      <c r="D94" s="4">
        <v>9.01</v>
      </c>
      <c r="F94" s="3" t="s">
        <v>1989</v>
      </c>
      <c r="G94" s="4">
        <v>5.98</v>
      </c>
      <c r="J94" s="8"/>
      <c r="L94" s="1" t="s">
        <v>1903</v>
      </c>
      <c r="M94" s="1" t="s">
        <v>1780</v>
      </c>
      <c r="N94" s="1" t="s">
        <v>1774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1996</v>
      </c>
      <c r="C95" s="3" t="s">
        <v>1997</v>
      </c>
      <c r="D95" s="4">
        <v>12.03</v>
      </c>
      <c r="F95" s="3" t="s">
        <v>1991</v>
      </c>
      <c r="G95" s="4">
        <v>8.24</v>
      </c>
      <c r="J95" s="8"/>
      <c r="L95" s="1" t="s">
        <v>1903</v>
      </c>
      <c r="M95" s="1" t="s">
        <v>1783</v>
      </c>
      <c r="N95" s="1" t="s">
        <v>1774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1998</v>
      </c>
      <c r="C96" s="3" t="s">
        <v>1892</v>
      </c>
      <c r="D96" s="4">
        <v>12.8</v>
      </c>
      <c r="F96" s="3" t="s">
        <v>1993</v>
      </c>
      <c r="G96" s="4">
        <v>9.4499999999999993</v>
      </c>
      <c r="J96" s="8"/>
      <c r="L96" s="1" t="s">
        <v>1903</v>
      </c>
      <c r="M96" s="1" t="s">
        <v>1773</v>
      </c>
      <c r="N96" s="1" t="s">
        <v>1787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1999</v>
      </c>
      <c r="C97" s="3" t="s">
        <v>2000</v>
      </c>
      <c r="D97" s="4">
        <v>8.6999999999999993</v>
      </c>
      <c r="F97" s="3" t="s">
        <v>1995</v>
      </c>
      <c r="G97" s="4">
        <v>9.01</v>
      </c>
      <c r="J97" s="8"/>
      <c r="L97" s="1" t="s">
        <v>1903</v>
      </c>
      <c r="M97" s="1" t="s">
        <v>1777</v>
      </c>
      <c r="N97" s="1" t="s">
        <v>1787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2001</v>
      </c>
      <c r="C98" s="3" t="s">
        <v>2002</v>
      </c>
      <c r="D98" s="4">
        <v>5.26</v>
      </c>
      <c r="F98" s="3" t="s">
        <v>2003</v>
      </c>
      <c r="G98" s="4">
        <v>2.2599999999999998</v>
      </c>
      <c r="J98" s="8"/>
      <c r="L98" s="1" t="s">
        <v>1903</v>
      </c>
      <c r="M98" s="1" t="s">
        <v>1780</v>
      </c>
      <c r="N98" s="1" t="s">
        <v>1787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2004</v>
      </c>
      <c r="C99" s="3" t="s">
        <v>2005</v>
      </c>
      <c r="D99" s="4">
        <v>12.67</v>
      </c>
      <c r="F99" s="3" t="s">
        <v>1997</v>
      </c>
      <c r="G99" s="4">
        <v>12.03</v>
      </c>
      <c r="J99" s="8"/>
      <c r="L99" s="1" t="s">
        <v>1903</v>
      </c>
      <c r="M99" s="1" t="s">
        <v>1783</v>
      </c>
      <c r="N99" s="1" t="s">
        <v>1787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2006</v>
      </c>
      <c r="C100" s="3" t="s">
        <v>2007</v>
      </c>
      <c r="D100" s="4">
        <v>15.87</v>
      </c>
      <c r="F100" s="3" t="s">
        <v>2000</v>
      </c>
      <c r="G100" s="4">
        <v>8.6999999999999993</v>
      </c>
      <c r="J100" s="8"/>
      <c r="L100" s="1" t="s">
        <v>1903</v>
      </c>
      <c r="M100" s="1" t="s">
        <v>1773</v>
      </c>
      <c r="N100" s="1" t="s">
        <v>1799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2008</v>
      </c>
      <c r="C101" s="3" t="s">
        <v>2009</v>
      </c>
      <c r="D101" s="4">
        <v>4.63</v>
      </c>
      <c r="F101" s="3" t="s">
        <v>2002</v>
      </c>
      <c r="G101" s="4">
        <v>5.26</v>
      </c>
      <c r="J101" s="8"/>
      <c r="L101" s="1" t="s">
        <v>1903</v>
      </c>
      <c r="M101" s="1" t="s">
        <v>1777</v>
      </c>
      <c r="N101" s="1" t="s">
        <v>1799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2010</v>
      </c>
      <c r="C102" s="3" t="s">
        <v>2011</v>
      </c>
      <c r="D102" s="4">
        <v>8.6999999999999993</v>
      </c>
      <c r="F102" s="3" t="s">
        <v>2005</v>
      </c>
      <c r="G102" s="4">
        <v>12.67</v>
      </c>
      <c r="J102" s="8"/>
      <c r="L102" s="1" t="s">
        <v>1903</v>
      </c>
      <c r="M102" s="1" t="s">
        <v>1780</v>
      </c>
      <c r="N102" s="1" t="s">
        <v>1799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2012</v>
      </c>
      <c r="C103" s="3" t="s">
        <v>2013</v>
      </c>
      <c r="D103" s="4">
        <v>9.26</v>
      </c>
      <c r="F103" s="3" t="s">
        <v>2007</v>
      </c>
      <c r="G103" s="4">
        <v>15.87</v>
      </c>
      <c r="J103" s="8"/>
      <c r="L103" s="1" t="s">
        <v>1903</v>
      </c>
      <c r="M103" s="1" t="s">
        <v>1783</v>
      </c>
      <c r="N103" s="1" t="s">
        <v>1799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2014</v>
      </c>
      <c r="C104" s="3" t="s">
        <v>2015</v>
      </c>
      <c r="D104" s="4">
        <v>5.72</v>
      </c>
      <c r="F104" s="3" t="s">
        <v>2009</v>
      </c>
      <c r="G104" s="4">
        <v>4.63</v>
      </c>
      <c r="J104" s="8"/>
      <c r="L104" s="1" t="s">
        <v>1903</v>
      </c>
      <c r="M104" s="1" t="s">
        <v>1812</v>
      </c>
      <c r="N104" s="1" t="s">
        <v>1774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1830</v>
      </c>
      <c r="C105" s="3" t="s">
        <v>2016</v>
      </c>
      <c r="D105" s="4">
        <v>6.54</v>
      </c>
      <c r="F105" s="3" t="s">
        <v>2011</v>
      </c>
      <c r="G105" s="4">
        <v>8.6999999999999993</v>
      </c>
      <c r="J105" s="8"/>
      <c r="L105" s="1" t="s">
        <v>1903</v>
      </c>
      <c r="M105" s="1" t="s">
        <v>1816</v>
      </c>
      <c r="N105" s="1" t="s">
        <v>1774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1833</v>
      </c>
      <c r="C106" s="3" t="s">
        <v>2017</v>
      </c>
      <c r="D106" s="4">
        <v>6.54</v>
      </c>
      <c r="F106" s="3" t="s">
        <v>2013</v>
      </c>
      <c r="G106" s="4">
        <v>9.26</v>
      </c>
      <c r="J106" s="8"/>
      <c r="L106" s="1" t="s">
        <v>1903</v>
      </c>
      <c r="M106" s="1" t="s">
        <v>1821</v>
      </c>
      <c r="N106" s="1" t="s">
        <v>1774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2018</v>
      </c>
      <c r="C107" s="3" t="s">
        <v>2019</v>
      </c>
      <c r="D107" s="4">
        <v>9.51</v>
      </c>
      <c r="F107" s="3" t="s">
        <v>2015</v>
      </c>
      <c r="G107" s="4">
        <v>5.72</v>
      </c>
      <c r="J107" s="8"/>
      <c r="L107" s="1" t="s">
        <v>1903</v>
      </c>
      <c r="M107" s="1" t="s">
        <v>1824</v>
      </c>
      <c r="N107" s="1" t="s">
        <v>1774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2020</v>
      </c>
      <c r="C108" s="3" t="s">
        <v>2021</v>
      </c>
      <c r="D108" s="4">
        <v>8.99</v>
      </c>
      <c r="F108" s="3" t="s">
        <v>2016</v>
      </c>
      <c r="G108" s="4">
        <v>6.54</v>
      </c>
      <c r="J108" s="8"/>
      <c r="L108" s="1" t="s">
        <v>1903</v>
      </c>
      <c r="M108" s="1" t="s">
        <v>1812</v>
      </c>
      <c r="N108" s="1" t="s">
        <v>1787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1812</v>
      </c>
      <c r="C109" s="3" t="s">
        <v>2022</v>
      </c>
      <c r="D109" s="4">
        <v>4.2300000000000004</v>
      </c>
      <c r="F109" s="3" t="s">
        <v>2017</v>
      </c>
      <c r="G109" s="4">
        <v>6.54</v>
      </c>
      <c r="J109" s="8"/>
      <c r="L109" s="1" t="s">
        <v>1903</v>
      </c>
      <c r="M109" s="1" t="s">
        <v>1816</v>
      </c>
      <c r="N109" s="1" t="s">
        <v>1787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2023</v>
      </c>
      <c r="C110" s="3" t="s">
        <v>2024</v>
      </c>
      <c r="D110" s="4">
        <v>8.43</v>
      </c>
      <c r="F110" s="3" t="s">
        <v>2019</v>
      </c>
      <c r="G110" s="4">
        <v>4.9000000000000004</v>
      </c>
      <c r="J110" s="8"/>
      <c r="L110" s="1" t="s">
        <v>1903</v>
      </c>
      <c r="M110" s="1" t="s">
        <v>1821</v>
      </c>
      <c r="N110" s="1" t="s">
        <v>1787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2025</v>
      </c>
      <c r="C111" s="3" t="s">
        <v>2026</v>
      </c>
      <c r="D111" s="4">
        <v>9.66</v>
      </c>
      <c r="F111" s="3" t="s">
        <v>2021</v>
      </c>
      <c r="G111" s="4">
        <v>4.9000000000000004</v>
      </c>
      <c r="J111" s="8"/>
      <c r="L111" s="1" t="s">
        <v>1903</v>
      </c>
      <c r="M111" s="1" t="s">
        <v>1824</v>
      </c>
      <c r="N111" s="1" t="s">
        <v>1787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2027</v>
      </c>
      <c r="C112" s="3" t="s">
        <v>2028</v>
      </c>
      <c r="D112" s="4">
        <v>7</v>
      </c>
      <c r="F112" s="3" t="s">
        <v>2022</v>
      </c>
      <c r="G112" s="4">
        <v>4.9000000000000004</v>
      </c>
      <c r="J112" s="8"/>
      <c r="L112" s="1" t="s">
        <v>1903</v>
      </c>
      <c r="M112" s="1" t="s">
        <v>1812</v>
      </c>
      <c r="N112" s="1" t="s">
        <v>1799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2029</v>
      </c>
      <c r="C113" s="3" t="s">
        <v>2030</v>
      </c>
      <c r="D113" s="4">
        <v>8.0399999999999991</v>
      </c>
      <c r="F113" s="3" t="s">
        <v>2024</v>
      </c>
      <c r="G113" s="4">
        <v>4.9000000000000004</v>
      </c>
      <c r="J113" s="8"/>
      <c r="L113" s="1" t="s">
        <v>1903</v>
      </c>
      <c r="M113" s="1" t="s">
        <v>1816</v>
      </c>
      <c r="N113" s="1" t="s">
        <v>1799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2031</v>
      </c>
      <c r="C114" s="3" t="s">
        <v>2032</v>
      </c>
      <c r="D114" s="4">
        <v>12.36</v>
      </c>
      <c r="F114" s="3" t="s">
        <v>2026</v>
      </c>
      <c r="G114" s="4">
        <v>4.9000000000000004</v>
      </c>
      <c r="J114" s="8"/>
      <c r="L114" s="1" t="s">
        <v>1903</v>
      </c>
      <c r="M114" s="1" t="s">
        <v>1821</v>
      </c>
      <c r="N114" s="1" t="s">
        <v>1799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2033</v>
      </c>
      <c r="C115" s="3" t="s">
        <v>2034</v>
      </c>
      <c r="D115" s="4">
        <v>9.51</v>
      </c>
      <c r="F115" s="3" t="s">
        <v>2028</v>
      </c>
      <c r="G115" s="4">
        <v>4.9000000000000004</v>
      </c>
      <c r="J115" s="8"/>
      <c r="L115" s="1" t="s">
        <v>1903</v>
      </c>
      <c r="M115" s="1" t="s">
        <v>1824</v>
      </c>
      <c r="N115" s="1" t="s">
        <v>1799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2035</v>
      </c>
      <c r="D116" s="8"/>
      <c r="F116" s="3" t="s">
        <v>2030</v>
      </c>
      <c r="G116" s="4">
        <v>4.9000000000000004</v>
      </c>
      <c r="J116" s="8"/>
      <c r="L116" s="1" t="s">
        <v>1903</v>
      </c>
      <c r="M116" s="1" t="s">
        <v>1852</v>
      </c>
      <c r="N116" s="1" t="s">
        <v>1774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2036</v>
      </c>
      <c r="D117" s="8"/>
      <c r="F117" s="3" t="s">
        <v>2032</v>
      </c>
      <c r="G117" s="4">
        <v>4.9000000000000004</v>
      </c>
      <c r="J117" s="8"/>
      <c r="L117" s="1" t="s">
        <v>1903</v>
      </c>
      <c r="M117" s="1" t="s">
        <v>1856</v>
      </c>
      <c r="N117" s="1" t="s">
        <v>1774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2037</v>
      </c>
      <c r="D118" s="8"/>
      <c r="F118" s="3" t="s">
        <v>2034</v>
      </c>
      <c r="G118" s="4">
        <v>4.9000000000000004</v>
      </c>
      <c r="J118" s="8"/>
      <c r="L118" s="1" t="s">
        <v>1903</v>
      </c>
      <c r="M118" s="1" t="s">
        <v>1860</v>
      </c>
      <c r="N118" s="1" t="s">
        <v>1774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2038</v>
      </c>
      <c r="D119" s="8"/>
      <c r="G119" s="8"/>
      <c r="J119" s="8"/>
      <c r="L119" s="1" t="s">
        <v>1903</v>
      </c>
      <c r="M119" s="1" t="s">
        <v>1864</v>
      </c>
      <c r="N119" s="1" t="s">
        <v>1774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2039</v>
      </c>
      <c r="D120" s="8"/>
      <c r="G120" s="8"/>
      <c r="J120" s="8"/>
      <c r="L120" s="1" t="s">
        <v>1903</v>
      </c>
      <c r="M120" s="1" t="s">
        <v>1852</v>
      </c>
      <c r="N120" s="1" t="s">
        <v>1787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1903</v>
      </c>
      <c r="M121" s="1" t="s">
        <v>1856</v>
      </c>
      <c r="N121" s="1" t="s">
        <v>1787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1903</v>
      </c>
      <c r="M122" s="1" t="s">
        <v>1860</v>
      </c>
      <c r="N122" s="1" t="s">
        <v>1787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2040</v>
      </c>
      <c r="D123" s="8"/>
      <c r="G123" s="8"/>
      <c r="J123" s="8"/>
      <c r="L123" s="1" t="s">
        <v>1903</v>
      </c>
      <c r="M123" s="1" t="s">
        <v>1864</v>
      </c>
      <c r="N123" s="1" t="s">
        <v>1787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534</v>
      </c>
      <c r="D124" s="8"/>
      <c r="G124" s="8"/>
      <c r="J124" s="8"/>
      <c r="L124" s="1" t="s">
        <v>1903</v>
      </c>
      <c r="M124" s="1" t="s">
        <v>1852</v>
      </c>
      <c r="N124" s="1" t="s">
        <v>1799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2041</v>
      </c>
      <c r="D125" s="8"/>
      <c r="G125" s="8"/>
      <c r="J125" s="8"/>
      <c r="L125" s="1" t="s">
        <v>1903</v>
      </c>
      <c r="M125" s="1" t="s">
        <v>1856</v>
      </c>
      <c r="N125" s="1" t="s">
        <v>1799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2042</v>
      </c>
      <c r="D126" s="8"/>
      <c r="G126" s="8"/>
      <c r="J126" s="8"/>
      <c r="L126" s="1" t="s">
        <v>1903</v>
      </c>
      <c r="M126" s="1" t="s">
        <v>1860</v>
      </c>
      <c r="N126" s="1" t="s">
        <v>1799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2043</v>
      </c>
      <c r="D127" s="8"/>
      <c r="G127" s="8"/>
      <c r="J127" s="8"/>
      <c r="L127" s="1" t="s">
        <v>1903</v>
      </c>
      <c r="M127" s="1" t="s">
        <v>1864</v>
      </c>
      <c r="N127" s="1" t="s">
        <v>1799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1903</v>
      </c>
      <c r="M128" s="1" t="s">
        <v>1890</v>
      </c>
      <c r="N128" s="1" t="s">
        <v>1774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1903</v>
      </c>
      <c r="M129" s="1" t="s">
        <v>1893</v>
      </c>
      <c r="N129" s="1" t="s">
        <v>1774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1903</v>
      </c>
      <c r="M130" s="1" t="s">
        <v>1897</v>
      </c>
      <c r="N130" s="1" t="s">
        <v>1774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1903</v>
      </c>
      <c r="M131" s="1" t="s">
        <v>1890</v>
      </c>
      <c r="N131" s="1" t="s">
        <v>1787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1903</v>
      </c>
      <c r="M132" s="1" t="s">
        <v>1893</v>
      </c>
      <c r="N132" s="1" t="s">
        <v>1787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1903</v>
      </c>
      <c r="M133" s="1" t="s">
        <v>1897</v>
      </c>
      <c r="N133" s="1" t="s">
        <v>1787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1903</v>
      </c>
      <c r="M134" s="1" t="s">
        <v>1890</v>
      </c>
      <c r="N134" s="1" t="s">
        <v>1799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1903</v>
      </c>
      <c r="M135" s="1" t="s">
        <v>1893</v>
      </c>
      <c r="N135" s="1" t="s">
        <v>1799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1903</v>
      </c>
      <c r="M136" s="1" t="s">
        <v>1897</v>
      </c>
      <c r="N136" s="1" t="s">
        <v>1799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870</v>
      </c>
      <c r="M137" s="1" t="s">
        <v>1773</v>
      </c>
      <c r="N137" s="1" t="s">
        <v>1774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870</v>
      </c>
      <c r="M138" s="1" t="s">
        <v>1777</v>
      </c>
      <c r="N138" s="1" t="s">
        <v>1774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870</v>
      </c>
      <c r="M139" s="1" t="s">
        <v>1780</v>
      </c>
      <c r="N139" s="1" t="s">
        <v>1774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870</v>
      </c>
      <c r="M140" s="1" t="s">
        <v>1783</v>
      </c>
      <c r="N140" s="1" t="s">
        <v>1774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870</v>
      </c>
      <c r="M141" s="1" t="s">
        <v>1773</v>
      </c>
      <c r="N141" s="1" t="s">
        <v>1787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870</v>
      </c>
      <c r="M142" s="1" t="s">
        <v>1777</v>
      </c>
      <c r="N142" s="1" t="s">
        <v>1787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870</v>
      </c>
      <c r="M143" s="1" t="s">
        <v>1780</v>
      </c>
      <c r="N143" s="1" t="s">
        <v>1787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870</v>
      </c>
      <c r="M144" s="1" t="s">
        <v>1783</v>
      </c>
      <c r="N144" s="1" t="s">
        <v>1787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870</v>
      </c>
      <c r="M145" s="1" t="s">
        <v>1773</v>
      </c>
      <c r="N145" s="1" t="s">
        <v>1799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870</v>
      </c>
      <c r="M146" s="1" t="s">
        <v>1777</v>
      </c>
      <c r="N146" s="1" t="s">
        <v>1799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870</v>
      </c>
      <c r="M147" s="1" t="s">
        <v>1780</v>
      </c>
      <c r="N147" s="1" t="s">
        <v>1799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870</v>
      </c>
      <c r="M148" s="1" t="s">
        <v>1783</v>
      </c>
      <c r="N148" s="1" t="s">
        <v>1799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870</v>
      </c>
      <c r="M149" s="1" t="s">
        <v>1812</v>
      </c>
      <c r="N149" s="1" t="s">
        <v>1774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870</v>
      </c>
      <c r="M150" s="1" t="s">
        <v>1816</v>
      </c>
      <c r="N150" s="1" t="s">
        <v>1774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870</v>
      </c>
      <c r="M151" s="1" t="s">
        <v>1821</v>
      </c>
      <c r="N151" s="1" t="s">
        <v>1774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870</v>
      </c>
      <c r="M152" s="1" t="s">
        <v>1824</v>
      </c>
      <c r="N152" s="1" t="s">
        <v>1774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870</v>
      </c>
      <c r="M153" s="1" t="s">
        <v>1812</v>
      </c>
      <c r="N153" s="1" t="s">
        <v>1787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870</v>
      </c>
      <c r="M154" s="1" t="s">
        <v>1816</v>
      </c>
      <c r="N154" s="1" t="s">
        <v>1787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870</v>
      </c>
      <c r="M155" s="1" t="s">
        <v>1821</v>
      </c>
      <c r="N155" s="1" t="s">
        <v>1787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870</v>
      </c>
      <c r="M156" s="1" t="s">
        <v>1824</v>
      </c>
      <c r="N156" s="1" t="s">
        <v>1787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870</v>
      </c>
      <c r="M157" s="1" t="s">
        <v>1812</v>
      </c>
      <c r="N157" s="1" t="s">
        <v>1799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870</v>
      </c>
      <c r="M158" s="1" t="s">
        <v>1816</v>
      </c>
      <c r="N158" s="1" t="s">
        <v>1799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870</v>
      </c>
      <c r="M159" s="1" t="s">
        <v>1821</v>
      </c>
      <c r="N159" s="1" t="s">
        <v>1799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870</v>
      </c>
      <c r="M160" s="1" t="s">
        <v>1824</v>
      </c>
      <c r="N160" s="1" t="s">
        <v>1799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870</v>
      </c>
      <c r="M161" s="1" t="s">
        <v>1852</v>
      </c>
      <c r="N161" s="1" t="s">
        <v>1774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870</v>
      </c>
      <c r="M162" s="1" t="s">
        <v>1856</v>
      </c>
      <c r="N162" s="1" t="s">
        <v>1774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870</v>
      </c>
      <c r="M163" s="1" t="s">
        <v>1860</v>
      </c>
      <c r="N163" s="1" t="s">
        <v>1774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870</v>
      </c>
      <c r="M164" s="1" t="s">
        <v>1864</v>
      </c>
      <c r="N164" s="1" t="s">
        <v>1774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870</v>
      </c>
      <c r="M165" s="1" t="s">
        <v>1852</v>
      </c>
      <c r="N165" s="1" t="s">
        <v>1787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870</v>
      </c>
      <c r="M166" s="1" t="s">
        <v>1856</v>
      </c>
      <c r="N166" s="1" t="s">
        <v>1787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870</v>
      </c>
      <c r="M167" s="1" t="s">
        <v>1860</v>
      </c>
      <c r="N167" s="1" t="s">
        <v>1787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870</v>
      </c>
      <c r="M168" s="1" t="s">
        <v>1864</v>
      </c>
      <c r="N168" s="1" t="s">
        <v>1787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870</v>
      </c>
      <c r="M169" s="1" t="s">
        <v>1852</v>
      </c>
      <c r="N169" s="1" t="s">
        <v>1799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870</v>
      </c>
      <c r="M170" s="1" t="s">
        <v>1856</v>
      </c>
      <c r="N170" s="1" t="s">
        <v>1799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870</v>
      </c>
      <c r="M171" s="1" t="s">
        <v>1860</v>
      </c>
      <c r="N171" s="1" t="s">
        <v>1799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870</v>
      </c>
      <c r="M172" s="1" t="s">
        <v>1864</v>
      </c>
      <c r="N172" s="1" t="s">
        <v>1799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870</v>
      </c>
      <c r="M173" s="1" t="s">
        <v>1890</v>
      </c>
      <c r="N173" s="1" t="s">
        <v>1774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870</v>
      </c>
      <c r="M174" s="1" t="s">
        <v>1893</v>
      </c>
      <c r="N174" s="1" t="s">
        <v>1774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870</v>
      </c>
      <c r="M175" s="1" t="s">
        <v>1897</v>
      </c>
      <c r="N175" s="1" t="s">
        <v>1774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870</v>
      </c>
      <c r="M176" s="1" t="s">
        <v>1890</v>
      </c>
      <c r="N176" s="1" t="s">
        <v>1787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870</v>
      </c>
      <c r="M177" s="1" t="s">
        <v>1893</v>
      </c>
      <c r="N177" s="1" t="s">
        <v>1787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870</v>
      </c>
      <c r="M178" s="1" t="s">
        <v>1897</v>
      </c>
      <c r="N178" s="1" t="s">
        <v>1787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870</v>
      </c>
      <c r="M179" s="1" t="s">
        <v>1890</v>
      </c>
      <c r="N179" s="1" t="s">
        <v>1799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870</v>
      </c>
      <c r="M180" s="1" t="s">
        <v>1893</v>
      </c>
      <c r="N180" s="1" t="s">
        <v>1799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870</v>
      </c>
      <c r="M181" s="1" t="s">
        <v>1897</v>
      </c>
      <c r="N181" s="1" t="s">
        <v>1799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1908</v>
      </c>
      <c r="M182" s="1" t="s">
        <v>1773</v>
      </c>
      <c r="N182" s="1" t="s">
        <v>1774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1908</v>
      </c>
      <c r="M183" s="1" t="s">
        <v>1777</v>
      </c>
      <c r="N183" s="1" t="s">
        <v>1774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1908</v>
      </c>
      <c r="M184" s="1" t="s">
        <v>1780</v>
      </c>
      <c r="N184" s="1" t="s">
        <v>1774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1908</v>
      </c>
      <c r="M185" s="1" t="s">
        <v>1783</v>
      </c>
      <c r="N185" s="1" t="s">
        <v>1774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1908</v>
      </c>
      <c r="M186" s="1" t="s">
        <v>1773</v>
      </c>
      <c r="N186" s="1" t="s">
        <v>1787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1908</v>
      </c>
      <c r="M187" s="1" t="s">
        <v>1777</v>
      </c>
      <c r="N187" s="1" t="s">
        <v>1787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1908</v>
      </c>
      <c r="M188" s="1" t="s">
        <v>1780</v>
      </c>
      <c r="N188" s="1" t="s">
        <v>1787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1908</v>
      </c>
      <c r="M189" s="1" t="s">
        <v>1783</v>
      </c>
      <c r="N189" s="1" t="s">
        <v>1787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1908</v>
      </c>
      <c r="M190" s="1" t="s">
        <v>1773</v>
      </c>
      <c r="N190" s="1" t="s">
        <v>1799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1908</v>
      </c>
      <c r="M191" s="1" t="s">
        <v>1777</v>
      </c>
      <c r="N191" s="1" t="s">
        <v>1799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1908</v>
      </c>
      <c r="M192" s="1" t="s">
        <v>1780</v>
      </c>
      <c r="N192" s="1" t="s">
        <v>1799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1908</v>
      </c>
      <c r="M193" s="1" t="s">
        <v>1783</v>
      </c>
      <c r="N193" s="1" t="s">
        <v>1799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1908</v>
      </c>
      <c r="M194" s="1" t="s">
        <v>1812</v>
      </c>
      <c r="N194" s="1" t="s">
        <v>1774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1908</v>
      </c>
      <c r="M195" s="1" t="s">
        <v>1816</v>
      </c>
      <c r="N195" s="1" t="s">
        <v>1774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1908</v>
      </c>
      <c r="M196" s="1" t="s">
        <v>1821</v>
      </c>
      <c r="N196" s="1" t="s">
        <v>1774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1908</v>
      </c>
      <c r="M197" s="1" t="s">
        <v>1824</v>
      </c>
      <c r="N197" s="1" t="s">
        <v>1774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1908</v>
      </c>
      <c r="M198" s="1" t="s">
        <v>1812</v>
      </c>
      <c r="N198" s="1" t="s">
        <v>1787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1908</v>
      </c>
      <c r="M199" s="1" t="s">
        <v>1816</v>
      </c>
      <c r="N199" s="1" t="s">
        <v>1787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1908</v>
      </c>
      <c r="M200" s="1" t="s">
        <v>1821</v>
      </c>
      <c r="N200" s="1" t="s">
        <v>1787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1908</v>
      </c>
      <c r="M201" s="1" t="s">
        <v>1824</v>
      </c>
      <c r="N201" s="1" t="s">
        <v>1787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1908</v>
      </c>
      <c r="M202" s="1" t="s">
        <v>1812</v>
      </c>
      <c r="N202" s="1" t="s">
        <v>1799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1908</v>
      </c>
      <c r="M203" s="1" t="s">
        <v>1816</v>
      </c>
      <c r="N203" s="1" t="s">
        <v>1799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1908</v>
      </c>
      <c r="M204" s="1" t="s">
        <v>1821</v>
      </c>
      <c r="N204" s="1" t="s">
        <v>1799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1908</v>
      </c>
      <c r="M205" s="1" t="s">
        <v>1824</v>
      </c>
      <c r="N205" s="1" t="s">
        <v>1799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1908</v>
      </c>
      <c r="M206" s="1" t="s">
        <v>1852</v>
      </c>
      <c r="N206" s="1" t="s">
        <v>1774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1908</v>
      </c>
      <c r="M207" s="1" t="s">
        <v>1856</v>
      </c>
      <c r="N207" s="1" t="s">
        <v>1774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1908</v>
      </c>
      <c r="M208" s="1" t="s">
        <v>1860</v>
      </c>
      <c r="N208" s="1" t="s">
        <v>1774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1908</v>
      </c>
      <c r="M209" s="1" t="s">
        <v>1864</v>
      </c>
      <c r="N209" s="1" t="s">
        <v>1774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1908</v>
      </c>
      <c r="M210" s="1" t="s">
        <v>1852</v>
      </c>
      <c r="N210" s="1" t="s">
        <v>1787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1908</v>
      </c>
      <c r="M211" s="1" t="s">
        <v>1856</v>
      </c>
      <c r="N211" s="1" t="s">
        <v>1787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1908</v>
      </c>
      <c r="M212" s="1" t="s">
        <v>1860</v>
      </c>
      <c r="N212" s="1" t="s">
        <v>1787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1908</v>
      </c>
      <c r="M213" s="1" t="s">
        <v>1864</v>
      </c>
      <c r="N213" s="1" t="s">
        <v>1787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1908</v>
      </c>
      <c r="M214" s="1" t="s">
        <v>1852</v>
      </c>
      <c r="N214" s="1" t="s">
        <v>1799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1908</v>
      </c>
      <c r="M215" s="1" t="s">
        <v>1856</v>
      </c>
      <c r="N215" s="1" t="s">
        <v>1799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1908</v>
      </c>
      <c r="M216" s="1" t="s">
        <v>1860</v>
      </c>
      <c r="N216" s="1" t="s">
        <v>1799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1908</v>
      </c>
      <c r="M217" s="1" t="s">
        <v>1864</v>
      </c>
      <c r="N217" s="1" t="s">
        <v>1799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1908</v>
      </c>
      <c r="M218" s="1" t="s">
        <v>1890</v>
      </c>
      <c r="N218" s="1" t="s">
        <v>1774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1908</v>
      </c>
      <c r="M219" s="1" t="s">
        <v>1893</v>
      </c>
      <c r="N219" s="1" t="s">
        <v>1774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1908</v>
      </c>
      <c r="M220" s="1" t="s">
        <v>1897</v>
      </c>
      <c r="N220" s="1" t="s">
        <v>1774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1908</v>
      </c>
      <c r="M221" s="1" t="s">
        <v>1890</v>
      </c>
      <c r="N221" s="1" t="s">
        <v>1787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1908</v>
      </c>
      <c r="M222" s="1" t="s">
        <v>1893</v>
      </c>
      <c r="N222" s="1" t="s">
        <v>1787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1908</v>
      </c>
      <c r="M223" s="1" t="s">
        <v>1897</v>
      </c>
      <c r="N223" s="1" t="s">
        <v>1787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1908</v>
      </c>
      <c r="M224" s="1" t="s">
        <v>1890</v>
      </c>
      <c r="N224" s="1" t="s">
        <v>1799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1908</v>
      </c>
      <c r="M225" s="1" t="s">
        <v>1893</v>
      </c>
      <c r="N225" s="1" t="s">
        <v>1799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1908</v>
      </c>
      <c r="M226" s="1" t="s">
        <v>1897</v>
      </c>
      <c r="N226" s="1" t="s">
        <v>1799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1911</v>
      </c>
      <c r="M227" s="1" t="s">
        <v>1773</v>
      </c>
      <c r="N227" s="1" t="s">
        <v>1774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1911</v>
      </c>
      <c r="M228" s="1" t="s">
        <v>1777</v>
      </c>
      <c r="N228" s="1" t="s">
        <v>1774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1911</v>
      </c>
      <c r="M229" s="1" t="s">
        <v>1780</v>
      </c>
      <c r="N229" s="1" t="s">
        <v>1774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1911</v>
      </c>
      <c r="M230" s="1" t="s">
        <v>1783</v>
      </c>
      <c r="N230" s="1" t="s">
        <v>1774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1911</v>
      </c>
      <c r="M231" s="1" t="s">
        <v>1773</v>
      </c>
      <c r="N231" s="1" t="s">
        <v>1787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1911</v>
      </c>
      <c r="M232" s="1" t="s">
        <v>1777</v>
      </c>
      <c r="N232" s="1" t="s">
        <v>1787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1911</v>
      </c>
      <c r="M233" s="1" t="s">
        <v>1780</v>
      </c>
      <c r="N233" s="1" t="s">
        <v>1787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1911</v>
      </c>
      <c r="M234" s="1" t="s">
        <v>1783</v>
      </c>
      <c r="N234" s="1" t="s">
        <v>1787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1911</v>
      </c>
      <c r="M235" s="1" t="s">
        <v>1773</v>
      </c>
      <c r="N235" s="1" t="s">
        <v>1799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1911</v>
      </c>
      <c r="M236" s="1" t="s">
        <v>1777</v>
      </c>
      <c r="N236" s="1" t="s">
        <v>1799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1911</v>
      </c>
      <c r="M237" s="1" t="s">
        <v>1780</v>
      </c>
      <c r="N237" s="1" t="s">
        <v>1799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1911</v>
      </c>
      <c r="M238" s="1" t="s">
        <v>1783</v>
      </c>
      <c r="N238" s="1" t="s">
        <v>1799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1911</v>
      </c>
      <c r="M239" s="1" t="s">
        <v>1812</v>
      </c>
      <c r="N239" s="1" t="s">
        <v>1774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1911</v>
      </c>
      <c r="M240" s="1" t="s">
        <v>1816</v>
      </c>
      <c r="N240" s="1" t="s">
        <v>1774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1911</v>
      </c>
      <c r="M241" s="1" t="s">
        <v>1821</v>
      </c>
      <c r="N241" s="1" t="s">
        <v>1774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1911</v>
      </c>
      <c r="M242" s="1" t="s">
        <v>1824</v>
      </c>
      <c r="N242" s="1" t="s">
        <v>1774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1911</v>
      </c>
      <c r="M243" s="1" t="s">
        <v>1812</v>
      </c>
      <c r="N243" s="1" t="s">
        <v>1787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1911</v>
      </c>
      <c r="M244" s="1" t="s">
        <v>1816</v>
      </c>
      <c r="N244" s="1" t="s">
        <v>1787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1911</v>
      </c>
      <c r="M245" s="1" t="s">
        <v>1821</v>
      </c>
      <c r="N245" s="1" t="s">
        <v>1787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1911</v>
      </c>
      <c r="M246" s="1" t="s">
        <v>1824</v>
      </c>
      <c r="N246" s="1" t="s">
        <v>1787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1911</v>
      </c>
      <c r="M247" s="1" t="s">
        <v>1812</v>
      </c>
      <c r="N247" s="1" t="s">
        <v>1799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1911</v>
      </c>
      <c r="M248" s="1" t="s">
        <v>1816</v>
      </c>
      <c r="N248" s="1" t="s">
        <v>1799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1911</v>
      </c>
      <c r="M249" s="1" t="s">
        <v>1821</v>
      </c>
      <c r="N249" s="1" t="s">
        <v>1799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1911</v>
      </c>
      <c r="M250" s="1" t="s">
        <v>1824</v>
      </c>
      <c r="N250" s="1" t="s">
        <v>1799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1911</v>
      </c>
      <c r="M251" s="1" t="s">
        <v>1852</v>
      </c>
      <c r="N251" s="1" t="s">
        <v>1774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1911</v>
      </c>
      <c r="M252" s="1" t="s">
        <v>1856</v>
      </c>
      <c r="N252" s="1" t="s">
        <v>1774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1911</v>
      </c>
      <c r="M253" s="1" t="s">
        <v>1860</v>
      </c>
      <c r="N253" s="1" t="s">
        <v>1774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1911</v>
      </c>
      <c r="M254" s="1" t="s">
        <v>1864</v>
      </c>
      <c r="N254" s="1" t="s">
        <v>1774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1911</v>
      </c>
      <c r="M255" s="1" t="s">
        <v>1852</v>
      </c>
      <c r="N255" s="1" t="s">
        <v>1787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1911</v>
      </c>
      <c r="M256" s="1" t="s">
        <v>1856</v>
      </c>
      <c r="N256" s="1" t="s">
        <v>1787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1911</v>
      </c>
      <c r="M257" s="1" t="s">
        <v>1860</v>
      </c>
      <c r="N257" s="1" t="s">
        <v>1787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1911</v>
      </c>
      <c r="M258" s="1" t="s">
        <v>1864</v>
      </c>
      <c r="N258" s="1" t="s">
        <v>1787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1911</v>
      </c>
      <c r="M259" s="1" t="s">
        <v>1852</v>
      </c>
      <c r="N259" s="1" t="s">
        <v>1799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1911</v>
      </c>
      <c r="M260" s="1" t="s">
        <v>1856</v>
      </c>
      <c r="N260" s="1" t="s">
        <v>1799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1911</v>
      </c>
      <c r="M261" s="1" t="s">
        <v>1860</v>
      </c>
      <c r="N261" s="1" t="s">
        <v>1799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1911</v>
      </c>
      <c r="M262" s="1" t="s">
        <v>1864</v>
      </c>
      <c r="N262" s="1" t="s">
        <v>1799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1911</v>
      </c>
      <c r="M263" s="1" t="s">
        <v>1890</v>
      </c>
      <c r="N263" s="1" t="s">
        <v>1774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1911</v>
      </c>
      <c r="M264" s="1" t="s">
        <v>1893</v>
      </c>
      <c r="N264" s="1" t="s">
        <v>1774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1911</v>
      </c>
      <c r="M265" s="1" t="s">
        <v>1897</v>
      </c>
      <c r="N265" s="1" t="s">
        <v>1774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1911</v>
      </c>
      <c r="M266" s="1" t="s">
        <v>1890</v>
      </c>
      <c r="N266" s="1" t="s">
        <v>1787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1911</v>
      </c>
      <c r="M267" s="1" t="s">
        <v>1893</v>
      </c>
      <c r="N267" s="1" t="s">
        <v>1787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1911</v>
      </c>
      <c r="M268" s="1" t="s">
        <v>1897</v>
      </c>
      <c r="N268" s="1" t="s">
        <v>1787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1911</v>
      </c>
      <c r="M269" s="1" t="s">
        <v>1890</v>
      </c>
      <c r="N269" s="1" t="s">
        <v>1799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1911</v>
      </c>
      <c r="M270" s="1" t="s">
        <v>1893</v>
      </c>
      <c r="N270" s="1" t="s">
        <v>1799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1911</v>
      </c>
      <c r="M271" s="1" t="s">
        <v>1897</v>
      </c>
      <c r="N271" s="1" t="s">
        <v>1799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1914</v>
      </c>
      <c r="M272" s="1" t="s">
        <v>1773</v>
      </c>
      <c r="N272" s="1" t="s">
        <v>1774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1914</v>
      </c>
      <c r="M273" s="1" t="s">
        <v>1777</v>
      </c>
      <c r="N273" s="1" t="s">
        <v>1774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1914</v>
      </c>
      <c r="M274" s="1" t="s">
        <v>1780</v>
      </c>
      <c r="N274" s="1" t="s">
        <v>1774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1914</v>
      </c>
      <c r="M275" s="1" t="s">
        <v>1783</v>
      </c>
      <c r="N275" s="1" t="s">
        <v>1774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1914</v>
      </c>
      <c r="M276" s="1" t="s">
        <v>1773</v>
      </c>
      <c r="N276" s="1" t="s">
        <v>1787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1914</v>
      </c>
      <c r="M277" s="1" t="s">
        <v>1777</v>
      </c>
      <c r="N277" s="1" t="s">
        <v>1787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1914</v>
      </c>
      <c r="M278" s="1" t="s">
        <v>1780</v>
      </c>
      <c r="N278" s="1" t="s">
        <v>1787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1914</v>
      </c>
      <c r="M279" s="1" t="s">
        <v>1783</v>
      </c>
      <c r="N279" s="1" t="s">
        <v>1787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1914</v>
      </c>
      <c r="M280" s="1" t="s">
        <v>1773</v>
      </c>
      <c r="N280" s="1" t="s">
        <v>1799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1914</v>
      </c>
      <c r="M281" s="1" t="s">
        <v>1777</v>
      </c>
      <c r="N281" s="1" t="s">
        <v>1799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1914</v>
      </c>
      <c r="M282" s="1" t="s">
        <v>1780</v>
      </c>
      <c r="N282" s="1" t="s">
        <v>1799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1914</v>
      </c>
      <c r="M283" s="1" t="s">
        <v>1783</v>
      </c>
      <c r="N283" s="1" t="s">
        <v>1799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1914</v>
      </c>
      <c r="M284" s="1" t="s">
        <v>1812</v>
      </c>
      <c r="N284" s="1" t="s">
        <v>1774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1914</v>
      </c>
      <c r="M285" s="1" t="s">
        <v>1816</v>
      </c>
      <c r="N285" s="1" t="s">
        <v>1774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1914</v>
      </c>
      <c r="M286" s="1" t="s">
        <v>1821</v>
      </c>
      <c r="N286" s="1" t="s">
        <v>1774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1914</v>
      </c>
      <c r="M287" s="1" t="s">
        <v>1824</v>
      </c>
      <c r="N287" s="1" t="s">
        <v>1774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1914</v>
      </c>
      <c r="M288" s="1" t="s">
        <v>1812</v>
      </c>
      <c r="N288" s="1" t="s">
        <v>1787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1914</v>
      </c>
      <c r="M289" s="1" t="s">
        <v>1816</v>
      </c>
      <c r="N289" s="1" t="s">
        <v>1787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1914</v>
      </c>
      <c r="M290" s="1" t="s">
        <v>1821</v>
      </c>
      <c r="N290" s="1" t="s">
        <v>1787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1914</v>
      </c>
      <c r="M291" s="1" t="s">
        <v>1824</v>
      </c>
      <c r="N291" s="1" t="s">
        <v>1787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1914</v>
      </c>
      <c r="M292" s="1" t="s">
        <v>1812</v>
      </c>
      <c r="N292" s="1" t="s">
        <v>1799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1914</v>
      </c>
      <c r="M293" s="1" t="s">
        <v>1816</v>
      </c>
      <c r="N293" s="1" t="s">
        <v>1799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1914</v>
      </c>
      <c r="M294" s="1" t="s">
        <v>1821</v>
      </c>
      <c r="N294" s="1" t="s">
        <v>1799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1914</v>
      </c>
      <c r="M295" s="1" t="s">
        <v>1824</v>
      </c>
      <c r="N295" s="1" t="s">
        <v>1799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1914</v>
      </c>
      <c r="M296" s="1" t="s">
        <v>1852</v>
      </c>
      <c r="N296" s="1" t="s">
        <v>1774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1914</v>
      </c>
      <c r="M297" s="1" t="s">
        <v>1856</v>
      </c>
      <c r="N297" s="1" t="s">
        <v>1774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1914</v>
      </c>
      <c r="M298" s="1" t="s">
        <v>1860</v>
      </c>
      <c r="N298" s="1" t="s">
        <v>1774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1914</v>
      </c>
      <c r="M299" s="1" t="s">
        <v>1864</v>
      </c>
      <c r="N299" s="1" t="s">
        <v>1774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1914</v>
      </c>
      <c r="M300" s="1" t="s">
        <v>1852</v>
      </c>
      <c r="N300" s="1" t="s">
        <v>1787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1914</v>
      </c>
      <c r="M301" s="1" t="s">
        <v>1856</v>
      </c>
      <c r="N301" s="1" t="s">
        <v>1787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1914</v>
      </c>
      <c r="M302" s="1" t="s">
        <v>1860</v>
      </c>
      <c r="N302" s="1" t="s">
        <v>1787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1914</v>
      </c>
      <c r="M303" s="1" t="s">
        <v>1864</v>
      </c>
      <c r="N303" s="1" t="s">
        <v>1787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1914</v>
      </c>
      <c r="M304" s="1" t="s">
        <v>1852</v>
      </c>
      <c r="N304" s="1" t="s">
        <v>1799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1914</v>
      </c>
      <c r="M305" s="1" t="s">
        <v>1856</v>
      </c>
      <c r="N305" s="1" t="s">
        <v>1799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1914</v>
      </c>
      <c r="M306" s="1" t="s">
        <v>1860</v>
      </c>
      <c r="N306" s="1" t="s">
        <v>1799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1914</v>
      </c>
      <c r="M307" s="1" t="s">
        <v>1864</v>
      </c>
      <c r="N307" s="1" t="s">
        <v>1799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1914</v>
      </c>
      <c r="M308" s="1" t="s">
        <v>1890</v>
      </c>
      <c r="N308" s="1" t="s">
        <v>1774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1914</v>
      </c>
      <c r="M309" s="1" t="s">
        <v>1893</v>
      </c>
      <c r="N309" s="1" t="s">
        <v>1774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1914</v>
      </c>
      <c r="M310" s="1" t="s">
        <v>1897</v>
      </c>
      <c r="N310" s="1" t="s">
        <v>1774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1914</v>
      </c>
      <c r="M311" s="1" t="s">
        <v>1890</v>
      </c>
      <c r="N311" s="1" t="s">
        <v>1787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1914</v>
      </c>
      <c r="M312" s="1" t="s">
        <v>1893</v>
      </c>
      <c r="N312" s="1" t="s">
        <v>1787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1914</v>
      </c>
      <c r="M313" s="1" t="s">
        <v>1897</v>
      </c>
      <c r="N313" s="1" t="s">
        <v>1787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1914</v>
      </c>
      <c r="M314" s="1" t="s">
        <v>1890</v>
      </c>
      <c r="N314" s="1" t="s">
        <v>1799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1914</v>
      </c>
      <c r="M315" s="1" t="s">
        <v>1893</v>
      </c>
      <c r="N315" s="1" t="s">
        <v>1799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1914</v>
      </c>
      <c r="M316" s="1" t="s">
        <v>1897</v>
      </c>
      <c r="N316" s="1" t="s">
        <v>1799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1917</v>
      </c>
      <c r="M317" s="1" t="s">
        <v>1773</v>
      </c>
      <c r="N317" s="1" t="s">
        <v>1774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1917</v>
      </c>
      <c r="M318" s="1" t="s">
        <v>1777</v>
      </c>
      <c r="N318" s="1" t="s">
        <v>1774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1917</v>
      </c>
      <c r="M319" s="1" t="s">
        <v>1780</v>
      </c>
      <c r="N319" s="1" t="s">
        <v>1774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1917</v>
      </c>
      <c r="M320" s="1" t="s">
        <v>1783</v>
      </c>
      <c r="N320" s="1" t="s">
        <v>1774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1917</v>
      </c>
      <c r="M321" s="1" t="s">
        <v>1773</v>
      </c>
      <c r="N321" s="1" t="s">
        <v>1787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1917</v>
      </c>
      <c r="M322" s="1" t="s">
        <v>1777</v>
      </c>
      <c r="N322" s="1" t="s">
        <v>1787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1917</v>
      </c>
      <c r="M323" s="1" t="s">
        <v>1780</v>
      </c>
      <c r="N323" s="1" t="s">
        <v>1787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1917</v>
      </c>
      <c r="M324" s="1" t="s">
        <v>1783</v>
      </c>
      <c r="N324" s="1" t="s">
        <v>1787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1917</v>
      </c>
      <c r="M325" s="1" t="s">
        <v>1773</v>
      </c>
      <c r="N325" s="1" t="s">
        <v>1799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1917</v>
      </c>
      <c r="M326" s="1" t="s">
        <v>1777</v>
      </c>
      <c r="N326" s="1" t="s">
        <v>1799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1917</v>
      </c>
      <c r="M327" s="1" t="s">
        <v>1780</v>
      </c>
      <c r="N327" s="1" t="s">
        <v>1799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1917</v>
      </c>
      <c r="M328" s="1" t="s">
        <v>1783</v>
      </c>
      <c r="N328" s="1" t="s">
        <v>1799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1917</v>
      </c>
      <c r="M329" s="1" t="s">
        <v>1812</v>
      </c>
      <c r="N329" s="1" t="s">
        <v>1774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1917</v>
      </c>
      <c r="M330" s="1" t="s">
        <v>1816</v>
      </c>
      <c r="N330" s="1" t="s">
        <v>1774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1917</v>
      </c>
      <c r="M331" s="1" t="s">
        <v>1821</v>
      </c>
      <c r="N331" s="1" t="s">
        <v>1774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1917</v>
      </c>
      <c r="M332" s="1" t="s">
        <v>1824</v>
      </c>
      <c r="N332" s="1" t="s">
        <v>1774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1917</v>
      </c>
      <c r="M333" s="1" t="s">
        <v>1812</v>
      </c>
      <c r="N333" s="1" t="s">
        <v>1787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1917</v>
      </c>
      <c r="M334" s="1" t="s">
        <v>1816</v>
      </c>
      <c r="N334" s="1" t="s">
        <v>1787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1917</v>
      </c>
      <c r="M335" s="1" t="s">
        <v>1821</v>
      </c>
      <c r="N335" s="1" t="s">
        <v>1787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1917</v>
      </c>
      <c r="M336" s="1" t="s">
        <v>1824</v>
      </c>
      <c r="N336" s="1" t="s">
        <v>1787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1917</v>
      </c>
      <c r="M337" s="1" t="s">
        <v>1812</v>
      </c>
      <c r="N337" s="1" t="s">
        <v>1799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1917</v>
      </c>
      <c r="M338" s="1" t="s">
        <v>1816</v>
      </c>
      <c r="N338" s="1" t="s">
        <v>1799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1917</v>
      </c>
      <c r="M339" s="1" t="s">
        <v>1821</v>
      </c>
      <c r="N339" s="1" t="s">
        <v>1799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1917</v>
      </c>
      <c r="M340" s="1" t="s">
        <v>1824</v>
      </c>
      <c r="N340" s="1" t="s">
        <v>1799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1917</v>
      </c>
      <c r="M341" s="1" t="s">
        <v>1852</v>
      </c>
      <c r="N341" s="1" t="s">
        <v>1774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1917</v>
      </c>
      <c r="M342" s="1" t="s">
        <v>1856</v>
      </c>
      <c r="N342" s="1" t="s">
        <v>1774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1917</v>
      </c>
      <c r="M343" s="1" t="s">
        <v>1860</v>
      </c>
      <c r="N343" s="1" t="s">
        <v>1774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1917</v>
      </c>
      <c r="M344" s="1" t="s">
        <v>1864</v>
      </c>
      <c r="N344" s="1" t="s">
        <v>1774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1917</v>
      </c>
      <c r="M345" s="1" t="s">
        <v>1852</v>
      </c>
      <c r="N345" s="1" t="s">
        <v>1787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1917</v>
      </c>
      <c r="M346" s="1" t="s">
        <v>1856</v>
      </c>
      <c r="N346" s="1" t="s">
        <v>1787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1917</v>
      </c>
      <c r="M347" s="1" t="s">
        <v>1860</v>
      </c>
      <c r="N347" s="1" t="s">
        <v>1787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1917</v>
      </c>
      <c r="M348" s="1" t="s">
        <v>1864</v>
      </c>
      <c r="N348" s="1" t="s">
        <v>1787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1917</v>
      </c>
      <c r="M349" s="1" t="s">
        <v>1852</v>
      </c>
      <c r="N349" s="1" t="s">
        <v>1799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1917</v>
      </c>
      <c r="M350" s="1" t="s">
        <v>1856</v>
      </c>
      <c r="N350" s="1" t="s">
        <v>1799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1917</v>
      </c>
      <c r="M351" s="1" t="s">
        <v>1860</v>
      </c>
      <c r="N351" s="1" t="s">
        <v>1799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1917</v>
      </c>
      <c r="M352" s="1" t="s">
        <v>1864</v>
      </c>
      <c r="N352" s="1" t="s">
        <v>1799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1917</v>
      </c>
      <c r="M353" s="1" t="s">
        <v>1890</v>
      </c>
      <c r="N353" s="1" t="s">
        <v>1774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1917</v>
      </c>
      <c r="M354" s="1" t="s">
        <v>1893</v>
      </c>
      <c r="N354" s="1" t="s">
        <v>1774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1917</v>
      </c>
      <c r="M355" s="1" t="s">
        <v>1897</v>
      </c>
      <c r="N355" s="1" t="s">
        <v>1774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1917</v>
      </c>
      <c r="M356" s="1" t="s">
        <v>1890</v>
      </c>
      <c r="N356" s="1" t="s">
        <v>1787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1917</v>
      </c>
      <c r="M357" s="1" t="s">
        <v>1893</v>
      </c>
      <c r="N357" s="1" t="s">
        <v>1787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1917</v>
      </c>
      <c r="M358" s="1" t="s">
        <v>1897</v>
      </c>
      <c r="N358" s="1" t="s">
        <v>1787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1917</v>
      </c>
      <c r="M359" s="1" t="s">
        <v>1890</v>
      </c>
      <c r="N359" s="1" t="s">
        <v>1799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1917</v>
      </c>
      <c r="M360" s="1" t="s">
        <v>1893</v>
      </c>
      <c r="N360" s="1" t="s">
        <v>1799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1917</v>
      </c>
      <c r="M361" s="1" t="s">
        <v>1897</v>
      </c>
      <c r="N361" s="1" t="s">
        <v>1799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1920</v>
      </c>
      <c r="M362" s="1" t="s">
        <v>1773</v>
      </c>
      <c r="N362" s="1" t="s">
        <v>1774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1920</v>
      </c>
      <c r="M363" s="1" t="s">
        <v>1777</v>
      </c>
      <c r="N363" s="1" t="s">
        <v>1774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1920</v>
      </c>
      <c r="M364" s="1" t="s">
        <v>1780</v>
      </c>
      <c r="N364" s="1" t="s">
        <v>1774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1920</v>
      </c>
      <c r="M365" s="1" t="s">
        <v>1783</v>
      </c>
      <c r="N365" s="1" t="s">
        <v>1774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1920</v>
      </c>
      <c r="M366" s="1" t="s">
        <v>1773</v>
      </c>
      <c r="N366" s="1" t="s">
        <v>1787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1920</v>
      </c>
      <c r="M367" s="1" t="s">
        <v>1777</v>
      </c>
      <c r="N367" s="1" t="s">
        <v>1787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1920</v>
      </c>
      <c r="M368" s="1" t="s">
        <v>1780</v>
      </c>
      <c r="N368" s="1" t="s">
        <v>1787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1920</v>
      </c>
      <c r="M369" s="1" t="s">
        <v>1783</v>
      </c>
      <c r="N369" s="1" t="s">
        <v>1787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1920</v>
      </c>
      <c r="M370" s="1" t="s">
        <v>1773</v>
      </c>
      <c r="N370" s="1" t="s">
        <v>1799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1920</v>
      </c>
      <c r="M371" s="1" t="s">
        <v>1777</v>
      </c>
      <c r="N371" s="1" t="s">
        <v>1799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1920</v>
      </c>
      <c r="M372" s="1" t="s">
        <v>1780</v>
      </c>
      <c r="N372" s="1" t="s">
        <v>1799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1920</v>
      </c>
      <c r="M373" s="1" t="s">
        <v>1783</v>
      </c>
      <c r="N373" s="1" t="s">
        <v>1799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1920</v>
      </c>
      <c r="M374" s="1" t="s">
        <v>1812</v>
      </c>
      <c r="N374" s="1" t="s">
        <v>1774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1920</v>
      </c>
      <c r="M375" s="1" t="s">
        <v>1816</v>
      </c>
      <c r="N375" s="1" t="s">
        <v>1774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1920</v>
      </c>
      <c r="M376" s="1" t="s">
        <v>1821</v>
      </c>
      <c r="N376" s="1" t="s">
        <v>1774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1920</v>
      </c>
      <c r="M377" s="1" t="s">
        <v>1824</v>
      </c>
      <c r="N377" s="1" t="s">
        <v>1774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1920</v>
      </c>
      <c r="M378" s="1" t="s">
        <v>1812</v>
      </c>
      <c r="N378" s="1" t="s">
        <v>1787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1920</v>
      </c>
      <c r="M379" s="1" t="s">
        <v>1816</v>
      </c>
      <c r="N379" s="1" t="s">
        <v>1787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1920</v>
      </c>
      <c r="M380" s="1" t="s">
        <v>1821</v>
      </c>
      <c r="N380" s="1" t="s">
        <v>1787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1920</v>
      </c>
      <c r="M381" s="1" t="s">
        <v>1824</v>
      </c>
      <c r="N381" s="1" t="s">
        <v>1787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1920</v>
      </c>
      <c r="M382" s="1" t="s">
        <v>1812</v>
      </c>
      <c r="N382" s="1" t="s">
        <v>1799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1920</v>
      </c>
      <c r="M383" s="1" t="s">
        <v>1816</v>
      </c>
      <c r="N383" s="1" t="s">
        <v>1799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1920</v>
      </c>
      <c r="M384" s="1" t="s">
        <v>1821</v>
      </c>
      <c r="N384" s="1" t="s">
        <v>1799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1920</v>
      </c>
      <c r="M385" s="1" t="s">
        <v>1824</v>
      </c>
      <c r="N385" s="1" t="s">
        <v>1799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1920</v>
      </c>
      <c r="M386" s="1" t="s">
        <v>1852</v>
      </c>
      <c r="N386" s="1" t="s">
        <v>1774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1920</v>
      </c>
      <c r="M387" s="1" t="s">
        <v>1856</v>
      </c>
      <c r="N387" s="1" t="s">
        <v>1774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1920</v>
      </c>
      <c r="M388" s="1" t="s">
        <v>1860</v>
      </c>
      <c r="N388" s="1" t="s">
        <v>1774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1920</v>
      </c>
      <c r="M389" s="1" t="s">
        <v>1864</v>
      </c>
      <c r="N389" s="1" t="s">
        <v>1774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1920</v>
      </c>
      <c r="M390" s="1" t="s">
        <v>1852</v>
      </c>
      <c r="N390" s="1" t="s">
        <v>1787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1920</v>
      </c>
      <c r="M391" s="1" t="s">
        <v>1856</v>
      </c>
      <c r="N391" s="1" t="s">
        <v>1787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1920</v>
      </c>
      <c r="M392" s="1" t="s">
        <v>1860</v>
      </c>
      <c r="N392" s="1" t="s">
        <v>1787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1920</v>
      </c>
      <c r="M393" s="1" t="s">
        <v>1864</v>
      </c>
      <c r="N393" s="1" t="s">
        <v>1787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1920</v>
      </c>
      <c r="M394" s="1" t="s">
        <v>1852</v>
      </c>
      <c r="N394" s="1" t="s">
        <v>1799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1920</v>
      </c>
      <c r="M395" s="1" t="s">
        <v>1856</v>
      </c>
      <c r="N395" s="1" t="s">
        <v>1799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1920</v>
      </c>
      <c r="M396" s="1" t="s">
        <v>1860</v>
      </c>
      <c r="N396" s="1" t="s">
        <v>1799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1920</v>
      </c>
      <c r="M397" s="1" t="s">
        <v>1864</v>
      </c>
      <c r="N397" s="1" t="s">
        <v>1799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1920</v>
      </c>
      <c r="M398" s="1" t="s">
        <v>1890</v>
      </c>
      <c r="N398" s="1" t="s">
        <v>1774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1920</v>
      </c>
      <c r="M399" s="1" t="s">
        <v>1893</v>
      </c>
      <c r="N399" s="1" t="s">
        <v>1774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1920</v>
      </c>
      <c r="M400" s="1" t="s">
        <v>1897</v>
      </c>
      <c r="N400" s="1" t="s">
        <v>1774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1920</v>
      </c>
      <c r="M401" s="1" t="s">
        <v>1890</v>
      </c>
      <c r="N401" s="1" t="s">
        <v>1787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1920</v>
      </c>
      <c r="M402" s="1" t="s">
        <v>1893</v>
      </c>
      <c r="N402" s="1" t="s">
        <v>1787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1920</v>
      </c>
      <c r="M403" s="1" t="s">
        <v>1897</v>
      </c>
      <c r="N403" s="1" t="s">
        <v>1787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1920</v>
      </c>
      <c r="M404" s="1" t="s">
        <v>1890</v>
      </c>
      <c r="N404" s="1" t="s">
        <v>1799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1920</v>
      </c>
      <c r="M405" s="1" t="s">
        <v>1893</v>
      </c>
      <c r="N405" s="1" t="s">
        <v>1799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1920</v>
      </c>
      <c r="M406" s="1" t="s">
        <v>1897</v>
      </c>
      <c r="N406" s="1" t="s">
        <v>1799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1923</v>
      </c>
      <c r="M407" s="1" t="s">
        <v>1773</v>
      </c>
      <c r="N407" s="1" t="s">
        <v>1774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1923</v>
      </c>
      <c r="M408" s="1" t="s">
        <v>1777</v>
      </c>
      <c r="N408" s="1" t="s">
        <v>1774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1923</v>
      </c>
      <c r="M409" s="1" t="s">
        <v>1780</v>
      </c>
      <c r="N409" s="1" t="s">
        <v>1774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1923</v>
      </c>
      <c r="M410" s="1" t="s">
        <v>1783</v>
      </c>
      <c r="N410" s="1" t="s">
        <v>1774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1923</v>
      </c>
      <c r="M411" s="1" t="s">
        <v>1773</v>
      </c>
      <c r="N411" s="1" t="s">
        <v>1787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1923</v>
      </c>
      <c r="M412" s="1" t="s">
        <v>1777</v>
      </c>
      <c r="N412" s="1" t="s">
        <v>1787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1923</v>
      </c>
      <c r="M413" s="1" t="s">
        <v>1780</v>
      </c>
      <c r="N413" s="1" t="s">
        <v>1787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1923</v>
      </c>
      <c r="M414" s="1" t="s">
        <v>1783</v>
      </c>
      <c r="N414" s="1" t="s">
        <v>1787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1923</v>
      </c>
      <c r="M415" s="1" t="s">
        <v>1773</v>
      </c>
      <c r="N415" s="1" t="s">
        <v>1799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1923</v>
      </c>
      <c r="M416" s="1" t="s">
        <v>1777</v>
      </c>
      <c r="N416" s="1" t="s">
        <v>1799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1923</v>
      </c>
      <c r="M417" s="1" t="s">
        <v>1780</v>
      </c>
      <c r="N417" s="1" t="s">
        <v>1799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1923</v>
      </c>
      <c r="M418" s="1" t="s">
        <v>1783</v>
      </c>
      <c r="N418" s="1" t="s">
        <v>1799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1923</v>
      </c>
      <c r="M419" s="1" t="s">
        <v>1812</v>
      </c>
      <c r="N419" s="1" t="s">
        <v>1774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1923</v>
      </c>
      <c r="M420" s="1" t="s">
        <v>1816</v>
      </c>
      <c r="N420" s="1" t="s">
        <v>1774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1923</v>
      </c>
      <c r="M421" s="1" t="s">
        <v>1821</v>
      </c>
      <c r="N421" s="1" t="s">
        <v>1774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1923</v>
      </c>
      <c r="M422" s="1" t="s">
        <v>1824</v>
      </c>
      <c r="N422" s="1" t="s">
        <v>1774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1923</v>
      </c>
      <c r="M423" s="1" t="s">
        <v>1812</v>
      </c>
      <c r="N423" s="1" t="s">
        <v>1787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1923</v>
      </c>
      <c r="M424" s="1" t="s">
        <v>1816</v>
      </c>
      <c r="N424" s="1" t="s">
        <v>1787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1923</v>
      </c>
      <c r="M425" s="1" t="s">
        <v>1821</v>
      </c>
      <c r="N425" s="1" t="s">
        <v>1787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1923</v>
      </c>
      <c r="M426" s="1" t="s">
        <v>1824</v>
      </c>
      <c r="N426" s="1" t="s">
        <v>1787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1923</v>
      </c>
      <c r="M427" s="1" t="s">
        <v>1812</v>
      </c>
      <c r="N427" s="1" t="s">
        <v>1799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1923</v>
      </c>
      <c r="M428" s="1" t="s">
        <v>1816</v>
      </c>
      <c r="N428" s="1" t="s">
        <v>1799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1923</v>
      </c>
      <c r="M429" s="1" t="s">
        <v>1821</v>
      </c>
      <c r="N429" s="1" t="s">
        <v>1799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1923</v>
      </c>
      <c r="M430" s="1" t="s">
        <v>1824</v>
      </c>
      <c r="N430" s="1" t="s">
        <v>1799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1923</v>
      </c>
      <c r="M431" s="1" t="s">
        <v>1852</v>
      </c>
      <c r="N431" s="1" t="s">
        <v>1774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1923</v>
      </c>
      <c r="M432" s="1" t="s">
        <v>1856</v>
      </c>
      <c r="N432" s="1" t="s">
        <v>1774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1923</v>
      </c>
      <c r="M433" s="1" t="s">
        <v>1860</v>
      </c>
      <c r="N433" s="1" t="s">
        <v>1774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1923</v>
      </c>
      <c r="M434" s="1" t="s">
        <v>1864</v>
      </c>
      <c r="N434" s="1" t="s">
        <v>1774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1923</v>
      </c>
      <c r="M435" s="1" t="s">
        <v>1852</v>
      </c>
      <c r="N435" s="1" t="s">
        <v>1787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1923</v>
      </c>
      <c r="M436" s="1" t="s">
        <v>1856</v>
      </c>
      <c r="N436" s="1" t="s">
        <v>1787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1923</v>
      </c>
      <c r="M437" s="1" t="s">
        <v>1860</v>
      </c>
      <c r="N437" s="1" t="s">
        <v>1787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1923</v>
      </c>
      <c r="M438" s="1" t="s">
        <v>1864</v>
      </c>
      <c r="N438" s="1" t="s">
        <v>1787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1923</v>
      </c>
      <c r="M439" s="1" t="s">
        <v>1852</v>
      </c>
      <c r="N439" s="1" t="s">
        <v>1799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1923</v>
      </c>
      <c r="M440" s="1" t="s">
        <v>1856</v>
      </c>
      <c r="N440" s="1" t="s">
        <v>1799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1923</v>
      </c>
      <c r="M441" s="1" t="s">
        <v>1860</v>
      </c>
      <c r="N441" s="1" t="s">
        <v>1799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1923</v>
      </c>
      <c r="M442" s="1" t="s">
        <v>1864</v>
      </c>
      <c r="N442" s="1" t="s">
        <v>1799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1923</v>
      </c>
      <c r="M443" s="1" t="s">
        <v>1890</v>
      </c>
      <c r="N443" s="1" t="s">
        <v>1774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1923</v>
      </c>
      <c r="M444" s="1" t="s">
        <v>1893</v>
      </c>
      <c r="N444" s="1" t="s">
        <v>1774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1923</v>
      </c>
      <c r="M445" s="1" t="s">
        <v>1897</v>
      </c>
      <c r="N445" s="1" t="s">
        <v>1774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1923</v>
      </c>
      <c r="M446" s="1" t="s">
        <v>1890</v>
      </c>
      <c r="N446" s="1" t="s">
        <v>1787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1923</v>
      </c>
      <c r="M447" s="1" t="s">
        <v>1893</v>
      </c>
      <c r="N447" s="1" t="s">
        <v>1787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1923</v>
      </c>
      <c r="M448" s="1" t="s">
        <v>1897</v>
      </c>
      <c r="N448" s="1" t="s">
        <v>1787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1923</v>
      </c>
      <c r="M449" s="1" t="s">
        <v>1890</v>
      </c>
      <c r="N449" s="1" t="s">
        <v>1799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1923</v>
      </c>
      <c r="M450" s="1" t="s">
        <v>1893</v>
      </c>
      <c r="N450" s="1" t="s">
        <v>1799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1923</v>
      </c>
      <c r="M451" s="1" t="s">
        <v>1897</v>
      </c>
      <c r="N451" s="1" t="s">
        <v>1799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1926</v>
      </c>
      <c r="M452" s="1" t="s">
        <v>1773</v>
      </c>
      <c r="N452" s="1" t="s">
        <v>1774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1926</v>
      </c>
      <c r="M453" s="1" t="s">
        <v>1777</v>
      </c>
      <c r="N453" s="1" t="s">
        <v>1774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1926</v>
      </c>
      <c r="M454" s="1" t="s">
        <v>1780</v>
      </c>
      <c r="N454" s="1" t="s">
        <v>1774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1926</v>
      </c>
      <c r="M455" s="1" t="s">
        <v>1783</v>
      </c>
      <c r="N455" s="1" t="s">
        <v>1774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1926</v>
      </c>
      <c r="M456" s="1" t="s">
        <v>1773</v>
      </c>
      <c r="N456" s="1" t="s">
        <v>1787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1926</v>
      </c>
      <c r="M457" s="1" t="s">
        <v>1777</v>
      </c>
      <c r="N457" s="1" t="s">
        <v>1787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1926</v>
      </c>
      <c r="M458" s="1" t="s">
        <v>1780</v>
      </c>
      <c r="N458" s="1" t="s">
        <v>1787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1926</v>
      </c>
      <c r="M459" s="1" t="s">
        <v>1783</v>
      </c>
      <c r="N459" s="1" t="s">
        <v>1787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1926</v>
      </c>
      <c r="M460" s="1" t="s">
        <v>1773</v>
      </c>
      <c r="N460" s="1" t="s">
        <v>1799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1926</v>
      </c>
      <c r="M461" s="1" t="s">
        <v>1777</v>
      </c>
      <c r="N461" s="1" t="s">
        <v>1799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1926</v>
      </c>
      <c r="M462" s="1" t="s">
        <v>1780</v>
      </c>
      <c r="N462" s="1" t="s">
        <v>1799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1926</v>
      </c>
      <c r="M463" s="1" t="s">
        <v>1783</v>
      </c>
      <c r="N463" s="1" t="s">
        <v>1799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1926</v>
      </c>
      <c r="M464" s="1" t="s">
        <v>1812</v>
      </c>
      <c r="N464" s="1" t="s">
        <v>1774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1926</v>
      </c>
      <c r="M465" s="1" t="s">
        <v>1816</v>
      </c>
      <c r="N465" s="1" t="s">
        <v>1774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1926</v>
      </c>
      <c r="M466" s="1" t="s">
        <v>1821</v>
      </c>
      <c r="N466" s="1" t="s">
        <v>1774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1926</v>
      </c>
      <c r="M467" s="1" t="s">
        <v>1824</v>
      </c>
      <c r="N467" s="1" t="s">
        <v>1774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1926</v>
      </c>
      <c r="M468" s="1" t="s">
        <v>1812</v>
      </c>
      <c r="N468" s="1" t="s">
        <v>1787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1926</v>
      </c>
      <c r="M469" s="1" t="s">
        <v>1816</v>
      </c>
      <c r="N469" s="1" t="s">
        <v>1787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1926</v>
      </c>
      <c r="M470" s="1" t="s">
        <v>1821</v>
      </c>
      <c r="N470" s="1" t="s">
        <v>1787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1926</v>
      </c>
      <c r="M471" s="1" t="s">
        <v>1824</v>
      </c>
      <c r="N471" s="1" t="s">
        <v>1787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1926</v>
      </c>
      <c r="M472" s="1" t="s">
        <v>1812</v>
      </c>
      <c r="N472" s="1" t="s">
        <v>1799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1926</v>
      </c>
      <c r="M473" s="1" t="s">
        <v>1816</v>
      </c>
      <c r="N473" s="1" t="s">
        <v>1799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1926</v>
      </c>
      <c r="M474" s="1" t="s">
        <v>1821</v>
      </c>
      <c r="N474" s="1" t="s">
        <v>1799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1926</v>
      </c>
      <c r="M475" s="1" t="s">
        <v>1824</v>
      </c>
      <c r="N475" s="1" t="s">
        <v>1799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1926</v>
      </c>
      <c r="M476" s="1" t="s">
        <v>1852</v>
      </c>
      <c r="N476" s="1" t="s">
        <v>1774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1926</v>
      </c>
      <c r="M477" s="1" t="s">
        <v>1856</v>
      </c>
      <c r="N477" s="1" t="s">
        <v>1774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1926</v>
      </c>
      <c r="M478" s="1" t="s">
        <v>1860</v>
      </c>
      <c r="N478" s="1" t="s">
        <v>1774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1926</v>
      </c>
      <c r="M479" s="1" t="s">
        <v>1864</v>
      </c>
      <c r="N479" s="1" t="s">
        <v>1774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1926</v>
      </c>
      <c r="M480" s="1" t="s">
        <v>1852</v>
      </c>
      <c r="N480" s="1" t="s">
        <v>1787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1926</v>
      </c>
      <c r="M481" s="1" t="s">
        <v>1856</v>
      </c>
      <c r="N481" s="1" t="s">
        <v>1787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1926</v>
      </c>
      <c r="M482" s="1" t="s">
        <v>1860</v>
      </c>
      <c r="N482" s="1" t="s">
        <v>1787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1926</v>
      </c>
      <c r="M483" s="1" t="s">
        <v>1864</v>
      </c>
      <c r="N483" s="1" t="s">
        <v>1787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1926</v>
      </c>
      <c r="M484" s="1" t="s">
        <v>1852</v>
      </c>
      <c r="N484" s="1" t="s">
        <v>1799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1926</v>
      </c>
      <c r="M485" s="1" t="s">
        <v>1856</v>
      </c>
      <c r="N485" s="1" t="s">
        <v>1799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1926</v>
      </c>
      <c r="M486" s="1" t="s">
        <v>1860</v>
      </c>
      <c r="N486" s="1" t="s">
        <v>1799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1926</v>
      </c>
      <c r="M487" s="1" t="s">
        <v>1864</v>
      </c>
      <c r="N487" s="1" t="s">
        <v>1799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1926</v>
      </c>
      <c r="M488" s="1" t="s">
        <v>1890</v>
      </c>
      <c r="N488" s="1" t="s">
        <v>1774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1926</v>
      </c>
      <c r="M489" s="1" t="s">
        <v>1893</v>
      </c>
      <c r="N489" s="1" t="s">
        <v>1774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1926</v>
      </c>
      <c r="M490" s="1" t="s">
        <v>1897</v>
      </c>
      <c r="N490" s="1" t="s">
        <v>1774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1926</v>
      </c>
      <c r="M491" s="1" t="s">
        <v>1890</v>
      </c>
      <c r="N491" s="1" t="s">
        <v>1787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1926</v>
      </c>
      <c r="M492" s="1" t="s">
        <v>1893</v>
      </c>
      <c r="N492" s="1" t="s">
        <v>1787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1926</v>
      </c>
      <c r="M493" s="1" t="s">
        <v>1897</v>
      </c>
      <c r="N493" s="1" t="s">
        <v>1787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1926</v>
      </c>
      <c r="M494" s="1" t="s">
        <v>1890</v>
      </c>
      <c r="N494" s="1" t="s">
        <v>1799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1926</v>
      </c>
      <c r="M495" s="1" t="s">
        <v>1893</v>
      </c>
      <c r="N495" s="1" t="s">
        <v>1799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1926</v>
      </c>
      <c r="M496" s="1" t="s">
        <v>1897</v>
      </c>
      <c r="N496" s="1" t="s">
        <v>1799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1928</v>
      </c>
      <c r="M497" s="1" t="s">
        <v>1773</v>
      </c>
      <c r="N497" s="1" t="s">
        <v>1774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1928</v>
      </c>
      <c r="M498" s="1" t="s">
        <v>1777</v>
      </c>
      <c r="N498" s="1" t="s">
        <v>1774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1928</v>
      </c>
      <c r="M499" s="1" t="s">
        <v>1780</v>
      </c>
      <c r="N499" s="1" t="s">
        <v>1774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1928</v>
      </c>
      <c r="M500" s="1" t="s">
        <v>1783</v>
      </c>
      <c r="N500" s="1" t="s">
        <v>1774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1928</v>
      </c>
      <c r="M501" s="1" t="s">
        <v>1773</v>
      </c>
      <c r="N501" s="1" t="s">
        <v>1787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1928</v>
      </c>
      <c r="M502" s="1" t="s">
        <v>1777</v>
      </c>
      <c r="N502" s="1" t="s">
        <v>1787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1928</v>
      </c>
      <c r="M503" s="1" t="s">
        <v>1780</v>
      </c>
      <c r="N503" s="1" t="s">
        <v>1787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1928</v>
      </c>
      <c r="M504" s="1" t="s">
        <v>1783</v>
      </c>
      <c r="N504" s="1" t="s">
        <v>1787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1928</v>
      </c>
      <c r="M505" s="1" t="s">
        <v>1773</v>
      </c>
      <c r="N505" s="1" t="s">
        <v>1799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1928</v>
      </c>
      <c r="M506" s="1" t="s">
        <v>1777</v>
      </c>
      <c r="N506" s="1" t="s">
        <v>1799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1928</v>
      </c>
      <c r="M507" s="1" t="s">
        <v>1780</v>
      </c>
      <c r="N507" s="1" t="s">
        <v>1799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1928</v>
      </c>
      <c r="M508" s="1" t="s">
        <v>1783</v>
      </c>
      <c r="N508" s="1" t="s">
        <v>1799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1928</v>
      </c>
      <c r="M509" s="1" t="s">
        <v>1812</v>
      </c>
      <c r="N509" s="1" t="s">
        <v>1774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1928</v>
      </c>
      <c r="M510" s="1" t="s">
        <v>1816</v>
      </c>
      <c r="N510" s="1" t="s">
        <v>1774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1928</v>
      </c>
      <c r="M511" s="1" t="s">
        <v>1821</v>
      </c>
      <c r="N511" s="1" t="s">
        <v>1774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1928</v>
      </c>
      <c r="M512" s="1" t="s">
        <v>1824</v>
      </c>
      <c r="N512" s="1" t="s">
        <v>1774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1928</v>
      </c>
      <c r="M513" s="1" t="s">
        <v>1812</v>
      </c>
      <c r="N513" s="1" t="s">
        <v>1787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1928</v>
      </c>
      <c r="M514" s="1" t="s">
        <v>1816</v>
      </c>
      <c r="N514" s="1" t="s">
        <v>1787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1928</v>
      </c>
      <c r="M515" s="1" t="s">
        <v>1821</v>
      </c>
      <c r="N515" s="1" t="s">
        <v>1787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1928</v>
      </c>
      <c r="M516" s="1" t="s">
        <v>1824</v>
      </c>
      <c r="N516" s="1" t="s">
        <v>1787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1928</v>
      </c>
      <c r="M517" s="1" t="s">
        <v>1812</v>
      </c>
      <c r="N517" s="1" t="s">
        <v>1799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1928</v>
      </c>
      <c r="M518" s="1" t="s">
        <v>1816</v>
      </c>
      <c r="N518" s="1" t="s">
        <v>1799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1928</v>
      </c>
      <c r="M519" s="1" t="s">
        <v>1821</v>
      </c>
      <c r="N519" s="1" t="s">
        <v>1799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1928</v>
      </c>
      <c r="M520" s="1" t="s">
        <v>1824</v>
      </c>
      <c r="N520" s="1" t="s">
        <v>1799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1928</v>
      </c>
      <c r="M521" s="1" t="s">
        <v>1852</v>
      </c>
      <c r="N521" s="1" t="s">
        <v>1774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1928</v>
      </c>
      <c r="M522" s="1" t="s">
        <v>1856</v>
      </c>
      <c r="N522" s="1" t="s">
        <v>1774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1928</v>
      </c>
      <c r="M523" s="1" t="s">
        <v>1860</v>
      </c>
      <c r="N523" s="1" t="s">
        <v>1774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1928</v>
      </c>
      <c r="M524" s="1" t="s">
        <v>1864</v>
      </c>
      <c r="N524" s="1" t="s">
        <v>1774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1928</v>
      </c>
      <c r="M525" s="1" t="s">
        <v>1852</v>
      </c>
      <c r="N525" s="1" t="s">
        <v>1787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1928</v>
      </c>
      <c r="M526" s="1" t="s">
        <v>1856</v>
      </c>
      <c r="N526" s="1" t="s">
        <v>1787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1928</v>
      </c>
      <c r="M527" s="1" t="s">
        <v>1860</v>
      </c>
      <c r="N527" s="1" t="s">
        <v>1787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1928</v>
      </c>
      <c r="M528" s="1" t="s">
        <v>1864</v>
      </c>
      <c r="N528" s="1" t="s">
        <v>1787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1928</v>
      </c>
      <c r="M529" s="1" t="s">
        <v>1852</v>
      </c>
      <c r="N529" s="1" t="s">
        <v>1799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1928</v>
      </c>
      <c r="M530" s="1" t="s">
        <v>1856</v>
      </c>
      <c r="N530" s="1" t="s">
        <v>1799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1928</v>
      </c>
      <c r="M531" s="1" t="s">
        <v>1860</v>
      </c>
      <c r="N531" s="1" t="s">
        <v>1799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1928</v>
      </c>
      <c r="M532" s="1" t="s">
        <v>1864</v>
      </c>
      <c r="N532" s="1" t="s">
        <v>1799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1928</v>
      </c>
      <c r="M533" s="1" t="s">
        <v>1890</v>
      </c>
      <c r="N533" s="1" t="s">
        <v>1774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1928</v>
      </c>
      <c r="M534" s="1" t="s">
        <v>1893</v>
      </c>
      <c r="N534" s="1" t="s">
        <v>1774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1928</v>
      </c>
      <c r="M535" s="1" t="s">
        <v>1897</v>
      </c>
      <c r="N535" s="1" t="s">
        <v>1774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1928</v>
      </c>
      <c r="M536" s="1" t="s">
        <v>1890</v>
      </c>
      <c r="N536" s="1" t="s">
        <v>1787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1928</v>
      </c>
      <c r="M537" s="1" t="s">
        <v>1893</v>
      </c>
      <c r="N537" s="1" t="s">
        <v>1787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1928</v>
      </c>
      <c r="M538" s="1" t="s">
        <v>1897</v>
      </c>
      <c r="N538" s="1" t="s">
        <v>1787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1928</v>
      </c>
      <c r="M539" s="1" t="s">
        <v>1890</v>
      </c>
      <c r="N539" s="1" t="s">
        <v>1799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1928</v>
      </c>
      <c r="M540" s="1" t="s">
        <v>1893</v>
      </c>
      <c r="N540" s="1" t="s">
        <v>1799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1928</v>
      </c>
      <c r="M541" s="1" t="s">
        <v>1897</v>
      </c>
      <c r="N541" s="1" t="s">
        <v>1799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2026-01-07T16:22:40Z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