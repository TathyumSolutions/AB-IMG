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https://adityabirlacapital-my.sharepoint.com/personal/ashish_agarwal_adityabirlacapital_com/Documents/Desktop/Cases/May 2021/SONA NAVANI-Deepak/"/>
    </mc:Choice>
  </mc:AlternateContent>
  <xr:revisionPtr revIDLastSave="80" documentId="11_EAE2EC36AED4A8AF616BE28451BEB9B0D8A7DA5A" xr6:coauthVersionLast="47" xr6:coauthVersionMax="47" xr10:uidLastSave="{4B23754E-39D6-47F2-84BB-F79FB3F86479}"/>
  <bookViews>
    <workbookView xWindow="-120" yWindow="-120" windowWidth="20730" windowHeight="1116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r:id="rId9"/>
    <sheet name="26ASMapping" sheetId="57" state="hidden" r:id="rId10"/>
    <sheet name="GSTSummary" sheetId="58" state="hidden" r:id="rId11"/>
    <sheet name="ExistingLoans&amp;Facilities&amp;RTR" sheetId="3" r:id="rId12"/>
    <sheet name="Banking - Non PDF" sheetId="17" r:id="rId13"/>
    <sheet name="SelfEmployedEligibility" sheetId="59" r:id="rId14"/>
    <sheet name="AffordableCMAssessedIncome" sheetId="50" state="hidden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1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4" l="1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L12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B9" i="31"/>
  <c r="L8" i="31"/>
  <c r="F8" i="31"/>
  <c r="E8" i="31"/>
  <c r="D8" i="31"/>
  <c r="C8" i="3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D115" i="14"/>
  <c r="B115" i="14"/>
  <c r="B110" i="14"/>
  <c r="B109" i="14"/>
  <c r="B108" i="14"/>
  <c r="D107" i="14"/>
  <c r="B107" i="14"/>
  <c r="D106" i="14"/>
  <c r="C100" i="14"/>
  <c r="B100" i="14"/>
  <c r="G97" i="14"/>
  <c r="E97" i="14"/>
  <c r="D97" i="14"/>
  <c r="C97" i="14"/>
  <c r="F97" i="14" s="1"/>
  <c r="E95" i="14"/>
  <c r="G95" i="14" s="1"/>
  <c r="D95" i="14"/>
  <c r="C95" i="14"/>
  <c r="F95" i="14" s="1"/>
  <c r="G94" i="14"/>
  <c r="F94" i="14"/>
  <c r="F93" i="14"/>
  <c r="E93" i="14"/>
  <c r="D93" i="14"/>
  <c r="C93" i="14"/>
  <c r="G92" i="14"/>
  <c r="F92" i="14"/>
  <c r="F90" i="14"/>
  <c r="E90" i="14"/>
  <c r="D90" i="14"/>
  <c r="C90" i="14"/>
  <c r="G89" i="14"/>
  <c r="F89" i="14"/>
  <c r="E89" i="14"/>
  <c r="D89" i="14"/>
  <c r="C89" i="14"/>
  <c r="G88" i="14"/>
  <c r="E88" i="14"/>
  <c r="D88" i="14"/>
  <c r="C88" i="14"/>
  <c r="F88" i="14" s="1"/>
  <c r="F87" i="14"/>
  <c r="E87" i="14"/>
  <c r="D87" i="14"/>
  <c r="C87" i="14"/>
  <c r="C86" i="14"/>
  <c r="B86" i="14"/>
  <c r="B117" i="14" s="1"/>
  <c r="E85" i="14"/>
  <c r="D85" i="14"/>
  <c r="G85" i="14" s="1"/>
  <c r="C85" i="14"/>
  <c r="F85" i="14" s="1"/>
  <c r="E84" i="14"/>
  <c r="D84" i="14"/>
  <c r="C84" i="14"/>
  <c r="F83" i="14"/>
  <c r="E83" i="14"/>
  <c r="G83" i="14" s="1"/>
  <c r="D83" i="14"/>
  <c r="C83" i="14"/>
  <c r="G82" i="14"/>
  <c r="F82" i="14"/>
  <c r="E82" i="14"/>
  <c r="D82" i="14"/>
  <c r="C82" i="14"/>
  <c r="E81" i="14"/>
  <c r="G81" i="14" s="1"/>
  <c r="D81" i="14"/>
  <c r="C81" i="14"/>
  <c r="E80" i="14"/>
  <c r="D80" i="14"/>
  <c r="B80" i="14"/>
  <c r="G79" i="14"/>
  <c r="F79" i="14"/>
  <c r="E79" i="14"/>
  <c r="D79" i="14"/>
  <c r="C79" i="14"/>
  <c r="G78" i="14"/>
  <c r="E78" i="14"/>
  <c r="D78" i="14"/>
  <c r="C78" i="14"/>
  <c r="F78" i="14" s="1"/>
  <c r="F77" i="14"/>
  <c r="E77" i="14"/>
  <c r="D77" i="14"/>
  <c r="G77" i="14" s="1"/>
  <c r="C77" i="14"/>
  <c r="G76" i="14"/>
  <c r="E76" i="14"/>
  <c r="D76" i="14"/>
  <c r="C76" i="14"/>
  <c r="D75" i="14"/>
  <c r="C75" i="14"/>
  <c r="B75" i="14"/>
  <c r="D74" i="14"/>
  <c r="G73" i="14"/>
  <c r="F73" i="14"/>
  <c r="E73" i="14"/>
  <c r="D73" i="14"/>
  <c r="C73" i="14"/>
  <c r="G72" i="14"/>
  <c r="E72" i="14"/>
  <c r="C106" i="14" s="1"/>
  <c r="D72" i="14"/>
  <c r="D116" i="14" s="1"/>
  <c r="C72" i="14"/>
  <c r="F71" i="14"/>
  <c r="E71" i="14"/>
  <c r="D71" i="14"/>
  <c r="C71" i="14"/>
  <c r="G70" i="14"/>
  <c r="F70" i="14"/>
  <c r="F68" i="14"/>
  <c r="E68" i="14"/>
  <c r="G68" i="14" s="1"/>
  <c r="D68" i="14"/>
  <c r="C68" i="14"/>
  <c r="G67" i="14"/>
  <c r="F67" i="14"/>
  <c r="E67" i="14"/>
  <c r="D67" i="14"/>
  <c r="C67" i="14"/>
  <c r="G65" i="14"/>
  <c r="F65" i="14"/>
  <c r="E65" i="14"/>
  <c r="D65" i="14"/>
  <c r="C65" i="14"/>
  <c r="G64" i="14"/>
  <c r="E64" i="14"/>
  <c r="D64" i="14"/>
  <c r="C64" i="14"/>
  <c r="D63" i="14"/>
  <c r="B63" i="14"/>
  <c r="B66" i="14" s="1"/>
  <c r="F62" i="14"/>
  <c r="E62" i="14"/>
  <c r="D62" i="14"/>
  <c r="C62" i="14"/>
  <c r="G61" i="14"/>
  <c r="F61" i="14"/>
  <c r="E61" i="14"/>
  <c r="D61" i="14"/>
  <c r="C61" i="14"/>
  <c r="G60" i="14"/>
  <c r="E60" i="14"/>
  <c r="D60" i="14"/>
  <c r="C60" i="14"/>
  <c r="F60" i="14" s="1"/>
  <c r="F59" i="14"/>
  <c r="E59" i="14"/>
  <c r="D59" i="14"/>
  <c r="G59" i="14" s="1"/>
  <c r="C59" i="14"/>
  <c r="E58" i="14"/>
  <c r="E100" i="14" s="1"/>
  <c r="D58" i="14"/>
  <c r="D100" i="14" s="1"/>
  <c r="C58" i="14"/>
  <c r="B58" i="14"/>
  <c r="E53" i="14"/>
  <c r="D53" i="14"/>
  <c r="G53" i="14" s="1"/>
  <c r="C53" i="14"/>
  <c r="F52" i="14"/>
  <c r="E52" i="14"/>
  <c r="G52" i="14" s="1"/>
  <c r="D52" i="14"/>
  <c r="C52" i="14"/>
  <c r="E50" i="14"/>
  <c r="D50" i="14"/>
  <c r="C50" i="14"/>
  <c r="G48" i="14"/>
  <c r="E48" i="14"/>
  <c r="D48" i="14"/>
  <c r="C48" i="14"/>
  <c r="F48" i="14" s="1"/>
  <c r="G47" i="14"/>
  <c r="F47" i="14"/>
  <c r="G46" i="14"/>
  <c r="F46" i="14"/>
  <c r="E46" i="14"/>
  <c r="D46" i="14"/>
  <c r="C46" i="14"/>
  <c r="G45" i="14"/>
  <c r="F45" i="14"/>
  <c r="F44" i="14"/>
  <c r="E44" i="14"/>
  <c r="D44" i="14"/>
  <c r="C44" i="14"/>
  <c r="I13" i="31" s="1"/>
  <c r="G42" i="14"/>
  <c r="F42" i="14"/>
  <c r="G41" i="14"/>
  <c r="F41" i="14"/>
  <c r="E40" i="14"/>
  <c r="D40" i="14"/>
  <c r="C40" i="14"/>
  <c r="F39" i="14"/>
  <c r="E39" i="14"/>
  <c r="D39" i="14"/>
  <c r="C39" i="14"/>
  <c r="E37" i="14"/>
  <c r="D37" i="14"/>
  <c r="C37" i="14"/>
  <c r="F36" i="14"/>
  <c r="E36" i="14"/>
  <c r="G36" i="14" s="1"/>
  <c r="D36" i="14"/>
  <c r="C36" i="14"/>
  <c r="G35" i="14"/>
  <c r="F35" i="14"/>
  <c r="E35" i="14"/>
  <c r="D35" i="14"/>
  <c r="C35" i="14"/>
  <c r="C109" i="14" s="1"/>
  <c r="G34" i="14"/>
  <c r="E34" i="14"/>
  <c r="D34" i="14"/>
  <c r="C34" i="14"/>
  <c r="F34" i="14" s="1"/>
  <c r="G32" i="14"/>
  <c r="F32" i="14"/>
  <c r="E32" i="14"/>
  <c r="D32" i="14"/>
  <c r="C32" i="14"/>
  <c r="C110" i="14" s="1"/>
  <c r="G31" i="14"/>
  <c r="E31" i="14"/>
  <c r="E28" i="14" s="1"/>
  <c r="D31" i="14"/>
  <c r="C31" i="14"/>
  <c r="F31" i="14" s="1"/>
  <c r="E30" i="14"/>
  <c r="D30" i="14"/>
  <c r="C30" i="14"/>
  <c r="F29" i="14"/>
  <c r="E29" i="14"/>
  <c r="G29" i="14" s="1"/>
  <c r="D29" i="14"/>
  <c r="C29" i="14"/>
  <c r="C28" i="14"/>
  <c r="B28" i="14"/>
  <c r="B112" i="14" s="1"/>
  <c r="B27" i="14"/>
  <c r="B33" i="14" s="1"/>
  <c r="G26" i="14"/>
  <c r="F26" i="14"/>
  <c r="E26" i="14"/>
  <c r="D26" i="14"/>
  <c r="C26" i="14"/>
  <c r="E25" i="14"/>
  <c r="D25" i="14"/>
  <c r="G25" i="14" s="1"/>
  <c r="C25" i="14"/>
  <c r="E24" i="14"/>
  <c r="D24" i="14"/>
  <c r="C24" i="14"/>
  <c r="F22" i="14"/>
  <c r="E22" i="14"/>
  <c r="G22" i="14" s="1"/>
  <c r="D22" i="14"/>
  <c r="C22" i="14"/>
  <c r="G21" i="14"/>
  <c r="F21" i="14"/>
  <c r="E21" i="14"/>
  <c r="D21" i="14"/>
  <c r="H13" i="30" s="1"/>
  <c r="C21" i="14"/>
  <c r="G13" i="30" s="1"/>
  <c r="I13" i="30" s="1"/>
  <c r="G20" i="14"/>
  <c r="F20" i="14"/>
  <c r="F19" i="14"/>
  <c r="E19" i="14"/>
  <c r="G19" i="14" s="1"/>
  <c r="D19" i="14"/>
  <c r="C19" i="14"/>
  <c r="G18" i="14"/>
  <c r="E18" i="14"/>
  <c r="D18" i="14"/>
  <c r="C18" i="14"/>
  <c r="F18" i="14" s="1"/>
  <c r="E17" i="14"/>
  <c r="D17" i="14"/>
  <c r="G17" i="14" s="1"/>
  <c r="C17" i="14"/>
  <c r="F17" i="14" s="1"/>
  <c r="G16" i="14"/>
  <c r="F16" i="14"/>
  <c r="G15" i="14"/>
  <c r="F15" i="14"/>
  <c r="E15" i="14"/>
  <c r="D15" i="14"/>
  <c r="C15" i="14"/>
  <c r="E14" i="14"/>
  <c r="D14" i="14"/>
  <c r="C14" i="14"/>
  <c r="A12" i="14"/>
  <c r="B10" i="14"/>
  <c r="G13" i="19" s="1"/>
  <c r="B115" i="13"/>
  <c r="B110" i="13"/>
  <c r="B109" i="13"/>
  <c r="B108" i="13"/>
  <c r="B107" i="13"/>
  <c r="C100" i="13"/>
  <c r="G97" i="13"/>
  <c r="E97" i="13"/>
  <c r="D97" i="13"/>
  <c r="C97" i="13"/>
  <c r="F97" i="13" s="1"/>
  <c r="G95" i="13"/>
  <c r="F95" i="13"/>
  <c r="E95" i="13"/>
  <c r="D95" i="13"/>
  <c r="C95" i="13"/>
  <c r="G94" i="13"/>
  <c r="F94" i="13"/>
  <c r="F93" i="13"/>
  <c r="E93" i="13"/>
  <c r="D93" i="13"/>
  <c r="G93" i="13" s="1"/>
  <c r="C93" i="13"/>
  <c r="G92" i="13"/>
  <c r="F92" i="13"/>
  <c r="G90" i="13"/>
  <c r="F90" i="13"/>
  <c r="E90" i="13"/>
  <c r="D90" i="13"/>
  <c r="C90" i="13"/>
  <c r="G89" i="13"/>
  <c r="E89" i="13"/>
  <c r="D89" i="13"/>
  <c r="C89" i="13"/>
  <c r="E88" i="13"/>
  <c r="D88" i="13"/>
  <c r="C88" i="13"/>
  <c r="F88" i="13" s="1"/>
  <c r="F87" i="13"/>
  <c r="E87" i="13"/>
  <c r="D87" i="13"/>
  <c r="C87" i="13"/>
  <c r="B86" i="13"/>
  <c r="B117" i="13" s="1"/>
  <c r="E85" i="13"/>
  <c r="D85" i="13"/>
  <c r="C85" i="13"/>
  <c r="F84" i="13"/>
  <c r="E84" i="13"/>
  <c r="D84" i="13"/>
  <c r="G84" i="13" s="1"/>
  <c r="C84" i="13"/>
  <c r="G83" i="13"/>
  <c r="F83" i="13"/>
  <c r="E83" i="13"/>
  <c r="D83" i="13"/>
  <c r="C83" i="13"/>
  <c r="G82" i="13"/>
  <c r="E82" i="13"/>
  <c r="D82" i="13"/>
  <c r="C82" i="13"/>
  <c r="E81" i="13"/>
  <c r="D81" i="13"/>
  <c r="C81" i="13"/>
  <c r="F81" i="13" s="1"/>
  <c r="E80" i="13"/>
  <c r="B80" i="13"/>
  <c r="B111" i="13" s="1"/>
  <c r="G79" i="13"/>
  <c r="E79" i="13"/>
  <c r="D79" i="13"/>
  <c r="C79" i="13"/>
  <c r="F79" i="13" s="1"/>
  <c r="E78" i="13"/>
  <c r="D78" i="13"/>
  <c r="C78" i="13"/>
  <c r="F78" i="13" s="1"/>
  <c r="F77" i="13"/>
  <c r="E77" i="13"/>
  <c r="D77" i="13"/>
  <c r="G77" i="13" s="1"/>
  <c r="C77" i="13"/>
  <c r="G76" i="13"/>
  <c r="F76" i="13"/>
  <c r="E76" i="13"/>
  <c r="E108" i="13" s="1"/>
  <c r="D76" i="13"/>
  <c r="D108" i="13" s="1"/>
  <c r="C76" i="13"/>
  <c r="C75" i="13"/>
  <c r="B75" i="13"/>
  <c r="B113" i="13" s="1"/>
  <c r="B74" i="13"/>
  <c r="B116" i="13" s="1"/>
  <c r="G73" i="13"/>
  <c r="E73" i="13"/>
  <c r="D73" i="13"/>
  <c r="C73" i="13"/>
  <c r="F73" i="13" s="1"/>
  <c r="E72" i="13"/>
  <c r="D72" i="13"/>
  <c r="C72" i="13"/>
  <c r="F71" i="13"/>
  <c r="E71" i="13"/>
  <c r="G71" i="13" s="1"/>
  <c r="D71" i="13"/>
  <c r="C71" i="13"/>
  <c r="G70" i="13"/>
  <c r="F70" i="13"/>
  <c r="G68" i="13"/>
  <c r="F68" i="13"/>
  <c r="E68" i="13"/>
  <c r="D68" i="13"/>
  <c r="C68" i="13"/>
  <c r="G67" i="13"/>
  <c r="E67" i="13"/>
  <c r="D67" i="13"/>
  <c r="D115" i="13" s="1"/>
  <c r="C67" i="13"/>
  <c r="G65" i="13"/>
  <c r="F65" i="13"/>
  <c r="E65" i="13"/>
  <c r="D65" i="13"/>
  <c r="C65" i="13"/>
  <c r="G64" i="13"/>
  <c r="E64" i="13"/>
  <c r="D64" i="13"/>
  <c r="C64" i="13"/>
  <c r="F64" i="13" s="1"/>
  <c r="B63" i="13"/>
  <c r="B66" i="13" s="1"/>
  <c r="G62" i="13"/>
  <c r="F62" i="13"/>
  <c r="E62" i="13"/>
  <c r="D62" i="13"/>
  <c r="C62" i="13"/>
  <c r="G61" i="13"/>
  <c r="E61" i="13"/>
  <c r="D61" i="13"/>
  <c r="C61" i="13"/>
  <c r="F61" i="13" s="1"/>
  <c r="E60" i="13"/>
  <c r="D60" i="13"/>
  <c r="C60" i="13"/>
  <c r="F59" i="13"/>
  <c r="E59" i="13"/>
  <c r="D59" i="13"/>
  <c r="C59" i="13"/>
  <c r="E58" i="13"/>
  <c r="E100" i="13" s="1"/>
  <c r="D58" i="13"/>
  <c r="D100" i="13" s="1"/>
  <c r="C58" i="13"/>
  <c r="B58" i="13"/>
  <c r="B100" i="13" s="1"/>
  <c r="E53" i="13"/>
  <c r="D53" i="13"/>
  <c r="C53" i="13"/>
  <c r="F52" i="13"/>
  <c r="E52" i="13"/>
  <c r="G52" i="13" s="1"/>
  <c r="D52" i="13"/>
  <c r="C52" i="13"/>
  <c r="E50" i="13"/>
  <c r="D50" i="13"/>
  <c r="C50" i="13"/>
  <c r="G48" i="13"/>
  <c r="E48" i="13"/>
  <c r="D48" i="13"/>
  <c r="C48" i="13"/>
  <c r="F48" i="13" s="1"/>
  <c r="G47" i="13"/>
  <c r="F47" i="13"/>
  <c r="G46" i="13"/>
  <c r="F46" i="13"/>
  <c r="E46" i="13"/>
  <c r="D46" i="13"/>
  <c r="C46" i="13"/>
  <c r="G45" i="13"/>
  <c r="F45" i="13"/>
  <c r="F44" i="13"/>
  <c r="E44" i="13"/>
  <c r="D44" i="13"/>
  <c r="D107" i="13" s="1"/>
  <c r="C44" i="13"/>
  <c r="I12" i="31" s="1"/>
  <c r="G42" i="13"/>
  <c r="F42" i="13"/>
  <c r="G41" i="13"/>
  <c r="F41" i="13"/>
  <c r="E40" i="13"/>
  <c r="D40" i="13"/>
  <c r="C40" i="13"/>
  <c r="F39" i="13"/>
  <c r="E39" i="13"/>
  <c r="D39" i="13"/>
  <c r="D106" i="13" s="1"/>
  <c r="C39" i="13"/>
  <c r="E37" i="13"/>
  <c r="D37" i="13"/>
  <c r="C37" i="13"/>
  <c r="F36" i="13"/>
  <c r="E36" i="13"/>
  <c r="G36" i="13" s="1"/>
  <c r="D36" i="13"/>
  <c r="C36" i="13"/>
  <c r="G35" i="13"/>
  <c r="F35" i="13"/>
  <c r="E35" i="13"/>
  <c r="D35" i="13"/>
  <c r="D109" i="13" s="1"/>
  <c r="C35" i="13"/>
  <c r="G34" i="13"/>
  <c r="E34" i="13"/>
  <c r="D34" i="13"/>
  <c r="C34" i="13"/>
  <c r="F34" i="13" s="1"/>
  <c r="G32" i="13"/>
  <c r="F32" i="13"/>
  <c r="E32" i="13"/>
  <c r="E110" i="13" s="1"/>
  <c r="D32" i="13"/>
  <c r="D110" i="13" s="1"/>
  <c r="C32" i="13"/>
  <c r="G31" i="13"/>
  <c r="E31" i="13"/>
  <c r="E28" i="13" s="1"/>
  <c r="D31" i="13"/>
  <c r="D28" i="13" s="1"/>
  <c r="G28" i="13" s="1"/>
  <c r="C31" i="13"/>
  <c r="E30" i="13"/>
  <c r="D30" i="13"/>
  <c r="C30" i="13"/>
  <c r="F29" i="13"/>
  <c r="E29" i="13"/>
  <c r="G29" i="13" s="1"/>
  <c r="D29" i="13"/>
  <c r="C29" i="13"/>
  <c r="B28" i="13"/>
  <c r="B112" i="13" s="1"/>
  <c r="B27" i="13"/>
  <c r="B33" i="13" s="1"/>
  <c r="G26" i="13"/>
  <c r="F26" i="13"/>
  <c r="E26" i="13"/>
  <c r="D26" i="13"/>
  <c r="C26" i="13"/>
  <c r="G25" i="13"/>
  <c r="E25" i="13"/>
  <c r="D25" i="13"/>
  <c r="C25" i="13"/>
  <c r="F25" i="13" s="1"/>
  <c r="E24" i="13"/>
  <c r="D24" i="13"/>
  <c r="C24" i="13"/>
  <c r="F22" i="13"/>
  <c r="E22" i="13"/>
  <c r="G22" i="13" s="1"/>
  <c r="D22" i="13"/>
  <c r="C22" i="13"/>
  <c r="G21" i="13"/>
  <c r="F21" i="13"/>
  <c r="E21" i="13"/>
  <c r="D21" i="13"/>
  <c r="H12" i="30" s="1"/>
  <c r="C21" i="13"/>
  <c r="G12" i="30" s="1"/>
  <c r="I12" i="30" s="1"/>
  <c r="G20" i="13"/>
  <c r="F20" i="13"/>
  <c r="F19" i="13"/>
  <c r="E19" i="13"/>
  <c r="D19" i="13"/>
  <c r="C19" i="13"/>
  <c r="G18" i="13"/>
  <c r="F18" i="13"/>
  <c r="E18" i="13"/>
  <c r="D18" i="13"/>
  <c r="C18" i="13"/>
  <c r="G17" i="13"/>
  <c r="E17" i="13"/>
  <c r="D17" i="13"/>
  <c r="C17" i="13"/>
  <c r="G16" i="13"/>
  <c r="F16" i="13"/>
  <c r="G15" i="13"/>
  <c r="F15" i="13"/>
  <c r="E15" i="13"/>
  <c r="D15" i="13"/>
  <c r="C15" i="13"/>
  <c r="E14" i="13"/>
  <c r="D14" i="13"/>
  <c r="C14" i="13"/>
  <c r="A12" i="13"/>
  <c r="B10" i="13"/>
  <c r="G12" i="19" s="1"/>
  <c r="B115" i="12"/>
  <c r="B112" i="12"/>
  <c r="B110" i="12"/>
  <c r="B109" i="12"/>
  <c r="B108" i="12"/>
  <c r="B107" i="12"/>
  <c r="C100" i="12"/>
  <c r="G97" i="12"/>
  <c r="F97" i="12"/>
  <c r="E97" i="12"/>
  <c r="D97" i="12"/>
  <c r="C97" i="12"/>
  <c r="F95" i="12"/>
  <c r="E95" i="12"/>
  <c r="G95" i="12" s="1"/>
  <c r="D95" i="12"/>
  <c r="C95" i="12"/>
  <c r="G94" i="12"/>
  <c r="F94" i="12"/>
  <c r="E93" i="12"/>
  <c r="D93" i="12"/>
  <c r="C93" i="12"/>
  <c r="G92" i="12"/>
  <c r="F92" i="12"/>
  <c r="F90" i="12"/>
  <c r="E90" i="12"/>
  <c r="G90" i="12" s="1"/>
  <c r="D90" i="12"/>
  <c r="C90" i="12"/>
  <c r="F89" i="12"/>
  <c r="E89" i="12"/>
  <c r="D89" i="12"/>
  <c r="C89" i="12"/>
  <c r="G88" i="12"/>
  <c r="F88" i="12"/>
  <c r="E88" i="12"/>
  <c r="D88" i="12"/>
  <c r="C88" i="12"/>
  <c r="G87" i="12"/>
  <c r="E87" i="12"/>
  <c r="D87" i="12"/>
  <c r="C87" i="12"/>
  <c r="D86" i="12"/>
  <c r="B86" i="12"/>
  <c r="B117" i="12" s="1"/>
  <c r="G85" i="12"/>
  <c r="F85" i="12"/>
  <c r="E85" i="12"/>
  <c r="D85" i="12"/>
  <c r="C85" i="12"/>
  <c r="G84" i="12"/>
  <c r="E84" i="12"/>
  <c r="D84" i="12"/>
  <c r="C84" i="12"/>
  <c r="F84" i="12" s="1"/>
  <c r="E83" i="12"/>
  <c r="D83" i="12"/>
  <c r="C83" i="12"/>
  <c r="F82" i="12"/>
  <c r="E82" i="12"/>
  <c r="D82" i="12"/>
  <c r="C82" i="12"/>
  <c r="G81" i="12"/>
  <c r="F81" i="12"/>
  <c r="E81" i="12"/>
  <c r="D81" i="12"/>
  <c r="C81" i="12"/>
  <c r="D80" i="12"/>
  <c r="C80" i="12"/>
  <c r="B80" i="12"/>
  <c r="F79" i="12"/>
  <c r="E79" i="12"/>
  <c r="G79" i="12" s="1"/>
  <c r="D79" i="12"/>
  <c r="C79" i="12"/>
  <c r="G78" i="12"/>
  <c r="F78" i="12"/>
  <c r="E78" i="12"/>
  <c r="D78" i="12"/>
  <c r="C78" i="12"/>
  <c r="G77" i="12"/>
  <c r="E77" i="12"/>
  <c r="D77" i="12"/>
  <c r="C77" i="12"/>
  <c r="E76" i="12"/>
  <c r="D76" i="12"/>
  <c r="C76" i="12"/>
  <c r="B75" i="12"/>
  <c r="B74" i="12" s="1"/>
  <c r="F73" i="12"/>
  <c r="E73" i="12"/>
  <c r="G73" i="12" s="1"/>
  <c r="D73" i="12"/>
  <c r="C73" i="12"/>
  <c r="G72" i="12"/>
  <c r="F72" i="12"/>
  <c r="E72" i="12"/>
  <c r="D72" i="12"/>
  <c r="C72" i="12"/>
  <c r="G71" i="12"/>
  <c r="E71" i="12"/>
  <c r="D71" i="12"/>
  <c r="C71" i="12"/>
  <c r="F71" i="12" s="1"/>
  <c r="G70" i="12"/>
  <c r="F70" i="12"/>
  <c r="E68" i="12"/>
  <c r="D68" i="12"/>
  <c r="C68" i="12"/>
  <c r="F67" i="12"/>
  <c r="E67" i="12"/>
  <c r="D67" i="12"/>
  <c r="C67" i="12"/>
  <c r="E65" i="12"/>
  <c r="D65" i="12"/>
  <c r="C65" i="12"/>
  <c r="F64" i="12"/>
  <c r="E64" i="12"/>
  <c r="G64" i="12" s="1"/>
  <c r="D64" i="12"/>
  <c r="C64" i="12"/>
  <c r="B63" i="12"/>
  <c r="B66" i="12" s="1"/>
  <c r="E62" i="12"/>
  <c r="D62" i="12"/>
  <c r="C62" i="12"/>
  <c r="F61" i="12"/>
  <c r="E61" i="12"/>
  <c r="G61" i="12" s="1"/>
  <c r="D61" i="12"/>
  <c r="C61" i="12"/>
  <c r="G60" i="12"/>
  <c r="F60" i="12"/>
  <c r="E60" i="12"/>
  <c r="D60" i="12"/>
  <c r="C60" i="12"/>
  <c r="G59" i="12"/>
  <c r="E59" i="12"/>
  <c r="D59" i="12"/>
  <c r="C59" i="12"/>
  <c r="E58" i="12"/>
  <c r="E100" i="12" s="1"/>
  <c r="D58" i="12"/>
  <c r="D100" i="12" s="1"/>
  <c r="C58" i="12"/>
  <c r="B58" i="12"/>
  <c r="B100" i="12" s="1"/>
  <c r="G53" i="12"/>
  <c r="F53" i="12"/>
  <c r="E53" i="12"/>
  <c r="D53" i="12"/>
  <c r="C53" i="12"/>
  <c r="G52" i="12"/>
  <c r="E52" i="12"/>
  <c r="D52" i="12"/>
  <c r="C52" i="12"/>
  <c r="F52" i="12" s="1"/>
  <c r="G50" i="12"/>
  <c r="F50" i="12"/>
  <c r="E50" i="12"/>
  <c r="D50" i="12"/>
  <c r="C50" i="12"/>
  <c r="F48" i="12"/>
  <c r="E48" i="12"/>
  <c r="G48" i="12" s="1"/>
  <c r="D48" i="12"/>
  <c r="C48" i="12"/>
  <c r="G47" i="12"/>
  <c r="F47" i="12"/>
  <c r="E46" i="12"/>
  <c r="D46" i="12"/>
  <c r="C46" i="12"/>
  <c r="G45" i="12"/>
  <c r="F45" i="12"/>
  <c r="G44" i="12"/>
  <c r="E44" i="12"/>
  <c r="D44" i="12"/>
  <c r="C44" i="12"/>
  <c r="G42" i="12"/>
  <c r="F42" i="12"/>
  <c r="G41" i="12"/>
  <c r="F41" i="12"/>
  <c r="G40" i="12"/>
  <c r="F40" i="12"/>
  <c r="E40" i="12"/>
  <c r="D40" i="12"/>
  <c r="C40" i="12"/>
  <c r="G39" i="12"/>
  <c r="E39" i="12"/>
  <c r="E106" i="12" s="1"/>
  <c r="D39" i="12"/>
  <c r="D106" i="12" s="1"/>
  <c r="C39" i="12"/>
  <c r="F39" i="12" s="1"/>
  <c r="G37" i="12"/>
  <c r="F37" i="12"/>
  <c r="E37" i="12"/>
  <c r="D37" i="12"/>
  <c r="C37" i="12"/>
  <c r="G36" i="12"/>
  <c r="E36" i="12"/>
  <c r="D36" i="12"/>
  <c r="C36" i="12"/>
  <c r="F36" i="12" s="1"/>
  <c r="E35" i="12"/>
  <c r="D35" i="12"/>
  <c r="C35" i="12"/>
  <c r="F34" i="12"/>
  <c r="E34" i="12"/>
  <c r="G34" i="12" s="1"/>
  <c r="D34" i="12"/>
  <c r="C34" i="12"/>
  <c r="E32" i="12"/>
  <c r="D32" i="12"/>
  <c r="C32" i="12"/>
  <c r="F31" i="12"/>
  <c r="E31" i="12"/>
  <c r="G31" i="12" s="1"/>
  <c r="D31" i="12"/>
  <c r="C31" i="12"/>
  <c r="C28" i="12" s="1"/>
  <c r="G30" i="12"/>
  <c r="F30" i="12"/>
  <c r="E30" i="12"/>
  <c r="D30" i="12"/>
  <c r="C30" i="12"/>
  <c r="E29" i="12"/>
  <c r="D29" i="12"/>
  <c r="C29" i="12"/>
  <c r="E28" i="12"/>
  <c r="B28" i="12"/>
  <c r="B27" i="12"/>
  <c r="B33" i="12" s="1"/>
  <c r="E26" i="12"/>
  <c r="D26" i="12"/>
  <c r="C26" i="12"/>
  <c r="F25" i="12"/>
  <c r="E25" i="12"/>
  <c r="G25" i="12" s="1"/>
  <c r="D25" i="12"/>
  <c r="C25" i="12"/>
  <c r="G24" i="12"/>
  <c r="E24" i="12"/>
  <c r="D24" i="12"/>
  <c r="C24" i="12"/>
  <c r="F24" i="12" s="1"/>
  <c r="E22" i="12"/>
  <c r="D22" i="12"/>
  <c r="G22" i="12" s="1"/>
  <c r="C22" i="12"/>
  <c r="E21" i="12"/>
  <c r="D21" i="12"/>
  <c r="C21" i="12"/>
  <c r="G11" i="30" s="1"/>
  <c r="I11" i="30" s="1"/>
  <c r="G20" i="12"/>
  <c r="F20" i="12"/>
  <c r="E19" i="12"/>
  <c r="D19" i="12"/>
  <c r="G19" i="12" s="1"/>
  <c r="C19" i="12"/>
  <c r="E18" i="12"/>
  <c r="D18" i="12"/>
  <c r="C18" i="12"/>
  <c r="F17" i="12"/>
  <c r="E17" i="12"/>
  <c r="G17" i="12" s="1"/>
  <c r="D17" i="12"/>
  <c r="C17" i="12"/>
  <c r="G16" i="12"/>
  <c r="F16" i="12"/>
  <c r="E15" i="12"/>
  <c r="E27" i="12" s="1"/>
  <c r="E33" i="12" s="1"/>
  <c r="D15" i="12"/>
  <c r="C15" i="12"/>
  <c r="E14" i="12"/>
  <c r="D14" i="12"/>
  <c r="C14" i="12"/>
  <c r="A12" i="12"/>
  <c r="B10" i="12"/>
  <c r="G11" i="19" s="1"/>
  <c r="B115" i="46"/>
  <c r="E110" i="46"/>
  <c r="B110" i="46"/>
  <c r="D109" i="46"/>
  <c r="B109" i="46"/>
  <c r="B108" i="46"/>
  <c r="B107" i="46"/>
  <c r="E106" i="46"/>
  <c r="D106" i="46"/>
  <c r="E100" i="46"/>
  <c r="D100" i="46"/>
  <c r="E97" i="46"/>
  <c r="D97" i="46"/>
  <c r="C97" i="46"/>
  <c r="E95" i="46"/>
  <c r="D95" i="46"/>
  <c r="G95" i="46" s="1"/>
  <c r="C95" i="46"/>
  <c r="G94" i="46"/>
  <c r="F94" i="46"/>
  <c r="G93" i="46"/>
  <c r="E93" i="46"/>
  <c r="D93" i="46"/>
  <c r="C93" i="46"/>
  <c r="F93" i="46" s="1"/>
  <c r="G92" i="46"/>
  <c r="F92" i="46"/>
  <c r="E90" i="46"/>
  <c r="D90" i="46"/>
  <c r="C90" i="46"/>
  <c r="E89" i="46"/>
  <c r="D89" i="46"/>
  <c r="C89" i="46"/>
  <c r="F88" i="46"/>
  <c r="E88" i="46"/>
  <c r="D88" i="46"/>
  <c r="C88" i="46"/>
  <c r="G87" i="46"/>
  <c r="F87" i="46"/>
  <c r="E87" i="46"/>
  <c r="D87" i="46"/>
  <c r="C87" i="46"/>
  <c r="C86" i="46"/>
  <c r="B86" i="46"/>
  <c r="B117" i="46" s="1"/>
  <c r="F85" i="46"/>
  <c r="E85" i="46"/>
  <c r="G85" i="46" s="1"/>
  <c r="D85" i="46"/>
  <c r="C85" i="46"/>
  <c r="G84" i="46"/>
  <c r="F84" i="46"/>
  <c r="E84" i="46"/>
  <c r="D84" i="46"/>
  <c r="C84" i="46"/>
  <c r="G83" i="46"/>
  <c r="E83" i="46"/>
  <c r="D83" i="46"/>
  <c r="C83" i="46"/>
  <c r="F83" i="46" s="1"/>
  <c r="E82" i="46"/>
  <c r="D82" i="46"/>
  <c r="C82" i="46"/>
  <c r="F81" i="46"/>
  <c r="E81" i="46"/>
  <c r="D81" i="46"/>
  <c r="C81" i="46"/>
  <c r="C80" i="46"/>
  <c r="B80" i="46"/>
  <c r="E79" i="46"/>
  <c r="D79" i="46"/>
  <c r="C79" i="46"/>
  <c r="F78" i="46"/>
  <c r="E78" i="46"/>
  <c r="G78" i="46" s="1"/>
  <c r="D78" i="46"/>
  <c r="C78" i="46"/>
  <c r="G77" i="46"/>
  <c r="F77" i="46"/>
  <c r="E77" i="46"/>
  <c r="D77" i="46"/>
  <c r="C77" i="46"/>
  <c r="E76" i="46"/>
  <c r="D76" i="46"/>
  <c r="C76" i="46"/>
  <c r="E75" i="46"/>
  <c r="B75" i="46"/>
  <c r="B113" i="46" s="1"/>
  <c r="B74" i="46"/>
  <c r="E73" i="46"/>
  <c r="D73" i="46"/>
  <c r="G73" i="46" s="1"/>
  <c r="C73" i="46"/>
  <c r="F73" i="46" s="1"/>
  <c r="F72" i="46"/>
  <c r="E72" i="46"/>
  <c r="D72" i="46"/>
  <c r="G72" i="46" s="1"/>
  <c r="C72" i="46"/>
  <c r="G71" i="46"/>
  <c r="E71" i="46"/>
  <c r="D71" i="46"/>
  <c r="C71" i="46"/>
  <c r="F71" i="46" s="1"/>
  <c r="G70" i="46"/>
  <c r="F70" i="46"/>
  <c r="E68" i="46"/>
  <c r="D68" i="46"/>
  <c r="G68" i="46" s="1"/>
  <c r="C68" i="46"/>
  <c r="E67" i="46"/>
  <c r="D67" i="46"/>
  <c r="G67" i="46" s="1"/>
  <c r="C67" i="46"/>
  <c r="C117" i="46" s="1"/>
  <c r="B66" i="46"/>
  <c r="B114" i="46" s="1"/>
  <c r="G65" i="46"/>
  <c r="E65" i="46"/>
  <c r="D65" i="46"/>
  <c r="C65" i="46"/>
  <c r="E64" i="46"/>
  <c r="D64" i="46"/>
  <c r="C64" i="46"/>
  <c r="F64" i="46" s="1"/>
  <c r="E63" i="46"/>
  <c r="B63" i="46"/>
  <c r="E62" i="46"/>
  <c r="D62" i="46"/>
  <c r="C62" i="46"/>
  <c r="E61" i="46"/>
  <c r="D61" i="46"/>
  <c r="G61" i="46" s="1"/>
  <c r="C61" i="46"/>
  <c r="F61" i="46" s="1"/>
  <c r="F60" i="46"/>
  <c r="E60" i="46"/>
  <c r="D60" i="46"/>
  <c r="G60" i="46" s="1"/>
  <c r="C60" i="46"/>
  <c r="G59" i="46"/>
  <c r="F59" i="46"/>
  <c r="E59" i="46"/>
  <c r="D59" i="46"/>
  <c r="C59" i="46"/>
  <c r="E58" i="46"/>
  <c r="D58" i="46"/>
  <c r="C58" i="46"/>
  <c r="C100" i="46" s="1"/>
  <c r="B58" i="46"/>
  <c r="B100" i="46" s="1"/>
  <c r="F53" i="46"/>
  <c r="E53" i="46"/>
  <c r="D53" i="46"/>
  <c r="C53" i="46"/>
  <c r="G52" i="46"/>
  <c r="F52" i="46"/>
  <c r="E52" i="46"/>
  <c r="D52" i="46"/>
  <c r="C52" i="46"/>
  <c r="F50" i="46"/>
  <c r="E50" i="46"/>
  <c r="D50" i="46"/>
  <c r="C50" i="46"/>
  <c r="E48" i="46"/>
  <c r="D48" i="46"/>
  <c r="G48" i="46" s="1"/>
  <c r="C48" i="46"/>
  <c r="G47" i="46"/>
  <c r="F47" i="46"/>
  <c r="G46" i="46"/>
  <c r="E46" i="46"/>
  <c r="D46" i="46"/>
  <c r="C46" i="46"/>
  <c r="F46" i="46" s="1"/>
  <c r="G45" i="46"/>
  <c r="F45" i="46"/>
  <c r="G44" i="46"/>
  <c r="F44" i="46"/>
  <c r="E44" i="46"/>
  <c r="D44" i="46"/>
  <c r="C44" i="46"/>
  <c r="G42" i="46"/>
  <c r="F42" i="46"/>
  <c r="G41" i="46"/>
  <c r="F41" i="46"/>
  <c r="F40" i="46"/>
  <c r="E40" i="46"/>
  <c r="D40" i="46"/>
  <c r="G40" i="46" s="1"/>
  <c r="C40" i="46"/>
  <c r="G39" i="46"/>
  <c r="F39" i="46"/>
  <c r="E39" i="46"/>
  <c r="D39" i="46"/>
  <c r="C39" i="46"/>
  <c r="C106" i="46" s="1"/>
  <c r="F37" i="46"/>
  <c r="E37" i="46"/>
  <c r="D37" i="46"/>
  <c r="G37" i="46" s="1"/>
  <c r="C37" i="46"/>
  <c r="G36" i="46"/>
  <c r="F36" i="46"/>
  <c r="E36" i="46"/>
  <c r="D36" i="46"/>
  <c r="C36" i="46"/>
  <c r="G35" i="46"/>
  <c r="E35" i="46"/>
  <c r="D35" i="46"/>
  <c r="C35" i="46"/>
  <c r="E34" i="46"/>
  <c r="D34" i="46"/>
  <c r="G34" i="46" s="1"/>
  <c r="C34" i="46"/>
  <c r="B33" i="46"/>
  <c r="E32" i="46"/>
  <c r="D32" i="46"/>
  <c r="C32" i="46"/>
  <c r="E31" i="46"/>
  <c r="D31" i="46"/>
  <c r="G31" i="46" s="1"/>
  <c r="C31" i="46"/>
  <c r="F31" i="46" s="1"/>
  <c r="F30" i="46"/>
  <c r="E30" i="46"/>
  <c r="D30" i="46"/>
  <c r="G30" i="46" s="1"/>
  <c r="C30" i="46"/>
  <c r="G29" i="46"/>
  <c r="E29" i="46"/>
  <c r="D29" i="46"/>
  <c r="C29" i="46"/>
  <c r="D28" i="46"/>
  <c r="D112" i="46" s="1"/>
  <c r="B28" i="46"/>
  <c r="B112" i="46" s="1"/>
  <c r="B27" i="46"/>
  <c r="G26" i="46"/>
  <c r="E26" i="46"/>
  <c r="D26" i="46"/>
  <c r="C26" i="46"/>
  <c r="F26" i="46" s="1"/>
  <c r="E25" i="46"/>
  <c r="D25" i="46"/>
  <c r="C25" i="46"/>
  <c r="F25" i="46" s="1"/>
  <c r="F24" i="46"/>
  <c r="E24" i="46"/>
  <c r="D24" i="46"/>
  <c r="C24" i="46"/>
  <c r="G22" i="46"/>
  <c r="F22" i="46"/>
  <c r="E22" i="46"/>
  <c r="D22" i="46"/>
  <c r="C22" i="46"/>
  <c r="G21" i="46"/>
  <c r="E21" i="46"/>
  <c r="D21" i="46"/>
  <c r="H10" i="30" s="1"/>
  <c r="C21" i="46"/>
  <c r="G20" i="46"/>
  <c r="F20" i="46"/>
  <c r="G19" i="46"/>
  <c r="F19" i="46"/>
  <c r="E19" i="46"/>
  <c r="D19" i="46"/>
  <c r="C19" i="46"/>
  <c r="G18" i="46"/>
  <c r="E18" i="46"/>
  <c r="D18" i="46"/>
  <c r="C18" i="46"/>
  <c r="F18" i="46" s="1"/>
  <c r="E17" i="46"/>
  <c r="E107" i="46" s="1"/>
  <c r="D17" i="46"/>
  <c r="G17" i="46" s="1"/>
  <c r="C17" i="46"/>
  <c r="G16" i="46"/>
  <c r="F16" i="46"/>
  <c r="G15" i="46"/>
  <c r="E15" i="46"/>
  <c r="D15" i="46"/>
  <c r="C15" i="46"/>
  <c r="E14" i="46"/>
  <c r="D14" i="46"/>
  <c r="C14" i="46"/>
  <c r="A12" i="46"/>
  <c r="B10" i="46"/>
  <c r="G10" i="19" s="1"/>
  <c r="C115" i="10"/>
  <c r="B115" i="10"/>
  <c r="B111" i="10"/>
  <c r="B110" i="10"/>
  <c r="B109" i="10"/>
  <c r="B108" i="10"/>
  <c r="B107" i="10"/>
  <c r="B100" i="10"/>
  <c r="G97" i="10"/>
  <c r="F97" i="10"/>
  <c r="E97" i="10"/>
  <c r="D97" i="10"/>
  <c r="C97" i="10"/>
  <c r="F95" i="10"/>
  <c r="E95" i="10"/>
  <c r="G95" i="10" s="1"/>
  <c r="D95" i="10"/>
  <c r="C95" i="10"/>
  <c r="G94" i="10"/>
  <c r="F94" i="10"/>
  <c r="E93" i="10"/>
  <c r="D93" i="10"/>
  <c r="C93" i="10"/>
  <c r="G92" i="10"/>
  <c r="F92" i="10"/>
  <c r="F90" i="10"/>
  <c r="E90" i="10"/>
  <c r="G90" i="10" s="1"/>
  <c r="D90" i="10"/>
  <c r="C90" i="10"/>
  <c r="G89" i="10"/>
  <c r="F89" i="10"/>
  <c r="E89" i="10"/>
  <c r="D89" i="10"/>
  <c r="C89" i="10"/>
  <c r="G88" i="10"/>
  <c r="E88" i="10"/>
  <c r="D88" i="10"/>
  <c r="C88" i="10"/>
  <c r="E87" i="10"/>
  <c r="D87" i="10"/>
  <c r="C87" i="10"/>
  <c r="B86" i="10"/>
  <c r="B117" i="10" s="1"/>
  <c r="G85" i="10"/>
  <c r="E85" i="10"/>
  <c r="D85" i="10"/>
  <c r="C85" i="10"/>
  <c r="F85" i="10" s="1"/>
  <c r="E84" i="10"/>
  <c r="D84" i="10"/>
  <c r="C84" i="10"/>
  <c r="F83" i="10"/>
  <c r="E83" i="10"/>
  <c r="G83" i="10" s="1"/>
  <c r="D83" i="10"/>
  <c r="C83" i="10"/>
  <c r="G82" i="10"/>
  <c r="F82" i="10"/>
  <c r="E82" i="10"/>
  <c r="D82" i="10"/>
  <c r="C82" i="10"/>
  <c r="G81" i="10"/>
  <c r="E81" i="10"/>
  <c r="D81" i="10"/>
  <c r="C81" i="10"/>
  <c r="E80" i="10"/>
  <c r="D80" i="10"/>
  <c r="B80" i="10"/>
  <c r="G79" i="10"/>
  <c r="F79" i="10"/>
  <c r="E79" i="10"/>
  <c r="D79" i="10"/>
  <c r="C79" i="10"/>
  <c r="G78" i="10"/>
  <c r="E78" i="10"/>
  <c r="D78" i="10"/>
  <c r="C78" i="10"/>
  <c r="E77" i="10"/>
  <c r="D77" i="10"/>
  <c r="C77" i="10"/>
  <c r="F76" i="10"/>
  <c r="E76" i="10"/>
  <c r="D76" i="10"/>
  <c r="C76" i="10"/>
  <c r="B75" i="10"/>
  <c r="G73" i="10"/>
  <c r="F73" i="10"/>
  <c r="E73" i="10"/>
  <c r="D73" i="10"/>
  <c r="C73" i="10"/>
  <c r="G72" i="10"/>
  <c r="E72" i="10"/>
  <c r="D72" i="10"/>
  <c r="C72" i="10"/>
  <c r="E71" i="10"/>
  <c r="D71" i="10"/>
  <c r="C71" i="10"/>
  <c r="G70" i="10"/>
  <c r="F70" i="10"/>
  <c r="F68" i="10"/>
  <c r="E68" i="10"/>
  <c r="G68" i="10" s="1"/>
  <c r="D68" i="10"/>
  <c r="C68" i="10"/>
  <c r="G67" i="10"/>
  <c r="F67" i="10"/>
  <c r="E67" i="10"/>
  <c r="D67" i="10"/>
  <c r="C67" i="10"/>
  <c r="C66" i="10"/>
  <c r="F65" i="10"/>
  <c r="E65" i="10"/>
  <c r="D65" i="10"/>
  <c r="C65" i="10"/>
  <c r="G64" i="10"/>
  <c r="F64" i="10"/>
  <c r="E64" i="10"/>
  <c r="D64" i="10"/>
  <c r="C64" i="10"/>
  <c r="C63" i="10"/>
  <c r="B63" i="10"/>
  <c r="B66" i="10" s="1"/>
  <c r="F62" i="10"/>
  <c r="E62" i="10"/>
  <c r="D62" i="10"/>
  <c r="C62" i="10"/>
  <c r="G61" i="10"/>
  <c r="F61" i="10"/>
  <c r="E61" i="10"/>
  <c r="D61" i="10"/>
  <c r="C61" i="10"/>
  <c r="G60" i="10"/>
  <c r="E60" i="10"/>
  <c r="D60" i="10"/>
  <c r="C60" i="10"/>
  <c r="F60" i="10" s="1"/>
  <c r="E59" i="10"/>
  <c r="D59" i="10"/>
  <c r="C59" i="10"/>
  <c r="E58" i="10"/>
  <c r="E100" i="10" s="1"/>
  <c r="D58" i="10"/>
  <c r="D100" i="10" s="1"/>
  <c r="C58" i="10"/>
  <c r="C100" i="10" s="1"/>
  <c r="B58" i="10"/>
  <c r="G53" i="10"/>
  <c r="E53" i="10"/>
  <c r="D53" i="10"/>
  <c r="C53" i="10"/>
  <c r="F53" i="10" s="1"/>
  <c r="E52" i="10"/>
  <c r="D52" i="10"/>
  <c r="C52" i="10"/>
  <c r="G50" i="10"/>
  <c r="E50" i="10"/>
  <c r="D50" i="10"/>
  <c r="C50" i="10"/>
  <c r="F50" i="10" s="1"/>
  <c r="G48" i="10"/>
  <c r="F48" i="10"/>
  <c r="E48" i="10"/>
  <c r="D48" i="10"/>
  <c r="C48" i="10"/>
  <c r="G47" i="10"/>
  <c r="F47" i="10"/>
  <c r="F46" i="10"/>
  <c r="E46" i="10"/>
  <c r="G46" i="10" s="1"/>
  <c r="D46" i="10"/>
  <c r="C46" i="10"/>
  <c r="G45" i="10"/>
  <c r="F45" i="10"/>
  <c r="E44" i="10"/>
  <c r="D44" i="10"/>
  <c r="C44" i="10"/>
  <c r="I9" i="31" s="1"/>
  <c r="G42" i="10"/>
  <c r="F42" i="10"/>
  <c r="G41" i="10"/>
  <c r="F41" i="10"/>
  <c r="E40" i="10"/>
  <c r="D40" i="10"/>
  <c r="G40" i="10" s="1"/>
  <c r="C40" i="10"/>
  <c r="F40" i="10" s="1"/>
  <c r="E39" i="10"/>
  <c r="E106" i="10" s="1"/>
  <c r="D39" i="10"/>
  <c r="C39" i="10"/>
  <c r="G37" i="10"/>
  <c r="E37" i="10"/>
  <c r="D37" i="10"/>
  <c r="C37" i="10"/>
  <c r="F37" i="10" s="1"/>
  <c r="E36" i="10"/>
  <c r="D36" i="10"/>
  <c r="C36" i="10"/>
  <c r="F35" i="10"/>
  <c r="E35" i="10"/>
  <c r="D35" i="10"/>
  <c r="C35" i="10"/>
  <c r="G34" i="10"/>
  <c r="F34" i="10"/>
  <c r="E34" i="10"/>
  <c r="D34" i="10"/>
  <c r="C34" i="10"/>
  <c r="F32" i="10"/>
  <c r="E32" i="10"/>
  <c r="D32" i="10"/>
  <c r="C32" i="10"/>
  <c r="G31" i="10"/>
  <c r="F31" i="10"/>
  <c r="E31" i="10"/>
  <c r="D31" i="10"/>
  <c r="C31" i="10"/>
  <c r="G30" i="10"/>
  <c r="E30" i="10"/>
  <c r="D30" i="10"/>
  <c r="C30" i="10"/>
  <c r="F30" i="10" s="1"/>
  <c r="E29" i="10"/>
  <c r="D29" i="10"/>
  <c r="C29" i="10"/>
  <c r="E28" i="10"/>
  <c r="B28" i="10"/>
  <c r="B112" i="10" s="1"/>
  <c r="C27" i="10"/>
  <c r="B27" i="10"/>
  <c r="B33" i="10" s="1"/>
  <c r="F26" i="10"/>
  <c r="E26" i="10"/>
  <c r="G26" i="10" s="1"/>
  <c r="D26" i="10"/>
  <c r="C26" i="10"/>
  <c r="G25" i="10"/>
  <c r="F25" i="10"/>
  <c r="E25" i="10"/>
  <c r="D25" i="10"/>
  <c r="C25" i="10"/>
  <c r="E24" i="10"/>
  <c r="D24" i="10"/>
  <c r="G24" i="10" s="1"/>
  <c r="C24" i="10"/>
  <c r="E22" i="10"/>
  <c r="D22" i="10"/>
  <c r="C22" i="10"/>
  <c r="F21" i="10"/>
  <c r="E21" i="10"/>
  <c r="G21" i="10" s="1"/>
  <c r="D21" i="10"/>
  <c r="H9" i="30" s="1"/>
  <c r="C21" i="10"/>
  <c r="G9" i="30" s="1"/>
  <c r="I9" i="30" s="1"/>
  <c r="G20" i="10"/>
  <c r="F20" i="10"/>
  <c r="E19" i="10"/>
  <c r="D19" i="10"/>
  <c r="C19" i="10"/>
  <c r="F18" i="10"/>
  <c r="E18" i="10"/>
  <c r="G18" i="10" s="1"/>
  <c r="D18" i="10"/>
  <c r="C18" i="10"/>
  <c r="G17" i="10"/>
  <c r="F17" i="10"/>
  <c r="E17" i="10"/>
  <c r="D17" i="10"/>
  <c r="C17" i="10"/>
  <c r="C108" i="10" s="1"/>
  <c r="G16" i="10"/>
  <c r="F16" i="10"/>
  <c r="F15" i="10"/>
  <c r="E15" i="10"/>
  <c r="D15" i="10"/>
  <c r="C15" i="10"/>
  <c r="C107" i="10" s="1"/>
  <c r="E14" i="10"/>
  <c r="D14" i="10"/>
  <c r="C14" i="10"/>
  <c r="A12" i="10"/>
  <c r="B10" i="10"/>
  <c r="G9" i="19" s="1"/>
  <c r="E115" i="9"/>
  <c r="B115" i="9"/>
  <c r="B110" i="9"/>
  <c r="B109" i="9"/>
  <c r="B108" i="9"/>
  <c r="B107" i="9"/>
  <c r="F97" i="9"/>
  <c r="E97" i="9"/>
  <c r="G97" i="9" s="1"/>
  <c r="D97" i="9"/>
  <c r="C97" i="9"/>
  <c r="E95" i="9"/>
  <c r="D95" i="9"/>
  <c r="C95" i="9"/>
  <c r="G94" i="9"/>
  <c r="F94" i="9"/>
  <c r="E93" i="9"/>
  <c r="D93" i="9"/>
  <c r="G93" i="9" s="1"/>
  <c r="C93" i="9"/>
  <c r="G92" i="9"/>
  <c r="F92" i="9"/>
  <c r="E90" i="9"/>
  <c r="D90" i="9"/>
  <c r="C90" i="9"/>
  <c r="F89" i="9"/>
  <c r="E89" i="9"/>
  <c r="D89" i="9"/>
  <c r="C89" i="9"/>
  <c r="G88" i="9"/>
  <c r="F88" i="9"/>
  <c r="E88" i="9"/>
  <c r="D88" i="9"/>
  <c r="C88" i="9"/>
  <c r="G87" i="9"/>
  <c r="E87" i="9"/>
  <c r="D87" i="9"/>
  <c r="C87" i="9"/>
  <c r="D86" i="9"/>
  <c r="B86" i="9"/>
  <c r="B117" i="9" s="1"/>
  <c r="G85" i="9"/>
  <c r="E85" i="9"/>
  <c r="D85" i="9"/>
  <c r="C85" i="9"/>
  <c r="F85" i="9" s="1"/>
  <c r="E84" i="9"/>
  <c r="D84" i="9"/>
  <c r="G84" i="9" s="1"/>
  <c r="C84" i="9"/>
  <c r="F84" i="9" s="1"/>
  <c r="E83" i="9"/>
  <c r="D83" i="9"/>
  <c r="G83" i="9" s="1"/>
  <c r="C83" i="9"/>
  <c r="F82" i="9"/>
  <c r="E82" i="9"/>
  <c r="G82" i="9" s="1"/>
  <c r="D82" i="9"/>
  <c r="C82" i="9"/>
  <c r="G81" i="9"/>
  <c r="F81" i="9"/>
  <c r="E81" i="9"/>
  <c r="D81" i="9"/>
  <c r="C81" i="9"/>
  <c r="E80" i="9"/>
  <c r="G80" i="9" s="1"/>
  <c r="D80" i="9"/>
  <c r="C80" i="9"/>
  <c r="B80" i="9"/>
  <c r="B111" i="9" s="1"/>
  <c r="G79" i="9"/>
  <c r="E79" i="9"/>
  <c r="D79" i="9"/>
  <c r="C79" i="9"/>
  <c r="F79" i="9" s="1"/>
  <c r="E78" i="9"/>
  <c r="D78" i="9"/>
  <c r="C78" i="9"/>
  <c r="F77" i="9"/>
  <c r="E77" i="9"/>
  <c r="D77" i="9"/>
  <c r="C77" i="9"/>
  <c r="G76" i="9"/>
  <c r="F76" i="9"/>
  <c r="E76" i="9"/>
  <c r="D76" i="9"/>
  <c r="C76" i="9"/>
  <c r="B75" i="9"/>
  <c r="B113" i="9" s="1"/>
  <c r="B74" i="9"/>
  <c r="B116" i="9" s="1"/>
  <c r="G73" i="9"/>
  <c r="E73" i="9"/>
  <c r="D73" i="9"/>
  <c r="C73" i="9"/>
  <c r="F73" i="9" s="1"/>
  <c r="E72" i="9"/>
  <c r="D72" i="9"/>
  <c r="C72" i="9"/>
  <c r="F71" i="9"/>
  <c r="E71" i="9"/>
  <c r="G71" i="9" s="1"/>
  <c r="D71" i="9"/>
  <c r="C71" i="9"/>
  <c r="G70" i="9"/>
  <c r="F70" i="9"/>
  <c r="G68" i="9"/>
  <c r="F68" i="9"/>
  <c r="E68" i="9"/>
  <c r="D68" i="9"/>
  <c r="C68" i="9"/>
  <c r="G67" i="9"/>
  <c r="E67" i="9"/>
  <c r="D67" i="9"/>
  <c r="C67" i="9"/>
  <c r="G65" i="9"/>
  <c r="F65" i="9"/>
  <c r="E65" i="9"/>
  <c r="D65" i="9"/>
  <c r="C65" i="9"/>
  <c r="G64" i="9"/>
  <c r="E64" i="9"/>
  <c r="D64" i="9"/>
  <c r="C64" i="9"/>
  <c r="F64" i="9" s="1"/>
  <c r="B63" i="9"/>
  <c r="B66" i="9" s="1"/>
  <c r="G62" i="9"/>
  <c r="F62" i="9"/>
  <c r="E62" i="9"/>
  <c r="D62" i="9"/>
  <c r="C62" i="9"/>
  <c r="G61" i="9"/>
  <c r="E61" i="9"/>
  <c r="D61" i="9"/>
  <c r="C61" i="9"/>
  <c r="F61" i="9" s="1"/>
  <c r="E60" i="9"/>
  <c r="D60" i="9"/>
  <c r="C60" i="9"/>
  <c r="F59" i="9"/>
  <c r="E59" i="9"/>
  <c r="D59" i="9"/>
  <c r="C59" i="9"/>
  <c r="E58" i="9"/>
  <c r="E100" i="9" s="1"/>
  <c r="D58" i="9"/>
  <c r="D100" i="9" s="1"/>
  <c r="C58" i="9"/>
  <c r="C100" i="9" s="1"/>
  <c r="B58" i="9"/>
  <c r="B100" i="9" s="1"/>
  <c r="E53" i="9"/>
  <c r="D53" i="9"/>
  <c r="C53" i="9"/>
  <c r="F52" i="9"/>
  <c r="E52" i="9"/>
  <c r="G52" i="9" s="1"/>
  <c r="D52" i="9"/>
  <c r="C52" i="9"/>
  <c r="E50" i="9"/>
  <c r="D50" i="9"/>
  <c r="C50" i="9"/>
  <c r="G48" i="9"/>
  <c r="E48" i="9"/>
  <c r="D48" i="9"/>
  <c r="C48" i="9"/>
  <c r="F48" i="9" s="1"/>
  <c r="G47" i="9"/>
  <c r="F47" i="9"/>
  <c r="G46" i="9"/>
  <c r="F46" i="9"/>
  <c r="E46" i="9"/>
  <c r="D46" i="9"/>
  <c r="C46" i="9"/>
  <c r="G45" i="9"/>
  <c r="F45" i="9"/>
  <c r="F44" i="9"/>
  <c r="E44" i="9"/>
  <c r="G44" i="9" s="1"/>
  <c r="D44" i="9"/>
  <c r="C44" i="9"/>
  <c r="G42" i="9"/>
  <c r="F42" i="9"/>
  <c r="G41" i="9"/>
  <c r="F41" i="9"/>
  <c r="E40" i="9"/>
  <c r="D40" i="9"/>
  <c r="C40" i="9"/>
  <c r="F39" i="9"/>
  <c r="E39" i="9"/>
  <c r="D39" i="9"/>
  <c r="C39" i="9"/>
  <c r="E37" i="9"/>
  <c r="D37" i="9"/>
  <c r="C37" i="9"/>
  <c r="F36" i="9"/>
  <c r="E36" i="9"/>
  <c r="G36" i="9" s="1"/>
  <c r="D36" i="9"/>
  <c r="C36" i="9"/>
  <c r="G35" i="9"/>
  <c r="F35" i="9"/>
  <c r="E35" i="9"/>
  <c r="D35" i="9"/>
  <c r="C35" i="9"/>
  <c r="G34" i="9"/>
  <c r="E34" i="9"/>
  <c r="D34" i="9"/>
  <c r="C34" i="9"/>
  <c r="F34" i="9" s="1"/>
  <c r="G32" i="9"/>
  <c r="F32" i="9"/>
  <c r="E32" i="9"/>
  <c r="D32" i="9"/>
  <c r="C32" i="9"/>
  <c r="G31" i="9"/>
  <c r="E31" i="9"/>
  <c r="D31" i="9"/>
  <c r="D28" i="9" s="1"/>
  <c r="C31" i="9"/>
  <c r="E30" i="9"/>
  <c r="D30" i="9"/>
  <c r="C30" i="9"/>
  <c r="F29" i="9"/>
  <c r="E29" i="9"/>
  <c r="G29" i="9" s="1"/>
  <c r="D29" i="9"/>
  <c r="C29" i="9"/>
  <c r="B28" i="9"/>
  <c r="B112" i="9" s="1"/>
  <c r="B27" i="9"/>
  <c r="B33" i="9" s="1"/>
  <c r="B101" i="9" s="1"/>
  <c r="G26" i="9"/>
  <c r="F26" i="9"/>
  <c r="E26" i="9"/>
  <c r="D26" i="9"/>
  <c r="C26" i="9"/>
  <c r="G25" i="9"/>
  <c r="E25" i="9"/>
  <c r="D25" i="9"/>
  <c r="C25" i="9"/>
  <c r="F25" i="9" s="1"/>
  <c r="E24" i="9"/>
  <c r="D24" i="9"/>
  <c r="C24" i="9"/>
  <c r="F22" i="9"/>
  <c r="E22" i="9"/>
  <c r="G22" i="9" s="1"/>
  <c r="D22" i="9"/>
  <c r="C22" i="9"/>
  <c r="G21" i="9"/>
  <c r="F21" i="9"/>
  <c r="E21" i="9"/>
  <c r="D21" i="9"/>
  <c r="H8" i="30" s="1"/>
  <c r="C21" i="9"/>
  <c r="G8" i="30" s="1"/>
  <c r="I8" i="30" s="1"/>
  <c r="G20" i="9"/>
  <c r="F20" i="9"/>
  <c r="F19" i="9"/>
  <c r="E19" i="9"/>
  <c r="D19" i="9"/>
  <c r="C19" i="9"/>
  <c r="G18" i="9"/>
  <c r="F18" i="9"/>
  <c r="E18" i="9"/>
  <c r="D18" i="9"/>
  <c r="C18" i="9"/>
  <c r="G17" i="9"/>
  <c r="E17" i="9"/>
  <c r="D17" i="9"/>
  <c r="C17" i="9"/>
  <c r="F17" i="9" s="1"/>
  <c r="G16" i="9"/>
  <c r="F16" i="9"/>
  <c r="G15" i="9"/>
  <c r="F15" i="9"/>
  <c r="E15" i="9"/>
  <c r="E108" i="9" s="1"/>
  <c r="D15" i="9"/>
  <c r="C15" i="9"/>
  <c r="E14" i="9"/>
  <c r="D14" i="9"/>
  <c r="C14" i="9"/>
  <c r="A12" i="9"/>
  <c r="B10" i="9"/>
  <c r="G8" i="19" s="1"/>
  <c r="B117" i="8"/>
  <c r="B120" i="8" s="1"/>
  <c r="B115" i="8"/>
  <c r="B114" i="8"/>
  <c r="B118" i="8" s="1"/>
  <c r="B112" i="8"/>
  <c r="B111" i="8"/>
  <c r="B110" i="8"/>
  <c r="B109" i="8"/>
  <c r="B108" i="8"/>
  <c r="B107" i="8"/>
  <c r="B106" i="8"/>
  <c r="B100" i="8"/>
  <c r="G97" i="8"/>
  <c r="F97" i="8"/>
  <c r="E97" i="8"/>
  <c r="D97" i="8"/>
  <c r="C97" i="8"/>
  <c r="F95" i="8"/>
  <c r="E95" i="8"/>
  <c r="G95" i="8" s="1"/>
  <c r="D95" i="8"/>
  <c r="C95" i="8"/>
  <c r="G94" i="8"/>
  <c r="F94" i="8"/>
  <c r="E93" i="8"/>
  <c r="D93" i="8"/>
  <c r="C93" i="8"/>
  <c r="G92" i="8"/>
  <c r="F92" i="8"/>
  <c r="F90" i="8"/>
  <c r="E90" i="8"/>
  <c r="G90" i="8" s="1"/>
  <c r="D90" i="8"/>
  <c r="C90" i="8"/>
  <c r="G89" i="8"/>
  <c r="F89" i="8"/>
  <c r="E89" i="8"/>
  <c r="D89" i="8"/>
  <c r="C89" i="8"/>
  <c r="G88" i="8"/>
  <c r="E88" i="8"/>
  <c r="D88" i="8"/>
  <c r="C88" i="8"/>
  <c r="E87" i="8"/>
  <c r="D87" i="8"/>
  <c r="C87" i="8"/>
  <c r="E86" i="8"/>
  <c r="B86" i="8"/>
  <c r="G85" i="8"/>
  <c r="E85" i="8"/>
  <c r="D85" i="8"/>
  <c r="C85" i="8"/>
  <c r="F85" i="8" s="1"/>
  <c r="E84" i="8"/>
  <c r="D84" i="8"/>
  <c r="C84" i="8"/>
  <c r="F83" i="8"/>
  <c r="E83" i="8"/>
  <c r="G83" i="8" s="1"/>
  <c r="D83" i="8"/>
  <c r="C83" i="8"/>
  <c r="G82" i="8"/>
  <c r="F82" i="8"/>
  <c r="E82" i="8"/>
  <c r="D82" i="8"/>
  <c r="C82" i="8"/>
  <c r="G81" i="8"/>
  <c r="E81" i="8"/>
  <c r="D81" i="8"/>
  <c r="C81" i="8"/>
  <c r="E80" i="8"/>
  <c r="D80" i="8"/>
  <c r="B80" i="8"/>
  <c r="G79" i="8"/>
  <c r="F79" i="8"/>
  <c r="E79" i="8"/>
  <c r="D79" i="8"/>
  <c r="C79" i="8"/>
  <c r="G78" i="8"/>
  <c r="E78" i="8"/>
  <c r="D78" i="8"/>
  <c r="C78" i="8"/>
  <c r="E77" i="8"/>
  <c r="D77" i="8"/>
  <c r="C77" i="8"/>
  <c r="F76" i="8"/>
  <c r="E76" i="8"/>
  <c r="D76" i="8"/>
  <c r="C76" i="8"/>
  <c r="B75" i="8"/>
  <c r="B74" i="8" s="1"/>
  <c r="B91" i="8" s="1"/>
  <c r="B96" i="8" s="1"/>
  <c r="B98" i="8" s="1"/>
  <c r="B99" i="8" s="1"/>
  <c r="G73" i="8"/>
  <c r="F73" i="8"/>
  <c r="E73" i="8"/>
  <c r="D73" i="8"/>
  <c r="C73" i="8"/>
  <c r="G72" i="8"/>
  <c r="E72" i="8"/>
  <c r="D72" i="8"/>
  <c r="C72" i="8"/>
  <c r="E71" i="8"/>
  <c r="D71" i="8"/>
  <c r="C71" i="8"/>
  <c r="G70" i="8"/>
  <c r="F70" i="8"/>
  <c r="F68" i="8"/>
  <c r="E68" i="8"/>
  <c r="G68" i="8" s="1"/>
  <c r="D68" i="8"/>
  <c r="C68" i="8"/>
  <c r="G67" i="8"/>
  <c r="F67" i="8"/>
  <c r="E67" i="8"/>
  <c r="E117" i="8" s="1"/>
  <c r="D67" i="8"/>
  <c r="C67" i="8"/>
  <c r="F65" i="8"/>
  <c r="E65" i="8"/>
  <c r="D65" i="8"/>
  <c r="C65" i="8"/>
  <c r="G64" i="8"/>
  <c r="F64" i="8"/>
  <c r="E64" i="8"/>
  <c r="D64" i="8"/>
  <c r="C64" i="8"/>
  <c r="B63" i="8"/>
  <c r="B66" i="8" s="1"/>
  <c r="B69" i="8" s="1"/>
  <c r="F62" i="8"/>
  <c r="E62" i="8"/>
  <c r="D62" i="8"/>
  <c r="C62" i="8"/>
  <c r="G61" i="8"/>
  <c r="F61" i="8"/>
  <c r="E61" i="8"/>
  <c r="D61" i="8"/>
  <c r="C61" i="8"/>
  <c r="G60" i="8"/>
  <c r="E60" i="8"/>
  <c r="D60" i="8"/>
  <c r="C60" i="8"/>
  <c r="E59" i="8"/>
  <c r="D59" i="8"/>
  <c r="C59" i="8"/>
  <c r="E58" i="8"/>
  <c r="E100" i="8" s="1"/>
  <c r="D58" i="8"/>
  <c r="D100" i="8" s="1"/>
  <c r="C58" i="8"/>
  <c r="C100" i="8" s="1"/>
  <c r="B58" i="8"/>
  <c r="G53" i="8"/>
  <c r="E53" i="8"/>
  <c r="D53" i="8"/>
  <c r="C53" i="8"/>
  <c r="F53" i="8" s="1"/>
  <c r="E52" i="8"/>
  <c r="D52" i="8"/>
  <c r="C52" i="8"/>
  <c r="G50" i="8"/>
  <c r="E50" i="8"/>
  <c r="D50" i="8"/>
  <c r="C50" i="8"/>
  <c r="F50" i="8" s="1"/>
  <c r="G48" i="8"/>
  <c r="F48" i="8"/>
  <c r="E48" i="8"/>
  <c r="D48" i="8"/>
  <c r="C48" i="8"/>
  <c r="G47" i="8"/>
  <c r="F47" i="8"/>
  <c r="F46" i="8"/>
  <c r="E46" i="8"/>
  <c r="D46" i="8"/>
  <c r="C46" i="8"/>
  <c r="G45" i="8"/>
  <c r="F45" i="8"/>
  <c r="E44" i="8"/>
  <c r="D44" i="8"/>
  <c r="C44" i="8"/>
  <c r="I7" i="31" s="1"/>
  <c r="G42" i="8"/>
  <c r="F42" i="8"/>
  <c r="G41" i="8"/>
  <c r="F41" i="8"/>
  <c r="G40" i="8"/>
  <c r="E40" i="8"/>
  <c r="D40" i="8"/>
  <c r="C40" i="8"/>
  <c r="F40" i="8" s="1"/>
  <c r="E39" i="8"/>
  <c r="E106" i="8" s="1"/>
  <c r="D39" i="8"/>
  <c r="C39" i="8"/>
  <c r="F39" i="8" s="1"/>
  <c r="G37" i="8"/>
  <c r="E37" i="8"/>
  <c r="D37" i="8"/>
  <c r="C37" i="8"/>
  <c r="F37" i="8" s="1"/>
  <c r="E36" i="8"/>
  <c r="D36" i="8"/>
  <c r="G36" i="8" s="1"/>
  <c r="C36" i="8"/>
  <c r="F36" i="8" s="1"/>
  <c r="F35" i="8"/>
  <c r="E35" i="8"/>
  <c r="D35" i="8"/>
  <c r="C35" i="8"/>
  <c r="C109" i="8" s="1"/>
  <c r="G34" i="8"/>
  <c r="F34" i="8"/>
  <c r="E34" i="8"/>
  <c r="D34" i="8"/>
  <c r="C34" i="8"/>
  <c r="F32" i="8"/>
  <c r="E32" i="8"/>
  <c r="E110" i="8" s="1"/>
  <c r="D32" i="8"/>
  <c r="C32" i="8"/>
  <c r="C110" i="8" s="1"/>
  <c r="G31" i="8"/>
  <c r="F31" i="8"/>
  <c r="E31" i="8"/>
  <c r="D31" i="8"/>
  <c r="C31" i="8"/>
  <c r="G30" i="8"/>
  <c r="E30" i="8"/>
  <c r="D30" i="8"/>
  <c r="C30" i="8"/>
  <c r="F30" i="8" s="1"/>
  <c r="E29" i="8"/>
  <c r="D29" i="8"/>
  <c r="C29" i="8"/>
  <c r="F29" i="8" s="1"/>
  <c r="E28" i="8"/>
  <c r="B28" i="8"/>
  <c r="C27" i="8"/>
  <c r="B27" i="8"/>
  <c r="B33" i="8" s="1"/>
  <c r="F26" i="8"/>
  <c r="E26" i="8"/>
  <c r="D26" i="8"/>
  <c r="G26" i="8" s="1"/>
  <c r="C26" i="8"/>
  <c r="G25" i="8"/>
  <c r="F25" i="8"/>
  <c r="E25" i="8"/>
  <c r="D25" i="8"/>
  <c r="C25" i="8"/>
  <c r="G24" i="8"/>
  <c r="E24" i="8"/>
  <c r="D24" i="8"/>
  <c r="C24" i="8"/>
  <c r="F24" i="8" s="1"/>
  <c r="E22" i="8"/>
  <c r="D22" i="8"/>
  <c r="G22" i="8" s="1"/>
  <c r="C22" i="8"/>
  <c r="F22" i="8" s="1"/>
  <c r="F21" i="8"/>
  <c r="E21" i="8"/>
  <c r="D21" i="8"/>
  <c r="H7" i="30" s="1"/>
  <c r="C21" i="8"/>
  <c r="G7" i="30" s="1"/>
  <c r="I7" i="30" s="1"/>
  <c r="G20" i="8"/>
  <c r="F20" i="8"/>
  <c r="E19" i="8"/>
  <c r="D19" i="8"/>
  <c r="C19" i="8"/>
  <c r="F18" i="8"/>
  <c r="E18" i="8"/>
  <c r="D18" i="8"/>
  <c r="G18" i="8" s="1"/>
  <c r="C18" i="8"/>
  <c r="G17" i="8"/>
  <c r="F17" i="8"/>
  <c r="E17" i="8"/>
  <c r="D17" i="8"/>
  <c r="C17" i="8"/>
  <c r="G16" i="8"/>
  <c r="F16" i="8"/>
  <c r="F15" i="8"/>
  <c r="E15" i="8"/>
  <c r="D15" i="8"/>
  <c r="G15" i="8" s="1"/>
  <c r="C15" i="8"/>
  <c r="C108" i="8" s="1"/>
  <c r="E14" i="8"/>
  <c r="D14" i="8"/>
  <c r="C14" i="8"/>
  <c r="A12" i="8"/>
  <c r="B10" i="8"/>
  <c r="G7" i="19" s="1"/>
  <c r="B117" i="7"/>
  <c r="B120" i="7" s="1"/>
  <c r="B115" i="7"/>
  <c r="E110" i="7"/>
  <c r="B110" i="7"/>
  <c r="B109" i="7"/>
  <c r="E108" i="7"/>
  <c r="B108" i="7"/>
  <c r="B107" i="7"/>
  <c r="E106" i="7"/>
  <c r="E100" i="7"/>
  <c r="F97" i="7"/>
  <c r="E97" i="7"/>
  <c r="D97" i="7"/>
  <c r="G97" i="7" s="1"/>
  <c r="C97" i="7"/>
  <c r="E95" i="7"/>
  <c r="D95" i="7"/>
  <c r="G95" i="7" s="1"/>
  <c r="C95" i="7"/>
  <c r="G94" i="7"/>
  <c r="F94" i="7"/>
  <c r="G93" i="7"/>
  <c r="E93" i="7"/>
  <c r="D93" i="7"/>
  <c r="C93" i="7"/>
  <c r="F93" i="7" s="1"/>
  <c r="G92" i="7"/>
  <c r="F92" i="7"/>
  <c r="B91" i="7"/>
  <c r="B96" i="7" s="1"/>
  <c r="B98" i="7" s="1"/>
  <c r="E90" i="7"/>
  <c r="D90" i="7"/>
  <c r="G90" i="7" s="1"/>
  <c r="C90" i="7"/>
  <c r="F90" i="7" s="1"/>
  <c r="F89" i="7"/>
  <c r="E89" i="7"/>
  <c r="E86" i="7" s="1"/>
  <c r="D89" i="7"/>
  <c r="C89" i="7"/>
  <c r="G88" i="7"/>
  <c r="F88" i="7"/>
  <c r="E88" i="7"/>
  <c r="D88" i="7"/>
  <c r="C88" i="7"/>
  <c r="G87" i="7"/>
  <c r="E87" i="7"/>
  <c r="D87" i="7"/>
  <c r="C87" i="7"/>
  <c r="D86" i="7"/>
  <c r="G86" i="7" s="1"/>
  <c r="B86" i="7"/>
  <c r="G85" i="7"/>
  <c r="F85" i="7"/>
  <c r="E85" i="7"/>
  <c r="D85" i="7"/>
  <c r="C85" i="7"/>
  <c r="G84" i="7"/>
  <c r="E84" i="7"/>
  <c r="D84" i="7"/>
  <c r="C84" i="7"/>
  <c r="F84" i="7" s="1"/>
  <c r="E83" i="7"/>
  <c r="D83" i="7"/>
  <c r="G83" i="7" s="1"/>
  <c r="C83" i="7"/>
  <c r="F82" i="7"/>
  <c r="E82" i="7"/>
  <c r="D82" i="7"/>
  <c r="C82" i="7"/>
  <c r="G81" i="7"/>
  <c r="F81" i="7"/>
  <c r="E81" i="7"/>
  <c r="D81" i="7"/>
  <c r="C81" i="7"/>
  <c r="D80" i="7"/>
  <c r="C80" i="7"/>
  <c r="B80" i="7"/>
  <c r="F79" i="7"/>
  <c r="E79" i="7"/>
  <c r="D79" i="7"/>
  <c r="C79" i="7"/>
  <c r="G78" i="7"/>
  <c r="F78" i="7"/>
  <c r="E78" i="7"/>
  <c r="D78" i="7"/>
  <c r="C78" i="7"/>
  <c r="G77" i="7"/>
  <c r="E77" i="7"/>
  <c r="D77" i="7"/>
  <c r="C77" i="7"/>
  <c r="F77" i="7" s="1"/>
  <c r="E76" i="7"/>
  <c r="D76" i="7"/>
  <c r="C76" i="7"/>
  <c r="E75" i="7"/>
  <c r="B75" i="7"/>
  <c r="B74" i="7" s="1"/>
  <c r="B116" i="7" s="1"/>
  <c r="F73" i="7"/>
  <c r="E73" i="7"/>
  <c r="D73" i="7"/>
  <c r="C73" i="7"/>
  <c r="G72" i="7"/>
  <c r="F72" i="7"/>
  <c r="E72" i="7"/>
  <c r="D72" i="7"/>
  <c r="C72" i="7"/>
  <c r="G71" i="7"/>
  <c r="E71" i="7"/>
  <c r="D71" i="7"/>
  <c r="C71" i="7"/>
  <c r="F71" i="7" s="1"/>
  <c r="G70" i="7"/>
  <c r="F70" i="7"/>
  <c r="B69" i="7"/>
  <c r="E68" i="7"/>
  <c r="D68" i="7"/>
  <c r="G68" i="7" s="1"/>
  <c r="C68" i="7"/>
  <c r="F68" i="7" s="1"/>
  <c r="F67" i="7"/>
  <c r="E67" i="7"/>
  <c r="E115" i="7" s="1"/>
  <c r="D67" i="7"/>
  <c r="C67" i="7"/>
  <c r="B66" i="7"/>
  <c r="B114" i="7" s="1"/>
  <c r="E65" i="7"/>
  <c r="D65" i="7"/>
  <c r="C65" i="7"/>
  <c r="F65" i="7" s="1"/>
  <c r="F64" i="7"/>
  <c r="E64" i="7"/>
  <c r="D64" i="7"/>
  <c r="G64" i="7" s="1"/>
  <c r="C64" i="7"/>
  <c r="B63" i="7"/>
  <c r="E62" i="7"/>
  <c r="D62" i="7"/>
  <c r="C62" i="7"/>
  <c r="F61" i="7"/>
  <c r="E61" i="7"/>
  <c r="D61" i="7"/>
  <c r="G61" i="7" s="1"/>
  <c r="C61" i="7"/>
  <c r="G60" i="7"/>
  <c r="F60" i="7"/>
  <c r="E60" i="7"/>
  <c r="D60" i="7"/>
  <c r="C60" i="7"/>
  <c r="G59" i="7"/>
  <c r="E59" i="7"/>
  <c r="D59" i="7"/>
  <c r="C59" i="7"/>
  <c r="E58" i="7"/>
  <c r="D58" i="7"/>
  <c r="D100" i="7" s="1"/>
  <c r="C58" i="7"/>
  <c r="C100" i="7" s="1"/>
  <c r="B58" i="7"/>
  <c r="B100" i="7" s="1"/>
  <c r="G53" i="7"/>
  <c r="F53" i="7"/>
  <c r="E53" i="7"/>
  <c r="D53" i="7"/>
  <c r="C53" i="7"/>
  <c r="G52" i="7"/>
  <c r="E52" i="7"/>
  <c r="D52" i="7"/>
  <c r="C52" i="7"/>
  <c r="F52" i="7" s="1"/>
  <c r="G50" i="7"/>
  <c r="F50" i="7"/>
  <c r="E50" i="7"/>
  <c r="D50" i="7"/>
  <c r="C50" i="7"/>
  <c r="F48" i="7"/>
  <c r="E48" i="7"/>
  <c r="D48" i="7"/>
  <c r="C48" i="7"/>
  <c r="G47" i="7"/>
  <c r="F47" i="7"/>
  <c r="E46" i="7"/>
  <c r="D46" i="7"/>
  <c r="G46" i="7" s="1"/>
  <c r="C46" i="7"/>
  <c r="F46" i="7" s="1"/>
  <c r="G45" i="7"/>
  <c r="F45" i="7"/>
  <c r="G44" i="7"/>
  <c r="E44" i="7"/>
  <c r="D44" i="7"/>
  <c r="C44" i="7"/>
  <c r="G42" i="7"/>
  <c r="F42" i="7"/>
  <c r="G41" i="7"/>
  <c r="F41" i="7"/>
  <c r="G40" i="7"/>
  <c r="F40" i="7"/>
  <c r="E40" i="7"/>
  <c r="D40" i="7"/>
  <c r="C40" i="7"/>
  <c r="G39" i="7"/>
  <c r="E39" i="7"/>
  <c r="D39" i="7"/>
  <c r="D106" i="7" s="1"/>
  <c r="C39" i="7"/>
  <c r="G37" i="7"/>
  <c r="F37" i="7"/>
  <c r="E37" i="7"/>
  <c r="D37" i="7"/>
  <c r="C37" i="7"/>
  <c r="G36" i="7"/>
  <c r="E36" i="7"/>
  <c r="D36" i="7"/>
  <c r="C36" i="7"/>
  <c r="F36" i="7" s="1"/>
  <c r="E35" i="7"/>
  <c r="D35" i="7"/>
  <c r="C35" i="7"/>
  <c r="F34" i="7"/>
  <c r="E34" i="7"/>
  <c r="D34" i="7"/>
  <c r="G34" i="7" s="1"/>
  <c r="C34" i="7"/>
  <c r="E32" i="7"/>
  <c r="D32" i="7"/>
  <c r="C32" i="7"/>
  <c r="F31" i="7"/>
  <c r="E31" i="7"/>
  <c r="E28" i="7" s="1"/>
  <c r="E112" i="7" s="1"/>
  <c r="D31" i="7"/>
  <c r="C31" i="7"/>
  <c r="G30" i="7"/>
  <c r="F30" i="7"/>
  <c r="E30" i="7"/>
  <c r="D30" i="7"/>
  <c r="C30" i="7"/>
  <c r="G29" i="7"/>
  <c r="E29" i="7"/>
  <c r="D29" i="7"/>
  <c r="C29" i="7"/>
  <c r="D28" i="7"/>
  <c r="G28" i="7" s="1"/>
  <c r="B28" i="7"/>
  <c r="B112" i="7" s="1"/>
  <c r="B27" i="7"/>
  <c r="B111" i="7" s="1"/>
  <c r="E26" i="7"/>
  <c r="D26" i="7"/>
  <c r="G26" i="7" s="1"/>
  <c r="C26" i="7"/>
  <c r="F25" i="7"/>
  <c r="E25" i="7"/>
  <c r="D25" i="7"/>
  <c r="C25" i="7"/>
  <c r="G24" i="7"/>
  <c r="F24" i="7"/>
  <c r="E24" i="7"/>
  <c r="D24" i="7"/>
  <c r="C24" i="7"/>
  <c r="G22" i="7"/>
  <c r="E22" i="7"/>
  <c r="D22" i="7"/>
  <c r="C22" i="7"/>
  <c r="F22" i="7" s="1"/>
  <c r="E21" i="7"/>
  <c r="D21" i="7"/>
  <c r="C21" i="7"/>
  <c r="G6" i="30" s="1"/>
  <c r="I6" i="30" s="1"/>
  <c r="G20" i="7"/>
  <c r="F20" i="7"/>
  <c r="G19" i="7"/>
  <c r="E19" i="7"/>
  <c r="D19" i="7"/>
  <c r="C19" i="7"/>
  <c r="E18" i="7"/>
  <c r="D18" i="7"/>
  <c r="G18" i="7" s="1"/>
  <c r="C18" i="7"/>
  <c r="F18" i="7" s="1"/>
  <c r="F17" i="7"/>
  <c r="E17" i="7"/>
  <c r="E109" i="7" s="1"/>
  <c r="D17" i="7"/>
  <c r="C17" i="7"/>
  <c r="G16" i="7"/>
  <c r="F16" i="7"/>
  <c r="E15" i="7"/>
  <c r="D15" i="7"/>
  <c r="C15" i="7"/>
  <c r="F15" i="7" s="1"/>
  <c r="E14" i="7"/>
  <c r="D14" i="7"/>
  <c r="C14" i="7"/>
  <c r="A12" i="7"/>
  <c r="B10" i="7"/>
  <c r="G6" i="19" s="1"/>
  <c r="E115" i="6"/>
  <c r="B115" i="6"/>
  <c r="B110" i="6"/>
  <c r="B109" i="6"/>
  <c r="B108" i="6"/>
  <c r="B107" i="6"/>
  <c r="D106" i="6"/>
  <c r="E100" i="6"/>
  <c r="D100" i="6"/>
  <c r="E97" i="6"/>
  <c r="D97" i="6"/>
  <c r="C97" i="6"/>
  <c r="E95" i="6"/>
  <c r="D95" i="6"/>
  <c r="G95" i="6" s="1"/>
  <c r="C95" i="6"/>
  <c r="G94" i="6"/>
  <c r="F94" i="6"/>
  <c r="G93" i="6"/>
  <c r="E93" i="6"/>
  <c r="D93" i="6"/>
  <c r="C93" i="6"/>
  <c r="F93" i="6" s="1"/>
  <c r="G92" i="6"/>
  <c r="F92" i="6"/>
  <c r="E90" i="6"/>
  <c r="D90" i="6"/>
  <c r="C90" i="6"/>
  <c r="E89" i="6"/>
  <c r="D89" i="6"/>
  <c r="G89" i="6" s="1"/>
  <c r="C89" i="6"/>
  <c r="F89" i="6" s="1"/>
  <c r="F88" i="6"/>
  <c r="E88" i="6"/>
  <c r="D88" i="6"/>
  <c r="G88" i="6" s="1"/>
  <c r="C88" i="6"/>
  <c r="G87" i="6"/>
  <c r="E87" i="6"/>
  <c r="E86" i="6" s="1"/>
  <c r="D87" i="6"/>
  <c r="C87" i="6"/>
  <c r="F87" i="6" s="1"/>
  <c r="C86" i="6"/>
  <c r="B86" i="6"/>
  <c r="B117" i="6" s="1"/>
  <c r="F85" i="6"/>
  <c r="E85" i="6"/>
  <c r="D85" i="6"/>
  <c r="G85" i="6" s="1"/>
  <c r="C85" i="6"/>
  <c r="G84" i="6"/>
  <c r="F84" i="6"/>
  <c r="E84" i="6"/>
  <c r="D84" i="6"/>
  <c r="C84" i="6"/>
  <c r="E83" i="6"/>
  <c r="D83" i="6"/>
  <c r="G83" i="6" s="1"/>
  <c r="C83" i="6"/>
  <c r="E82" i="6"/>
  <c r="D82" i="6"/>
  <c r="G82" i="6" s="1"/>
  <c r="C82" i="6"/>
  <c r="F81" i="6"/>
  <c r="E81" i="6"/>
  <c r="E80" i="6" s="1"/>
  <c r="D81" i="6"/>
  <c r="G81" i="6" s="1"/>
  <c r="C81" i="6"/>
  <c r="C80" i="6"/>
  <c r="B80" i="6"/>
  <c r="E79" i="6"/>
  <c r="D79" i="6"/>
  <c r="G79" i="6" s="1"/>
  <c r="C79" i="6"/>
  <c r="F79" i="6" s="1"/>
  <c r="F78" i="6"/>
  <c r="E78" i="6"/>
  <c r="D78" i="6"/>
  <c r="G78" i="6" s="1"/>
  <c r="C78" i="6"/>
  <c r="G77" i="6"/>
  <c r="E77" i="6"/>
  <c r="D77" i="6"/>
  <c r="C77" i="6"/>
  <c r="F77" i="6" s="1"/>
  <c r="E76" i="6"/>
  <c r="D76" i="6"/>
  <c r="C76" i="6"/>
  <c r="E75" i="6"/>
  <c r="B75" i="6"/>
  <c r="B113" i="6" s="1"/>
  <c r="B74" i="6"/>
  <c r="E73" i="6"/>
  <c r="D73" i="6"/>
  <c r="C73" i="6"/>
  <c r="F73" i="6" s="1"/>
  <c r="F72" i="6"/>
  <c r="E72" i="6"/>
  <c r="D72" i="6"/>
  <c r="C72" i="6"/>
  <c r="G71" i="6"/>
  <c r="E71" i="6"/>
  <c r="D71" i="6"/>
  <c r="C71" i="6"/>
  <c r="F71" i="6" s="1"/>
  <c r="G70" i="6"/>
  <c r="F70" i="6"/>
  <c r="E68" i="6"/>
  <c r="D68" i="6"/>
  <c r="G68" i="6" s="1"/>
  <c r="C68" i="6"/>
  <c r="E67" i="6"/>
  <c r="D67" i="6"/>
  <c r="G67" i="6" s="1"/>
  <c r="C67" i="6"/>
  <c r="G65" i="6"/>
  <c r="E65" i="6"/>
  <c r="D65" i="6"/>
  <c r="C65" i="6"/>
  <c r="E64" i="6"/>
  <c r="D64" i="6"/>
  <c r="C64" i="6"/>
  <c r="E63" i="6"/>
  <c r="E66" i="6" s="1"/>
  <c r="E114" i="6" s="1"/>
  <c r="B63" i="6"/>
  <c r="B66" i="6" s="1"/>
  <c r="E62" i="6"/>
  <c r="D62" i="6"/>
  <c r="C62" i="6"/>
  <c r="E61" i="6"/>
  <c r="D61" i="6"/>
  <c r="G61" i="6" s="1"/>
  <c r="C61" i="6"/>
  <c r="F61" i="6" s="1"/>
  <c r="F60" i="6"/>
  <c r="E60" i="6"/>
  <c r="D60" i="6"/>
  <c r="G60" i="6" s="1"/>
  <c r="C60" i="6"/>
  <c r="G59" i="6"/>
  <c r="E59" i="6"/>
  <c r="D59" i="6"/>
  <c r="C59" i="6"/>
  <c r="F59" i="6" s="1"/>
  <c r="E58" i="6"/>
  <c r="D58" i="6"/>
  <c r="C58" i="6"/>
  <c r="C100" i="6" s="1"/>
  <c r="B58" i="6"/>
  <c r="B100" i="6" s="1"/>
  <c r="F53" i="6"/>
  <c r="E53" i="6"/>
  <c r="D53" i="6"/>
  <c r="C53" i="6"/>
  <c r="G52" i="6"/>
  <c r="E52" i="6"/>
  <c r="D52" i="6"/>
  <c r="C52" i="6"/>
  <c r="F52" i="6" s="1"/>
  <c r="E50" i="6"/>
  <c r="D50" i="6"/>
  <c r="C50" i="6"/>
  <c r="E48" i="6"/>
  <c r="D48" i="6"/>
  <c r="C48" i="6"/>
  <c r="G47" i="6"/>
  <c r="F47" i="6"/>
  <c r="E46" i="6"/>
  <c r="D46" i="6"/>
  <c r="G46" i="6" s="1"/>
  <c r="C46" i="6"/>
  <c r="F46" i="6" s="1"/>
  <c r="G45" i="6"/>
  <c r="F45" i="6"/>
  <c r="G44" i="6"/>
  <c r="E44" i="6"/>
  <c r="D44" i="6"/>
  <c r="C44" i="6"/>
  <c r="G42" i="6"/>
  <c r="F42" i="6"/>
  <c r="G41" i="6"/>
  <c r="F41" i="6"/>
  <c r="E40" i="6"/>
  <c r="D40" i="6"/>
  <c r="C40" i="6"/>
  <c r="F39" i="6"/>
  <c r="E39" i="6"/>
  <c r="G39" i="6" s="1"/>
  <c r="D39" i="6"/>
  <c r="C39" i="6"/>
  <c r="F37" i="6"/>
  <c r="E37" i="6"/>
  <c r="D37" i="6"/>
  <c r="C37" i="6"/>
  <c r="G36" i="6"/>
  <c r="E36" i="6"/>
  <c r="D36" i="6"/>
  <c r="C36" i="6"/>
  <c r="F36" i="6" s="1"/>
  <c r="E35" i="6"/>
  <c r="D35" i="6"/>
  <c r="G35" i="6" s="1"/>
  <c r="C35" i="6"/>
  <c r="E34" i="6"/>
  <c r="D34" i="6"/>
  <c r="G34" i="6" s="1"/>
  <c r="C34" i="6"/>
  <c r="E32" i="6"/>
  <c r="D32" i="6"/>
  <c r="C32" i="6"/>
  <c r="E31" i="6"/>
  <c r="E28" i="6" s="1"/>
  <c r="E112" i="6" s="1"/>
  <c r="D31" i="6"/>
  <c r="G31" i="6" s="1"/>
  <c r="C31" i="6"/>
  <c r="F30" i="6"/>
  <c r="E30" i="6"/>
  <c r="G30" i="6" s="1"/>
  <c r="D30" i="6"/>
  <c r="C30" i="6"/>
  <c r="G29" i="6"/>
  <c r="E29" i="6"/>
  <c r="D29" i="6"/>
  <c r="C29" i="6"/>
  <c r="D28" i="6"/>
  <c r="B28" i="6"/>
  <c r="B112" i="6" s="1"/>
  <c r="B27" i="6"/>
  <c r="B33" i="6" s="1"/>
  <c r="E26" i="6"/>
  <c r="D26" i="6"/>
  <c r="G26" i="6" s="1"/>
  <c r="C26" i="6"/>
  <c r="F26" i="6" s="1"/>
  <c r="E25" i="6"/>
  <c r="D25" i="6"/>
  <c r="C25" i="6"/>
  <c r="F24" i="6"/>
  <c r="E24" i="6"/>
  <c r="G24" i="6" s="1"/>
  <c r="D24" i="6"/>
  <c r="C24" i="6"/>
  <c r="G22" i="6"/>
  <c r="E22" i="6"/>
  <c r="D22" i="6"/>
  <c r="C22" i="6"/>
  <c r="F22" i="6" s="1"/>
  <c r="E21" i="6"/>
  <c r="D21" i="6"/>
  <c r="C21" i="6"/>
  <c r="G5" i="30" s="1"/>
  <c r="I5" i="30" s="1"/>
  <c r="G20" i="6"/>
  <c r="F20" i="6"/>
  <c r="G19" i="6"/>
  <c r="E19" i="6"/>
  <c r="D19" i="6"/>
  <c r="C19" i="6"/>
  <c r="F19" i="6" s="1"/>
  <c r="E18" i="6"/>
  <c r="D18" i="6"/>
  <c r="G18" i="6" s="1"/>
  <c r="C18" i="6"/>
  <c r="F18" i="6" s="1"/>
  <c r="E17" i="6"/>
  <c r="E27" i="6" s="1"/>
  <c r="E33" i="6" s="1"/>
  <c r="D17" i="6"/>
  <c r="C17" i="6"/>
  <c r="G16" i="6"/>
  <c r="F16" i="6"/>
  <c r="E15" i="6"/>
  <c r="D15" i="6"/>
  <c r="C15" i="6"/>
  <c r="F15" i="6" s="1"/>
  <c r="E14" i="6"/>
  <c r="D14" i="6"/>
  <c r="C14" i="6"/>
  <c r="A12" i="6"/>
  <c r="B10" i="6"/>
  <c r="G5" i="19" s="1"/>
  <c r="D115" i="1"/>
  <c r="B115" i="1"/>
  <c r="B110" i="1"/>
  <c r="B109" i="1"/>
  <c r="B108" i="1"/>
  <c r="B107" i="1"/>
  <c r="D100" i="1"/>
  <c r="E97" i="1"/>
  <c r="D97" i="1"/>
  <c r="C97" i="1"/>
  <c r="G95" i="1"/>
  <c r="E95" i="1"/>
  <c r="D95" i="1"/>
  <c r="C95" i="1"/>
  <c r="G94" i="1"/>
  <c r="F94" i="1"/>
  <c r="F93" i="1"/>
  <c r="E93" i="1"/>
  <c r="D93" i="1"/>
  <c r="G93" i="1" s="1"/>
  <c r="C93" i="1"/>
  <c r="G92" i="1"/>
  <c r="F92" i="1"/>
  <c r="G90" i="1"/>
  <c r="E90" i="1"/>
  <c r="D90" i="1"/>
  <c r="C90" i="1"/>
  <c r="E89" i="1"/>
  <c r="D89" i="1"/>
  <c r="C89" i="1"/>
  <c r="E88" i="1"/>
  <c r="E81" i="5" s="1"/>
  <c r="D88" i="1"/>
  <c r="C88" i="1"/>
  <c r="F88" i="1" s="1"/>
  <c r="F87" i="1"/>
  <c r="E87" i="1"/>
  <c r="E86" i="1" s="1"/>
  <c r="D87" i="1"/>
  <c r="G87" i="1" s="1"/>
  <c r="C87" i="1"/>
  <c r="C86" i="1"/>
  <c r="B86" i="1"/>
  <c r="B117" i="1" s="1"/>
  <c r="E85" i="1"/>
  <c r="E78" i="5" s="1"/>
  <c r="D85" i="1"/>
  <c r="C85" i="1"/>
  <c r="F85" i="1" s="1"/>
  <c r="F84" i="1"/>
  <c r="E84" i="1"/>
  <c r="D84" i="1"/>
  <c r="G84" i="1" s="1"/>
  <c r="C84" i="1"/>
  <c r="G83" i="1"/>
  <c r="E83" i="1"/>
  <c r="D83" i="1"/>
  <c r="C83" i="1"/>
  <c r="E82" i="1"/>
  <c r="D82" i="1"/>
  <c r="C82" i="1"/>
  <c r="E81" i="1"/>
  <c r="D81" i="1"/>
  <c r="C81" i="1"/>
  <c r="F81" i="1" s="1"/>
  <c r="B80" i="1"/>
  <c r="B111" i="1" s="1"/>
  <c r="E79" i="1"/>
  <c r="D79" i="1"/>
  <c r="D75" i="1" s="1"/>
  <c r="C79" i="1"/>
  <c r="E78" i="1"/>
  <c r="E71" i="5" s="1"/>
  <c r="E68" i="5" s="1"/>
  <c r="D78" i="1"/>
  <c r="C78" i="1"/>
  <c r="F78" i="1" s="1"/>
  <c r="F77" i="1"/>
  <c r="E77" i="1"/>
  <c r="D77" i="1"/>
  <c r="G77" i="1" s="1"/>
  <c r="C77" i="1"/>
  <c r="G76" i="1"/>
  <c r="E76" i="1"/>
  <c r="E108" i="1" s="1"/>
  <c r="D76" i="1"/>
  <c r="C76" i="1"/>
  <c r="B75" i="1"/>
  <c r="B113" i="1" s="1"/>
  <c r="E73" i="1"/>
  <c r="D73" i="1"/>
  <c r="C73" i="1"/>
  <c r="E72" i="1"/>
  <c r="D72" i="1"/>
  <c r="C72" i="1"/>
  <c r="F71" i="1"/>
  <c r="E71" i="1"/>
  <c r="D71" i="1"/>
  <c r="G71" i="1" s="1"/>
  <c r="C71" i="1"/>
  <c r="G70" i="1"/>
  <c r="F70" i="1"/>
  <c r="G68" i="1"/>
  <c r="E68" i="1"/>
  <c r="D68" i="1"/>
  <c r="C68" i="1"/>
  <c r="E67" i="1"/>
  <c r="E117" i="1" s="1"/>
  <c r="D67" i="1"/>
  <c r="G67" i="1" s="1"/>
  <c r="C67" i="1"/>
  <c r="G65" i="1"/>
  <c r="E65" i="1"/>
  <c r="D65" i="1"/>
  <c r="C65" i="1"/>
  <c r="E64" i="1"/>
  <c r="D64" i="1"/>
  <c r="C64" i="1"/>
  <c r="F64" i="1" s="1"/>
  <c r="B63" i="1"/>
  <c r="B66" i="1" s="1"/>
  <c r="G62" i="1"/>
  <c r="E62" i="1"/>
  <c r="D62" i="1"/>
  <c r="C62" i="1"/>
  <c r="E61" i="1"/>
  <c r="D61" i="1"/>
  <c r="G61" i="1" s="1"/>
  <c r="C61" i="1"/>
  <c r="E60" i="1"/>
  <c r="E63" i="1" s="1"/>
  <c r="E66" i="1" s="1"/>
  <c r="D60" i="1"/>
  <c r="C60" i="1"/>
  <c r="F59" i="1"/>
  <c r="E59" i="1"/>
  <c r="G59" i="1" s="1"/>
  <c r="D59" i="1"/>
  <c r="C59" i="1"/>
  <c r="E58" i="1"/>
  <c r="D58" i="1"/>
  <c r="C58" i="1"/>
  <c r="C100" i="1" s="1"/>
  <c r="B58" i="1"/>
  <c r="B100" i="1" s="1"/>
  <c r="E53" i="1"/>
  <c r="E46" i="5" s="1"/>
  <c r="D53" i="1"/>
  <c r="C53" i="1"/>
  <c r="F52" i="1"/>
  <c r="E52" i="1"/>
  <c r="G52" i="1" s="1"/>
  <c r="D52" i="1"/>
  <c r="C52" i="1"/>
  <c r="F50" i="1"/>
  <c r="E50" i="1"/>
  <c r="G50" i="1" s="1"/>
  <c r="F48" i="1"/>
  <c r="E48" i="1"/>
  <c r="G48" i="1" s="1"/>
  <c r="D48" i="1"/>
  <c r="C48" i="1"/>
  <c r="G47" i="1"/>
  <c r="F47" i="1"/>
  <c r="E46" i="1"/>
  <c r="D46" i="1"/>
  <c r="C46" i="1"/>
  <c r="G45" i="1"/>
  <c r="F45" i="1"/>
  <c r="E44" i="1"/>
  <c r="E107" i="1" s="1"/>
  <c r="D44" i="1"/>
  <c r="C44" i="1"/>
  <c r="I4" i="31" s="1"/>
  <c r="G42" i="1"/>
  <c r="F42" i="1"/>
  <c r="G41" i="1"/>
  <c r="F41" i="1"/>
  <c r="G40" i="1"/>
  <c r="E40" i="1"/>
  <c r="D40" i="1"/>
  <c r="C40" i="1"/>
  <c r="E39" i="1"/>
  <c r="E106" i="1" s="1"/>
  <c r="D39" i="1"/>
  <c r="C39" i="1"/>
  <c r="C106" i="1" s="1"/>
  <c r="G37" i="1"/>
  <c r="E37" i="1"/>
  <c r="D37" i="1"/>
  <c r="C37" i="1"/>
  <c r="C109" i="1"/>
  <c r="F34" i="1"/>
  <c r="E34" i="1"/>
  <c r="G34" i="1" s="1"/>
  <c r="D34" i="1"/>
  <c r="C34" i="1"/>
  <c r="E32" i="1"/>
  <c r="E110" i="1" s="1"/>
  <c r="D32" i="1"/>
  <c r="G32" i="1" s="1"/>
  <c r="C32" i="1"/>
  <c r="F31" i="1"/>
  <c r="E31" i="1"/>
  <c r="G31" i="1" s="1"/>
  <c r="D31" i="1"/>
  <c r="C31" i="1"/>
  <c r="G30" i="1"/>
  <c r="E30" i="1"/>
  <c r="D30" i="1"/>
  <c r="C30" i="1"/>
  <c r="F30" i="1" s="1"/>
  <c r="E29" i="1"/>
  <c r="D29" i="1"/>
  <c r="C29" i="1"/>
  <c r="F29" i="1" s="1"/>
  <c r="E28" i="1"/>
  <c r="B28" i="1"/>
  <c r="B112" i="1" s="1"/>
  <c r="B27" i="1"/>
  <c r="B33" i="1" s="1"/>
  <c r="E26" i="1"/>
  <c r="D26" i="1"/>
  <c r="C26" i="1"/>
  <c r="F25" i="1"/>
  <c r="E25" i="1"/>
  <c r="G25" i="1" s="1"/>
  <c r="D25" i="1"/>
  <c r="C25" i="1"/>
  <c r="G24" i="1"/>
  <c r="E24" i="1"/>
  <c r="D24" i="1"/>
  <c r="C24" i="1"/>
  <c r="F24" i="1" s="1"/>
  <c r="G23" i="1"/>
  <c r="F23" i="1"/>
  <c r="F22" i="1"/>
  <c r="E22" i="1"/>
  <c r="G22" i="1" s="1"/>
  <c r="D22" i="1"/>
  <c r="C22" i="1"/>
  <c r="G21" i="1"/>
  <c r="E21" i="1"/>
  <c r="D21" i="1"/>
  <c r="H4" i="30" s="1"/>
  <c r="C21" i="1"/>
  <c r="G20" i="1"/>
  <c r="F20" i="1"/>
  <c r="F19" i="1"/>
  <c r="E19" i="1"/>
  <c r="G19" i="1" s="1"/>
  <c r="D19" i="1"/>
  <c r="C19" i="1"/>
  <c r="G18" i="1"/>
  <c r="E18" i="1"/>
  <c r="D18" i="1"/>
  <c r="C18" i="1"/>
  <c r="F18" i="1" s="1"/>
  <c r="E17" i="1"/>
  <c r="D17" i="1"/>
  <c r="D109" i="1" s="1"/>
  <c r="C17" i="1"/>
  <c r="G16" i="1"/>
  <c r="F16" i="1"/>
  <c r="G15" i="1"/>
  <c r="F15" i="1"/>
  <c r="E15" i="1"/>
  <c r="E27" i="1" s="1"/>
  <c r="E33" i="1" s="1"/>
  <c r="E101" i="1" s="1"/>
  <c r="E14" i="1"/>
  <c r="D14" i="1"/>
  <c r="C14" i="1"/>
  <c r="A12" i="1"/>
  <c r="B10" i="1"/>
  <c r="G4" i="19" s="1"/>
  <c r="C39" i="15"/>
  <c r="C22" i="16"/>
  <c r="B16" i="16"/>
  <c r="B93" i="5"/>
  <c r="E90" i="5"/>
  <c r="C90" i="5"/>
  <c r="B90" i="5"/>
  <c r="E88" i="5"/>
  <c r="G88" i="5" s="1"/>
  <c r="D88" i="5"/>
  <c r="B88" i="5"/>
  <c r="E87" i="5"/>
  <c r="D87" i="5"/>
  <c r="G87" i="5" s="1"/>
  <c r="C87" i="5"/>
  <c r="B87" i="5"/>
  <c r="F86" i="5"/>
  <c r="E86" i="5"/>
  <c r="D22" i="16" s="1"/>
  <c r="D86" i="5"/>
  <c r="C86" i="5"/>
  <c r="B86" i="5"/>
  <c r="G85" i="5"/>
  <c r="F85" i="5"/>
  <c r="E83" i="5"/>
  <c r="D83" i="5"/>
  <c r="G83" i="5" s="1"/>
  <c r="B83" i="5"/>
  <c r="E82" i="5"/>
  <c r="C82" i="5"/>
  <c r="B82" i="5"/>
  <c r="D81" i="5"/>
  <c r="G81" i="5" s="1"/>
  <c r="C81" i="5"/>
  <c r="B81" i="5"/>
  <c r="F80" i="5"/>
  <c r="E80" i="5"/>
  <c r="D80" i="5"/>
  <c r="C80" i="5"/>
  <c r="B80" i="5"/>
  <c r="B79" i="5" s="1"/>
  <c r="F78" i="5"/>
  <c r="D78" i="5"/>
  <c r="G78" i="5" s="1"/>
  <c r="C78" i="5"/>
  <c r="B78" i="5"/>
  <c r="E77" i="5"/>
  <c r="D37" i="15" s="1"/>
  <c r="D77" i="5"/>
  <c r="C77" i="5"/>
  <c r="E37" i="15" s="1"/>
  <c r="B77" i="5"/>
  <c r="E39" i="15" s="1"/>
  <c r="E76" i="5"/>
  <c r="G76" i="5" s="1"/>
  <c r="D76" i="5"/>
  <c r="D13" i="15" s="1"/>
  <c r="B76" i="5"/>
  <c r="E75" i="5"/>
  <c r="D75" i="5"/>
  <c r="G75" i="5" s="1"/>
  <c r="C75" i="5"/>
  <c r="B75" i="5"/>
  <c r="F74" i="5"/>
  <c r="D74" i="5"/>
  <c r="C74" i="5"/>
  <c r="B74" i="5"/>
  <c r="B73" i="5" s="1"/>
  <c r="E12" i="15" s="1"/>
  <c r="C73" i="5"/>
  <c r="E72" i="5"/>
  <c r="C72" i="5"/>
  <c r="B72" i="5"/>
  <c r="D71" i="5"/>
  <c r="G71" i="5" s="1"/>
  <c r="C71" i="5"/>
  <c r="F71" i="5" s="1"/>
  <c r="B71" i="5"/>
  <c r="F70" i="5"/>
  <c r="E70" i="5"/>
  <c r="D70" i="5"/>
  <c r="G70" i="5" s="1"/>
  <c r="C70" i="5"/>
  <c r="B70" i="5"/>
  <c r="B68" i="5" s="1"/>
  <c r="E69" i="5"/>
  <c r="D69" i="5"/>
  <c r="B69" i="5"/>
  <c r="E66" i="5"/>
  <c r="C66" i="5"/>
  <c r="B66" i="5"/>
  <c r="E21" i="15" s="1"/>
  <c r="D65" i="5"/>
  <c r="C65" i="5"/>
  <c r="E22" i="15" s="1"/>
  <c r="B65" i="5"/>
  <c r="F64" i="5"/>
  <c r="E64" i="5"/>
  <c r="G64" i="5" s="1"/>
  <c r="D64" i="5"/>
  <c r="C64" i="5"/>
  <c r="B64" i="5"/>
  <c r="E61" i="5"/>
  <c r="D61" i="5"/>
  <c r="B61" i="5"/>
  <c r="G60" i="5"/>
  <c r="E60" i="5"/>
  <c r="D20" i="16" s="1"/>
  <c r="D60" i="5"/>
  <c r="C60" i="5"/>
  <c r="E29" i="15" s="1"/>
  <c r="B60" i="5"/>
  <c r="G58" i="5"/>
  <c r="E58" i="5"/>
  <c r="D58" i="5"/>
  <c r="C58" i="5"/>
  <c r="B58" i="5"/>
  <c r="E57" i="5"/>
  <c r="C57" i="5"/>
  <c r="B57" i="5"/>
  <c r="E55" i="5"/>
  <c r="D55" i="5"/>
  <c r="B55" i="5"/>
  <c r="E54" i="5"/>
  <c r="D54" i="5"/>
  <c r="G54" i="5" s="1"/>
  <c r="C54" i="5"/>
  <c r="F54" i="5" s="1"/>
  <c r="B54" i="5"/>
  <c r="F53" i="5"/>
  <c r="E53" i="5"/>
  <c r="G53" i="5" s="1"/>
  <c r="D53" i="5"/>
  <c r="C53" i="5"/>
  <c r="B53" i="5"/>
  <c r="G52" i="5"/>
  <c r="E52" i="5"/>
  <c r="D52" i="5"/>
  <c r="C52" i="5"/>
  <c r="F52" i="5" s="1"/>
  <c r="B52" i="5"/>
  <c r="D51" i="5"/>
  <c r="D93" i="5" s="1"/>
  <c r="C51" i="5"/>
  <c r="C93" i="5" s="1"/>
  <c r="B51" i="5"/>
  <c r="G46" i="5"/>
  <c r="D46" i="5"/>
  <c r="C46" i="5"/>
  <c r="F46" i="5" s="1"/>
  <c r="B46" i="5"/>
  <c r="F45" i="5"/>
  <c r="E45" i="5"/>
  <c r="G45" i="5" s="1"/>
  <c r="D45" i="5"/>
  <c r="C45" i="5"/>
  <c r="B45" i="5"/>
  <c r="F43" i="5"/>
  <c r="E43" i="5"/>
  <c r="G43" i="5" s="1"/>
  <c r="D43" i="5"/>
  <c r="D15" i="15" s="1"/>
  <c r="C43" i="5"/>
  <c r="C15" i="15" s="1"/>
  <c r="B43" i="5"/>
  <c r="J29" i="5" s="1"/>
  <c r="F41" i="5"/>
  <c r="E41" i="5"/>
  <c r="G41" i="5" s="1"/>
  <c r="D41" i="5"/>
  <c r="C41" i="5"/>
  <c r="B41" i="5"/>
  <c r="G40" i="5"/>
  <c r="E40" i="5"/>
  <c r="D40" i="5"/>
  <c r="C40" i="5"/>
  <c r="F40" i="5" s="1"/>
  <c r="B40" i="5"/>
  <c r="F39" i="5"/>
  <c r="E39" i="5"/>
  <c r="G39" i="5" s="1"/>
  <c r="D39" i="5"/>
  <c r="C39" i="5"/>
  <c r="B39" i="5"/>
  <c r="E38" i="5"/>
  <c r="D38" i="5"/>
  <c r="G38" i="5" s="1"/>
  <c r="C38" i="5"/>
  <c r="F38" i="5" s="1"/>
  <c r="B38" i="5"/>
  <c r="E37" i="5"/>
  <c r="C37" i="5"/>
  <c r="C6" i="15" s="1"/>
  <c r="C30" i="15" s="1"/>
  <c r="B37" i="5"/>
  <c r="B100" i="5" s="1"/>
  <c r="F35" i="5"/>
  <c r="E35" i="5"/>
  <c r="G35" i="5" s="1"/>
  <c r="D35" i="5"/>
  <c r="C35" i="5"/>
  <c r="B35" i="5"/>
  <c r="E34" i="5"/>
  <c r="D34" i="5"/>
  <c r="G34" i="5" s="1"/>
  <c r="C34" i="5"/>
  <c r="B34" i="5"/>
  <c r="E33" i="5"/>
  <c r="G33" i="5" s="1"/>
  <c r="D33" i="5"/>
  <c r="B33" i="5"/>
  <c r="E32" i="5"/>
  <c r="C32" i="5"/>
  <c r="B32" i="5"/>
  <c r="E5" i="15" s="1"/>
  <c r="K30" i="5"/>
  <c r="J30" i="5"/>
  <c r="E30" i="5"/>
  <c r="D30" i="5"/>
  <c r="G30" i="5" s="1"/>
  <c r="B30" i="5"/>
  <c r="L29" i="5"/>
  <c r="K29" i="5"/>
  <c r="E29" i="5"/>
  <c r="C29" i="5"/>
  <c r="B29" i="5"/>
  <c r="D28" i="5"/>
  <c r="C28" i="5"/>
  <c r="B28" i="5"/>
  <c r="B102" i="5" s="1"/>
  <c r="E27" i="5"/>
  <c r="D11" i="16" s="1"/>
  <c r="D27" i="5"/>
  <c r="C11" i="16" s="1"/>
  <c r="C27" i="5"/>
  <c r="B11" i="16" s="1"/>
  <c r="B27" i="5"/>
  <c r="G25" i="5"/>
  <c r="E25" i="5"/>
  <c r="D25" i="5"/>
  <c r="C25" i="5"/>
  <c r="C103" i="5" s="1"/>
  <c r="B25" i="5"/>
  <c r="B103" i="5" s="1"/>
  <c r="E24" i="5"/>
  <c r="D24" i="5"/>
  <c r="G24" i="5" s="1"/>
  <c r="C24" i="5"/>
  <c r="B24" i="5"/>
  <c r="B21" i="5" s="1"/>
  <c r="K23" i="5"/>
  <c r="J23" i="5"/>
  <c r="E23" i="5"/>
  <c r="G23" i="5" s="1"/>
  <c r="D23" i="5"/>
  <c r="C23" i="5"/>
  <c r="F23" i="5" s="1"/>
  <c r="B23" i="5"/>
  <c r="L22" i="5"/>
  <c r="K22" i="5"/>
  <c r="J22" i="5"/>
  <c r="F22" i="5"/>
  <c r="E22" i="5"/>
  <c r="D22" i="5"/>
  <c r="G22" i="5" s="1"/>
  <c r="C22" i="5"/>
  <c r="B22" i="5"/>
  <c r="C21" i="5"/>
  <c r="E20" i="5"/>
  <c r="F19" i="5"/>
  <c r="E19" i="5"/>
  <c r="D19" i="5"/>
  <c r="G19" i="5" s="1"/>
  <c r="C19" i="5"/>
  <c r="B19" i="5"/>
  <c r="E18" i="5"/>
  <c r="D18" i="5"/>
  <c r="G18" i="5" s="1"/>
  <c r="C18" i="5"/>
  <c r="B18" i="5"/>
  <c r="F17" i="5"/>
  <c r="E17" i="5"/>
  <c r="D17" i="5"/>
  <c r="G17" i="5" s="1"/>
  <c r="C17" i="5"/>
  <c r="C7" i="15" s="1"/>
  <c r="B17" i="5"/>
  <c r="E16" i="5"/>
  <c r="D16" i="5"/>
  <c r="G16" i="5" s="1"/>
  <c r="C16" i="5"/>
  <c r="B16" i="5"/>
  <c r="F15" i="5"/>
  <c r="E15" i="5"/>
  <c r="D15" i="5"/>
  <c r="G15" i="5" s="1"/>
  <c r="C15" i="5"/>
  <c r="B15" i="5"/>
  <c r="E14" i="5"/>
  <c r="D14" i="5"/>
  <c r="G14" i="5" s="1"/>
  <c r="C14" i="5"/>
  <c r="B14" i="5"/>
  <c r="F13" i="5"/>
  <c r="E13" i="5"/>
  <c r="D13" i="5"/>
  <c r="G13" i="5" s="1"/>
  <c r="C13" i="5"/>
  <c r="B13" i="5"/>
  <c r="E12" i="5"/>
  <c r="D12" i="5"/>
  <c r="G12" i="5" s="1"/>
  <c r="C12" i="5"/>
  <c r="B12" i="5"/>
  <c r="F11" i="5"/>
  <c r="E11" i="5"/>
  <c r="D11" i="5"/>
  <c r="G11" i="5" s="1"/>
  <c r="C11" i="5"/>
  <c r="B11" i="5"/>
  <c r="E10" i="5"/>
  <c r="D10" i="5"/>
  <c r="G10" i="5" s="1"/>
  <c r="C10" i="5"/>
  <c r="B10" i="5"/>
  <c r="F9" i="5"/>
  <c r="E9" i="5"/>
  <c r="D9" i="5"/>
  <c r="G9" i="5" s="1"/>
  <c r="C9" i="5"/>
  <c r="B9" i="5"/>
  <c r="E8" i="5"/>
  <c r="E101" i="5" s="1"/>
  <c r="D8" i="5"/>
  <c r="D20" i="5" s="1"/>
  <c r="C8" i="5"/>
  <c r="C20" i="5" s="1"/>
  <c r="B8" i="5"/>
  <c r="B101" i="5" s="1"/>
  <c r="E7" i="5"/>
  <c r="D2" i="16" s="1"/>
  <c r="I2" i="16" s="1"/>
  <c r="D7" i="5"/>
  <c r="C7" i="5"/>
  <c r="C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F39" i="18"/>
  <c r="E39" i="18"/>
  <c r="D39" i="18"/>
  <c r="C39" i="18"/>
  <c r="B39" i="18"/>
  <c r="A39" i="18"/>
  <c r="K38" i="18"/>
  <c r="J38" i="18"/>
  <c r="I38" i="18"/>
  <c r="H38" i="18"/>
  <c r="G38" i="18"/>
  <c r="G43" i="18" s="1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7" i="18"/>
  <c r="B7" i="18"/>
  <c r="C6" i="18"/>
  <c r="B6" i="18"/>
  <c r="B5" i="18"/>
  <c r="B3" i="18"/>
  <c r="B129" i="65"/>
  <c r="B124" i="65"/>
  <c r="E122" i="65"/>
  <c r="E128" i="65" s="1"/>
  <c r="E130" i="65" s="1"/>
  <c r="B121" i="65"/>
  <c r="B120" i="65"/>
  <c r="B119" i="65"/>
  <c r="B118" i="65"/>
  <c r="B117" i="65"/>
  <c r="B116" i="65"/>
  <c r="B115" i="65"/>
  <c r="G86" i="65"/>
  <c r="E86" i="65"/>
  <c r="D86" i="65"/>
  <c r="C86" i="65"/>
  <c r="F86" i="65" s="1"/>
  <c r="E85" i="65"/>
  <c r="D85" i="65"/>
  <c r="G85" i="65" s="1"/>
  <c r="C85" i="65"/>
  <c r="E84" i="65"/>
  <c r="B84" i="65"/>
  <c r="G83" i="65"/>
  <c r="E83" i="65"/>
  <c r="D83" i="65"/>
  <c r="C83" i="65"/>
  <c r="F83" i="65" s="1"/>
  <c r="E82" i="65"/>
  <c r="D82" i="65"/>
  <c r="G82" i="65" s="1"/>
  <c r="C82" i="65"/>
  <c r="E81" i="65"/>
  <c r="E80" i="65" s="1"/>
  <c r="D81" i="65"/>
  <c r="C81" i="65"/>
  <c r="F81" i="65" s="1"/>
  <c r="B80" i="65"/>
  <c r="B97" i="65" s="1"/>
  <c r="E79" i="65"/>
  <c r="D124" i="65" s="1"/>
  <c r="D79" i="65"/>
  <c r="G79" i="65" s="1"/>
  <c r="C79" i="65"/>
  <c r="E78" i="65"/>
  <c r="E77" i="65" s="1"/>
  <c r="D78" i="65"/>
  <c r="C78" i="65"/>
  <c r="F78" i="65" s="1"/>
  <c r="B77" i="65"/>
  <c r="B101" i="65" s="1"/>
  <c r="E76" i="65"/>
  <c r="D76" i="65"/>
  <c r="G76" i="65" s="1"/>
  <c r="C76" i="65"/>
  <c r="G75" i="65"/>
  <c r="F75" i="65"/>
  <c r="G74" i="65"/>
  <c r="F74" i="65"/>
  <c r="E73" i="65"/>
  <c r="G73" i="65" s="1"/>
  <c r="D73" i="65"/>
  <c r="C73" i="65"/>
  <c r="G72" i="65"/>
  <c r="F72" i="65"/>
  <c r="E71" i="65"/>
  <c r="D71" i="65"/>
  <c r="G71" i="65" s="1"/>
  <c r="C71" i="65"/>
  <c r="B67" i="65"/>
  <c r="E66" i="65"/>
  <c r="G66" i="65" s="1"/>
  <c r="D66" i="65"/>
  <c r="C66" i="65"/>
  <c r="F66" i="65" s="1"/>
  <c r="F65" i="65"/>
  <c r="E65" i="65"/>
  <c r="D65" i="65"/>
  <c r="G65" i="65" s="1"/>
  <c r="C65" i="65"/>
  <c r="G64" i="65"/>
  <c r="E64" i="65"/>
  <c r="E67" i="65" s="1"/>
  <c r="D64" i="65"/>
  <c r="C64" i="65"/>
  <c r="F64" i="65" s="1"/>
  <c r="E63" i="65"/>
  <c r="E95" i="65" s="1"/>
  <c r="D63" i="65"/>
  <c r="G63" i="65" s="1"/>
  <c r="C63" i="65"/>
  <c r="G62" i="65"/>
  <c r="F62" i="65"/>
  <c r="B60" i="65"/>
  <c r="B102" i="65" s="1"/>
  <c r="G59" i="65"/>
  <c r="F59" i="65"/>
  <c r="G58" i="65"/>
  <c r="E58" i="65"/>
  <c r="E60" i="65" s="1"/>
  <c r="D58" i="65"/>
  <c r="C58" i="65"/>
  <c r="F58" i="65" s="1"/>
  <c r="E57" i="65"/>
  <c r="D57" i="65"/>
  <c r="G57" i="65" s="1"/>
  <c r="C57" i="65"/>
  <c r="G56" i="65"/>
  <c r="F56" i="65"/>
  <c r="E53" i="65"/>
  <c r="G53" i="65" s="1"/>
  <c r="D53" i="65"/>
  <c r="C53" i="65"/>
  <c r="F53" i="65" s="1"/>
  <c r="G52" i="65"/>
  <c r="F52" i="65"/>
  <c r="G51" i="65"/>
  <c r="F51" i="65"/>
  <c r="B50" i="65"/>
  <c r="B54" i="65" s="1"/>
  <c r="E49" i="65"/>
  <c r="D49" i="65"/>
  <c r="G49" i="65" s="1"/>
  <c r="C49" i="65"/>
  <c r="E48" i="65"/>
  <c r="G48" i="65" s="1"/>
  <c r="D48" i="65"/>
  <c r="C48" i="65"/>
  <c r="F48" i="65" s="1"/>
  <c r="F47" i="65"/>
  <c r="E47" i="65"/>
  <c r="E50" i="65" s="1"/>
  <c r="E54" i="65" s="1"/>
  <c r="D47" i="65"/>
  <c r="D50" i="65" s="1"/>
  <c r="C47" i="65"/>
  <c r="C50" i="65" s="1"/>
  <c r="E45" i="65"/>
  <c r="E89" i="65" s="1"/>
  <c r="E112" i="65" s="1"/>
  <c r="D45" i="65"/>
  <c r="D89" i="65" s="1"/>
  <c r="D112" i="65" s="1"/>
  <c r="C45" i="65"/>
  <c r="C89" i="65" s="1"/>
  <c r="C112" i="65" s="1"/>
  <c r="B45" i="65"/>
  <c r="B89" i="65" s="1"/>
  <c r="B112" i="65" s="1"/>
  <c r="E42" i="65"/>
  <c r="G42" i="65" s="1"/>
  <c r="D42" i="65"/>
  <c r="C42" i="65"/>
  <c r="F42" i="65" s="1"/>
  <c r="F41" i="65"/>
  <c r="E41" i="65"/>
  <c r="D41" i="65"/>
  <c r="D118" i="65" s="1"/>
  <c r="C41" i="65"/>
  <c r="C118" i="65" s="1"/>
  <c r="G40" i="65"/>
  <c r="E40" i="65"/>
  <c r="D40" i="65"/>
  <c r="D117" i="65" s="1"/>
  <c r="C40" i="65"/>
  <c r="C117" i="65" s="1"/>
  <c r="E39" i="65"/>
  <c r="D39" i="65"/>
  <c r="G39" i="65" s="1"/>
  <c r="C39" i="65"/>
  <c r="G36" i="65"/>
  <c r="E36" i="65"/>
  <c r="D36" i="65"/>
  <c r="D129" i="65" s="1"/>
  <c r="C36" i="65"/>
  <c r="F36" i="65" s="1"/>
  <c r="G34" i="65"/>
  <c r="F34" i="65"/>
  <c r="E33" i="65"/>
  <c r="D33" i="65"/>
  <c r="G33" i="65" s="1"/>
  <c r="C33" i="65"/>
  <c r="C121" i="65" s="1"/>
  <c r="G31" i="65"/>
  <c r="E31" i="65"/>
  <c r="D31" i="65"/>
  <c r="D120" i="65" s="1"/>
  <c r="C31" i="65"/>
  <c r="F31" i="65" s="1"/>
  <c r="F29" i="65"/>
  <c r="E29" i="65"/>
  <c r="D29" i="65"/>
  <c r="D115" i="65" s="1"/>
  <c r="C29" i="65"/>
  <c r="C115" i="65" s="1"/>
  <c r="E27" i="65"/>
  <c r="B27" i="65"/>
  <c r="G26" i="65"/>
  <c r="E26" i="65"/>
  <c r="D26" i="65"/>
  <c r="D116" i="65" s="1"/>
  <c r="C26" i="65"/>
  <c r="F26" i="65" s="1"/>
  <c r="E25" i="65"/>
  <c r="D25" i="65"/>
  <c r="D27" i="65" s="1"/>
  <c r="G27" i="65" s="1"/>
  <c r="C25" i="65"/>
  <c r="E23" i="65"/>
  <c r="E99" i="65" s="1"/>
  <c r="B23" i="65"/>
  <c r="B99" i="65" s="1"/>
  <c r="G22" i="65"/>
  <c r="E22" i="65"/>
  <c r="D22" i="65"/>
  <c r="C22" i="65"/>
  <c r="F22" i="65" s="1"/>
  <c r="E21" i="65"/>
  <c r="D21" i="65"/>
  <c r="D23" i="65" s="1"/>
  <c r="G23" i="65" s="1"/>
  <c r="C21" i="65"/>
  <c r="G18" i="65"/>
  <c r="E18" i="65"/>
  <c r="D18" i="65"/>
  <c r="C18" i="65"/>
  <c r="F18" i="65" s="1"/>
  <c r="B17" i="65"/>
  <c r="G16" i="65"/>
  <c r="F16" i="65"/>
  <c r="E15" i="65"/>
  <c r="E17" i="65" s="1"/>
  <c r="D15" i="65"/>
  <c r="G15" i="65" s="1"/>
  <c r="C15" i="65"/>
  <c r="C17" i="65" s="1"/>
  <c r="E13" i="65"/>
  <c r="D13" i="65"/>
  <c r="C13" i="65"/>
  <c r="A11" i="65"/>
  <c r="B129" i="64"/>
  <c r="B124" i="64"/>
  <c r="E122" i="64"/>
  <c r="E128" i="64" s="1"/>
  <c r="E130" i="64" s="1"/>
  <c r="B121" i="64"/>
  <c r="B120" i="64"/>
  <c r="B119" i="64"/>
  <c r="B118" i="64"/>
  <c r="B117" i="64"/>
  <c r="B116" i="64"/>
  <c r="B115" i="64"/>
  <c r="C89" i="64"/>
  <c r="C112" i="64" s="1"/>
  <c r="G86" i="64"/>
  <c r="E86" i="64"/>
  <c r="D86" i="64"/>
  <c r="C86" i="64"/>
  <c r="E85" i="64"/>
  <c r="D85" i="64"/>
  <c r="C85" i="64"/>
  <c r="E84" i="64"/>
  <c r="B84" i="64"/>
  <c r="G83" i="64"/>
  <c r="E83" i="64"/>
  <c r="D83" i="64"/>
  <c r="C83" i="64"/>
  <c r="F83" i="64" s="1"/>
  <c r="E82" i="64"/>
  <c r="D82" i="64"/>
  <c r="C82" i="64"/>
  <c r="E81" i="64"/>
  <c r="E80" i="64" s="1"/>
  <c r="D81" i="64"/>
  <c r="G81" i="64" s="1"/>
  <c r="C81" i="64"/>
  <c r="F81" i="64" s="1"/>
  <c r="B80" i="64"/>
  <c r="B97" i="64" s="1"/>
  <c r="E79" i="64"/>
  <c r="D79" i="64"/>
  <c r="C79" i="64"/>
  <c r="E78" i="64"/>
  <c r="E77" i="64" s="1"/>
  <c r="D78" i="64"/>
  <c r="C78" i="64"/>
  <c r="F78" i="64" s="1"/>
  <c r="B77" i="64"/>
  <c r="E76" i="64"/>
  <c r="D76" i="64"/>
  <c r="G76" i="64" s="1"/>
  <c r="C76" i="64"/>
  <c r="G75" i="64"/>
  <c r="F75" i="64"/>
  <c r="G74" i="64"/>
  <c r="F74" i="64"/>
  <c r="E73" i="64"/>
  <c r="E87" i="64" s="1"/>
  <c r="D73" i="64"/>
  <c r="C73" i="64"/>
  <c r="G72" i="64"/>
  <c r="F72" i="64"/>
  <c r="E71" i="64"/>
  <c r="D71" i="64"/>
  <c r="G71" i="64" s="1"/>
  <c r="C71" i="64"/>
  <c r="B67" i="64"/>
  <c r="E66" i="64"/>
  <c r="D66" i="64"/>
  <c r="G66" i="64" s="1"/>
  <c r="C66" i="64"/>
  <c r="F65" i="64"/>
  <c r="E65" i="64"/>
  <c r="D65" i="64"/>
  <c r="G65" i="64" s="1"/>
  <c r="C65" i="64"/>
  <c r="G64" i="64"/>
  <c r="E64" i="64"/>
  <c r="D64" i="64"/>
  <c r="C64" i="64"/>
  <c r="F64" i="64" s="1"/>
  <c r="E63" i="64"/>
  <c r="D63" i="64"/>
  <c r="C63" i="64"/>
  <c r="F63" i="64" s="1"/>
  <c r="G62" i="64"/>
  <c r="F62" i="64"/>
  <c r="C60" i="64"/>
  <c r="B60" i="64"/>
  <c r="G59" i="64"/>
  <c r="F59" i="64"/>
  <c r="G58" i="64"/>
  <c r="E58" i="64"/>
  <c r="D58" i="64"/>
  <c r="C58" i="64"/>
  <c r="F58" i="64" s="1"/>
  <c r="E57" i="64"/>
  <c r="E60" i="64" s="1"/>
  <c r="E102" i="64" s="1"/>
  <c r="D57" i="64"/>
  <c r="C57" i="64"/>
  <c r="F57" i="64" s="1"/>
  <c r="G56" i="64"/>
  <c r="F56" i="64"/>
  <c r="C54" i="64"/>
  <c r="E53" i="64"/>
  <c r="D53" i="64"/>
  <c r="G53" i="64" s="1"/>
  <c r="C53" i="64"/>
  <c r="G52" i="64"/>
  <c r="F52" i="64"/>
  <c r="G51" i="64"/>
  <c r="F51" i="64"/>
  <c r="B50" i="64"/>
  <c r="B54" i="64" s="1"/>
  <c r="E49" i="64"/>
  <c r="D49" i="64"/>
  <c r="G49" i="64" s="1"/>
  <c r="C49" i="64"/>
  <c r="F49" i="64" s="1"/>
  <c r="E48" i="64"/>
  <c r="D48" i="64"/>
  <c r="G48" i="64" s="1"/>
  <c r="C48" i="64"/>
  <c r="F47" i="64"/>
  <c r="E47" i="64"/>
  <c r="E50" i="64" s="1"/>
  <c r="E54" i="64" s="1"/>
  <c r="D47" i="64"/>
  <c r="D50" i="64" s="1"/>
  <c r="F50" i="64" s="1"/>
  <c r="C47" i="64"/>
  <c r="C50" i="64" s="1"/>
  <c r="E45" i="64"/>
  <c r="E89" i="64" s="1"/>
  <c r="E112" i="64" s="1"/>
  <c r="D45" i="64"/>
  <c r="D89" i="64" s="1"/>
  <c r="D112" i="64" s="1"/>
  <c r="C45" i="64"/>
  <c r="B45" i="64"/>
  <c r="B89" i="64" s="1"/>
  <c r="B112" i="64" s="1"/>
  <c r="E42" i="64"/>
  <c r="D42" i="64"/>
  <c r="C42" i="64"/>
  <c r="F41" i="64"/>
  <c r="E41" i="64"/>
  <c r="G41" i="64" s="1"/>
  <c r="D41" i="64"/>
  <c r="D118" i="64" s="1"/>
  <c r="C41" i="64"/>
  <c r="C118" i="64" s="1"/>
  <c r="E40" i="64"/>
  <c r="D40" i="64"/>
  <c r="D117" i="64" s="1"/>
  <c r="C40" i="64"/>
  <c r="C117" i="64" s="1"/>
  <c r="E39" i="64"/>
  <c r="D39" i="64"/>
  <c r="G39" i="64" s="1"/>
  <c r="C39" i="64"/>
  <c r="E36" i="64"/>
  <c r="D36" i="64"/>
  <c r="C36" i="64"/>
  <c r="G34" i="64"/>
  <c r="F34" i="64"/>
  <c r="E33" i="64"/>
  <c r="D33" i="64"/>
  <c r="D121" i="64" s="1"/>
  <c r="C33" i="64"/>
  <c r="G31" i="64"/>
  <c r="E31" i="64"/>
  <c r="D31" i="64"/>
  <c r="D120" i="64" s="1"/>
  <c r="C31" i="64"/>
  <c r="C120" i="64" s="1"/>
  <c r="F29" i="64"/>
  <c r="E29" i="64"/>
  <c r="D29" i="64"/>
  <c r="D115" i="64" s="1"/>
  <c r="C29" i="64"/>
  <c r="C115" i="64" s="1"/>
  <c r="E27" i="64"/>
  <c r="B27" i="64"/>
  <c r="G26" i="64"/>
  <c r="E26" i="64"/>
  <c r="D26" i="64"/>
  <c r="D116" i="64" s="1"/>
  <c r="C26" i="64"/>
  <c r="C116" i="64" s="1"/>
  <c r="E25" i="64"/>
  <c r="D25" i="64"/>
  <c r="D27" i="64" s="1"/>
  <c r="G27" i="64" s="1"/>
  <c r="C25" i="64"/>
  <c r="E23" i="64"/>
  <c r="B23" i="64"/>
  <c r="G22" i="64"/>
  <c r="E22" i="64"/>
  <c r="D22" i="64"/>
  <c r="C22" i="64"/>
  <c r="F22" i="64" s="1"/>
  <c r="E21" i="64"/>
  <c r="D21" i="64"/>
  <c r="D23" i="64" s="1"/>
  <c r="G23" i="64" s="1"/>
  <c r="C21" i="64"/>
  <c r="G18" i="64"/>
  <c r="E18" i="64"/>
  <c r="D18" i="64"/>
  <c r="C18" i="64"/>
  <c r="F18" i="64" s="1"/>
  <c r="B17" i="64"/>
  <c r="G16" i="64"/>
  <c r="F16" i="64"/>
  <c r="E15" i="64"/>
  <c r="E17" i="64" s="1"/>
  <c r="D15" i="64"/>
  <c r="D17" i="64" s="1"/>
  <c r="C15" i="64"/>
  <c r="C17" i="64" s="1"/>
  <c r="E13" i="64"/>
  <c r="D13" i="64"/>
  <c r="C13" i="64"/>
  <c r="A11" i="64"/>
  <c r="B129" i="63"/>
  <c r="E122" i="63"/>
  <c r="E128" i="63" s="1"/>
  <c r="E130" i="63" s="1"/>
  <c r="B121" i="63"/>
  <c r="B120" i="63"/>
  <c r="B119" i="63"/>
  <c r="B118" i="63"/>
  <c r="B117" i="63"/>
  <c r="B116" i="63"/>
  <c r="B115" i="63"/>
  <c r="G86" i="63"/>
  <c r="E86" i="63"/>
  <c r="D86" i="63"/>
  <c r="C86" i="63"/>
  <c r="F86" i="63" s="1"/>
  <c r="E85" i="63"/>
  <c r="D85" i="63"/>
  <c r="G85" i="63" s="1"/>
  <c r="C85" i="63"/>
  <c r="F85" i="63" s="1"/>
  <c r="E84" i="63"/>
  <c r="B84" i="63"/>
  <c r="G83" i="63"/>
  <c r="E83" i="63"/>
  <c r="D83" i="63"/>
  <c r="C83" i="63"/>
  <c r="E82" i="63"/>
  <c r="D82" i="63"/>
  <c r="G82" i="63" s="1"/>
  <c r="C82" i="63"/>
  <c r="F82" i="63" s="1"/>
  <c r="F81" i="63"/>
  <c r="E81" i="63"/>
  <c r="E80" i="63" s="1"/>
  <c r="D81" i="63"/>
  <c r="G81" i="63" s="1"/>
  <c r="C81" i="63"/>
  <c r="C80" i="63"/>
  <c r="B123" i="63" s="1"/>
  <c r="B80" i="63"/>
  <c r="B97" i="63" s="1"/>
  <c r="E79" i="63"/>
  <c r="D124" i="63" s="1"/>
  <c r="D79" i="63"/>
  <c r="C124" i="63" s="1"/>
  <c r="C79" i="63"/>
  <c r="B124" i="63" s="1"/>
  <c r="F78" i="63"/>
  <c r="E78" i="63"/>
  <c r="E77" i="63" s="1"/>
  <c r="D78" i="63"/>
  <c r="G78" i="63" s="1"/>
  <c r="C78" i="63"/>
  <c r="B77" i="63"/>
  <c r="B87" i="63" s="1"/>
  <c r="E76" i="63"/>
  <c r="D76" i="63"/>
  <c r="G76" i="63" s="1"/>
  <c r="C76" i="63"/>
  <c r="F76" i="63" s="1"/>
  <c r="G75" i="63"/>
  <c r="F75" i="63"/>
  <c r="G74" i="63"/>
  <c r="F74" i="63"/>
  <c r="F73" i="63"/>
  <c r="E73" i="63"/>
  <c r="E87" i="63" s="1"/>
  <c r="D73" i="63"/>
  <c r="C73" i="63"/>
  <c r="G72" i="63"/>
  <c r="F72" i="63"/>
  <c r="E71" i="63"/>
  <c r="D71" i="63"/>
  <c r="G71" i="63" s="1"/>
  <c r="C71" i="63"/>
  <c r="F71" i="63" s="1"/>
  <c r="B67" i="63"/>
  <c r="F66" i="63"/>
  <c r="E66" i="63"/>
  <c r="D66" i="63"/>
  <c r="G66" i="63" s="1"/>
  <c r="C66" i="63"/>
  <c r="G65" i="63"/>
  <c r="F65" i="63"/>
  <c r="E65" i="63"/>
  <c r="D65" i="63"/>
  <c r="C65" i="63"/>
  <c r="G64" i="63"/>
  <c r="E64" i="63"/>
  <c r="D64" i="63"/>
  <c r="C64" i="63"/>
  <c r="C67" i="63" s="1"/>
  <c r="E63" i="63"/>
  <c r="E95" i="63" s="1"/>
  <c r="D63" i="63"/>
  <c r="C63" i="63"/>
  <c r="G62" i="63"/>
  <c r="F62" i="63"/>
  <c r="B60" i="63"/>
  <c r="B68" i="63" s="1"/>
  <c r="G59" i="63"/>
  <c r="F59" i="63"/>
  <c r="G58" i="63"/>
  <c r="E58" i="63"/>
  <c r="D58" i="63"/>
  <c r="C58" i="63"/>
  <c r="C60" i="63" s="1"/>
  <c r="E57" i="63"/>
  <c r="E60" i="63" s="1"/>
  <c r="D57" i="63"/>
  <c r="D60" i="63" s="1"/>
  <c r="C57" i="63"/>
  <c r="F57" i="63" s="1"/>
  <c r="G56" i="63"/>
  <c r="F56" i="63"/>
  <c r="F53" i="63"/>
  <c r="E53" i="63"/>
  <c r="D53" i="63"/>
  <c r="G53" i="63" s="1"/>
  <c r="C53" i="63"/>
  <c r="G52" i="63"/>
  <c r="F52" i="63"/>
  <c r="G51" i="63"/>
  <c r="F51" i="63"/>
  <c r="B50" i="63"/>
  <c r="B54" i="63" s="1"/>
  <c r="B69" i="63" s="1"/>
  <c r="E49" i="63"/>
  <c r="D49" i="63"/>
  <c r="G49" i="63" s="1"/>
  <c r="C49" i="63"/>
  <c r="F49" i="63" s="1"/>
  <c r="F48" i="63"/>
  <c r="E48" i="63"/>
  <c r="D48" i="63"/>
  <c r="G48" i="63" s="1"/>
  <c r="C48" i="63"/>
  <c r="G47" i="63"/>
  <c r="F47" i="63"/>
  <c r="E47" i="63"/>
  <c r="E50" i="63" s="1"/>
  <c r="E54" i="63" s="1"/>
  <c r="D47" i="63"/>
  <c r="D50" i="63" s="1"/>
  <c r="C47" i="63"/>
  <c r="C50" i="63" s="1"/>
  <c r="E45" i="63"/>
  <c r="E89" i="63" s="1"/>
  <c r="E112" i="63" s="1"/>
  <c r="D45" i="63"/>
  <c r="D89" i="63" s="1"/>
  <c r="D112" i="63" s="1"/>
  <c r="C45" i="63"/>
  <c r="C89" i="63" s="1"/>
  <c r="C112" i="63" s="1"/>
  <c r="B45" i="63"/>
  <c r="B89" i="63" s="1"/>
  <c r="B112" i="63" s="1"/>
  <c r="F42" i="63"/>
  <c r="E42" i="63"/>
  <c r="D42" i="63"/>
  <c r="G42" i="63" s="1"/>
  <c r="C42" i="63"/>
  <c r="G41" i="63"/>
  <c r="F41" i="63"/>
  <c r="E41" i="63"/>
  <c r="D41" i="63"/>
  <c r="D118" i="63" s="1"/>
  <c r="C41" i="63"/>
  <c r="C118" i="63" s="1"/>
  <c r="E40" i="63"/>
  <c r="D40" i="63"/>
  <c r="D117" i="63" s="1"/>
  <c r="C40" i="63"/>
  <c r="C117" i="63" s="1"/>
  <c r="E39" i="63"/>
  <c r="D39" i="63"/>
  <c r="G39" i="63" s="1"/>
  <c r="C39" i="63"/>
  <c r="F39" i="63" s="1"/>
  <c r="E36" i="63"/>
  <c r="D36" i="63"/>
  <c r="G36" i="63" s="1"/>
  <c r="C36" i="63"/>
  <c r="C129" i="63" s="1"/>
  <c r="G34" i="63"/>
  <c r="F34" i="63"/>
  <c r="E33" i="63"/>
  <c r="D33" i="63"/>
  <c r="D121" i="63" s="1"/>
  <c r="C33" i="63"/>
  <c r="C121" i="63" s="1"/>
  <c r="E31" i="63"/>
  <c r="D31" i="63"/>
  <c r="D120" i="63" s="1"/>
  <c r="C31" i="63"/>
  <c r="C120" i="63" s="1"/>
  <c r="G29" i="63"/>
  <c r="E29" i="63"/>
  <c r="D29" i="63"/>
  <c r="D115" i="63" s="1"/>
  <c r="C29" i="63"/>
  <c r="C115" i="63" s="1"/>
  <c r="B27" i="63"/>
  <c r="E26" i="63"/>
  <c r="D26" i="63"/>
  <c r="D116" i="63" s="1"/>
  <c r="C26" i="63"/>
  <c r="C116" i="63" s="1"/>
  <c r="E25" i="63"/>
  <c r="E27" i="63" s="1"/>
  <c r="D25" i="63"/>
  <c r="D27" i="63" s="1"/>
  <c r="C25" i="63"/>
  <c r="C27" i="63" s="1"/>
  <c r="F27" i="63" s="1"/>
  <c r="B23" i="63"/>
  <c r="B99" i="63" s="1"/>
  <c r="E22" i="63"/>
  <c r="D22" i="63"/>
  <c r="G22" i="63" s="1"/>
  <c r="C22" i="63"/>
  <c r="F22" i="63" s="1"/>
  <c r="E21" i="63"/>
  <c r="E23" i="63" s="1"/>
  <c r="D21" i="63"/>
  <c r="D23" i="63" s="1"/>
  <c r="G23" i="63" s="1"/>
  <c r="C21" i="63"/>
  <c r="C23" i="63" s="1"/>
  <c r="B19" i="63"/>
  <c r="B105" i="63" s="1"/>
  <c r="E18" i="63"/>
  <c r="D18" i="63"/>
  <c r="G18" i="63" s="1"/>
  <c r="C18" i="63"/>
  <c r="F18" i="63" s="1"/>
  <c r="B17" i="63"/>
  <c r="G16" i="63"/>
  <c r="F16" i="63"/>
  <c r="E15" i="63"/>
  <c r="E17" i="63" s="1"/>
  <c r="D15" i="63"/>
  <c r="D17" i="63" s="1"/>
  <c r="C15" i="63"/>
  <c r="C97" i="63" s="1"/>
  <c r="E13" i="63"/>
  <c r="D13" i="63"/>
  <c r="C13" i="63"/>
  <c r="A11" i="63"/>
  <c r="B129" i="62"/>
  <c r="E122" i="62"/>
  <c r="E128" i="62" s="1"/>
  <c r="E130" i="62" s="1"/>
  <c r="B121" i="62"/>
  <c r="B120" i="62"/>
  <c r="B119" i="62"/>
  <c r="B118" i="62"/>
  <c r="B117" i="62"/>
  <c r="B116" i="62"/>
  <c r="B115" i="62"/>
  <c r="E86" i="62"/>
  <c r="D86" i="62"/>
  <c r="G86" i="62" s="1"/>
  <c r="C86" i="62"/>
  <c r="F86" i="62" s="1"/>
  <c r="E85" i="62"/>
  <c r="D85" i="62"/>
  <c r="G85" i="62" s="1"/>
  <c r="C85" i="62"/>
  <c r="F85" i="62" s="1"/>
  <c r="E84" i="62"/>
  <c r="B84" i="62"/>
  <c r="E83" i="62"/>
  <c r="D83" i="62"/>
  <c r="G83" i="62" s="1"/>
  <c r="C83" i="62"/>
  <c r="F83" i="62" s="1"/>
  <c r="E82" i="62"/>
  <c r="D82" i="62"/>
  <c r="G82" i="62" s="1"/>
  <c r="C82" i="62"/>
  <c r="F82" i="62" s="1"/>
  <c r="F81" i="62"/>
  <c r="E81" i="62"/>
  <c r="E80" i="62" s="1"/>
  <c r="D81" i="62"/>
  <c r="G81" i="62" s="1"/>
  <c r="C81" i="62"/>
  <c r="C80" i="62"/>
  <c r="B123" i="62" s="1"/>
  <c r="B80" i="62"/>
  <c r="B97" i="62" s="1"/>
  <c r="E79" i="62"/>
  <c r="D124" i="62" s="1"/>
  <c r="D79" i="62"/>
  <c r="C124" i="62" s="1"/>
  <c r="C79" i="62"/>
  <c r="B124" i="62" s="1"/>
  <c r="F78" i="62"/>
  <c r="E78" i="62"/>
  <c r="D78" i="62"/>
  <c r="G78" i="62" s="1"/>
  <c r="C78" i="62"/>
  <c r="B77" i="62"/>
  <c r="B87" i="62" s="1"/>
  <c r="B88" i="62" s="1"/>
  <c r="E76" i="62"/>
  <c r="D76" i="62"/>
  <c r="G76" i="62" s="1"/>
  <c r="C76" i="62"/>
  <c r="F76" i="62" s="1"/>
  <c r="G75" i="62"/>
  <c r="F75" i="62"/>
  <c r="G74" i="62"/>
  <c r="F74" i="62"/>
  <c r="F73" i="62"/>
  <c r="E73" i="62"/>
  <c r="D73" i="62"/>
  <c r="C73" i="62"/>
  <c r="G72" i="62"/>
  <c r="F72" i="62"/>
  <c r="E71" i="62"/>
  <c r="D71" i="62"/>
  <c r="G71" i="62" s="1"/>
  <c r="C71" i="62"/>
  <c r="F71" i="62" s="1"/>
  <c r="B68" i="62"/>
  <c r="B67" i="62"/>
  <c r="B126" i="62" s="1"/>
  <c r="F66" i="62"/>
  <c r="E66" i="62"/>
  <c r="D66" i="62"/>
  <c r="G66" i="62" s="1"/>
  <c r="C66" i="62"/>
  <c r="G65" i="62"/>
  <c r="E65" i="62"/>
  <c r="D65" i="62"/>
  <c r="C65" i="62"/>
  <c r="F65" i="62" s="1"/>
  <c r="E64" i="62"/>
  <c r="D64" i="62"/>
  <c r="G64" i="62" s="1"/>
  <c r="C64" i="62"/>
  <c r="C67" i="62" s="1"/>
  <c r="E63" i="62"/>
  <c r="D63" i="62"/>
  <c r="D95" i="62" s="1"/>
  <c r="C63" i="62"/>
  <c r="C95" i="62" s="1"/>
  <c r="G62" i="62"/>
  <c r="F62" i="62"/>
  <c r="B60" i="62"/>
  <c r="B102" i="62" s="1"/>
  <c r="G59" i="62"/>
  <c r="F59" i="62"/>
  <c r="E58" i="62"/>
  <c r="D58" i="62"/>
  <c r="D60" i="62" s="1"/>
  <c r="C58" i="62"/>
  <c r="C60" i="62" s="1"/>
  <c r="E57" i="62"/>
  <c r="E60" i="62" s="1"/>
  <c r="D57" i="62"/>
  <c r="G57" i="62" s="1"/>
  <c r="C57" i="62"/>
  <c r="F57" i="62" s="1"/>
  <c r="G56" i="62"/>
  <c r="F56" i="62"/>
  <c r="F53" i="62"/>
  <c r="E53" i="62"/>
  <c r="D53" i="62"/>
  <c r="G53" i="62" s="1"/>
  <c r="C53" i="62"/>
  <c r="G52" i="62"/>
  <c r="F52" i="62"/>
  <c r="G51" i="62"/>
  <c r="F51" i="62"/>
  <c r="B50" i="62"/>
  <c r="B54" i="62" s="1"/>
  <c r="B69" i="62" s="1"/>
  <c r="E49" i="62"/>
  <c r="D49" i="62"/>
  <c r="G49" i="62" s="1"/>
  <c r="C49" i="62"/>
  <c r="F49" i="62" s="1"/>
  <c r="F48" i="62"/>
  <c r="E48" i="62"/>
  <c r="D48" i="62"/>
  <c r="G48" i="62" s="1"/>
  <c r="C48" i="62"/>
  <c r="G47" i="62"/>
  <c r="E47" i="62"/>
  <c r="E50" i="62" s="1"/>
  <c r="E54" i="62" s="1"/>
  <c r="D47" i="62"/>
  <c r="D50" i="62" s="1"/>
  <c r="C47" i="62"/>
  <c r="C50" i="62" s="1"/>
  <c r="E45" i="62"/>
  <c r="E89" i="62" s="1"/>
  <c r="E112" i="62" s="1"/>
  <c r="D45" i="62"/>
  <c r="D89" i="62" s="1"/>
  <c r="D112" i="62" s="1"/>
  <c r="C45" i="62"/>
  <c r="C89" i="62" s="1"/>
  <c r="C112" i="62" s="1"/>
  <c r="B45" i="62"/>
  <c r="B89" i="62" s="1"/>
  <c r="B112" i="62" s="1"/>
  <c r="F42" i="62"/>
  <c r="E42" i="62"/>
  <c r="D42" i="62"/>
  <c r="G42" i="62" s="1"/>
  <c r="C42" i="62"/>
  <c r="G41" i="62"/>
  <c r="E41" i="62"/>
  <c r="D41" i="62"/>
  <c r="D118" i="62" s="1"/>
  <c r="C41" i="62"/>
  <c r="F41" i="62" s="1"/>
  <c r="E40" i="62"/>
  <c r="D40" i="62"/>
  <c r="D117" i="62" s="1"/>
  <c r="C40" i="62"/>
  <c r="C117" i="62" s="1"/>
  <c r="E39" i="62"/>
  <c r="D39" i="62"/>
  <c r="G39" i="62" s="1"/>
  <c r="C39" i="62"/>
  <c r="F39" i="62" s="1"/>
  <c r="E36" i="62"/>
  <c r="D36" i="62"/>
  <c r="G36" i="62" s="1"/>
  <c r="C36" i="62"/>
  <c r="C129" i="62" s="1"/>
  <c r="G34" i="62"/>
  <c r="F34" i="62"/>
  <c r="E33" i="62"/>
  <c r="D33" i="62"/>
  <c r="D121" i="62" s="1"/>
  <c r="C33" i="62"/>
  <c r="C121" i="62" s="1"/>
  <c r="E31" i="62"/>
  <c r="D31" i="62"/>
  <c r="D120" i="62" s="1"/>
  <c r="C31" i="62"/>
  <c r="C120" i="62" s="1"/>
  <c r="G29" i="62"/>
  <c r="E29" i="62"/>
  <c r="D29" i="62"/>
  <c r="D115" i="62" s="1"/>
  <c r="C29" i="62"/>
  <c r="C115" i="62" s="1"/>
  <c r="E27" i="62"/>
  <c r="B27" i="62"/>
  <c r="E26" i="62"/>
  <c r="D26" i="62"/>
  <c r="D116" i="62" s="1"/>
  <c r="C26" i="62"/>
  <c r="C116" i="62" s="1"/>
  <c r="G25" i="62"/>
  <c r="F25" i="62"/>
  <c r="C23" i="62"/>
  <c r="C99" i="62" s="1"/>
  <c r="B23" i="62"/>
  <c r="B99" i="62" s="1"/>
  <c r="E22" i="62"/>
  <c r="D22" i="62"/>
  <c r="G22" i="62" s="1"/>
  <c r="C22" i="62"/>
  <c r="F22" i="62" s="1"/>
  <c r="F21" i="62"/>
  <c r="E21" i="62"/>
  <c r="E23" i="62" s="1"/>
  <c r="D21" i="62"/>
  <c r="D23" i="62" s="1"/>
  <c r="C21" i="62"/>
  <c r="C19" i="62"/>
  <c r="C105" i="62" s="1"/>
  <c r="E18" i="62"/>
  <c r="D18" i="62"/>
  <c r="G18" i="62" s="1"/>
  <c r="C18" i="62"/>
  <c r="F18" i="62" s="1"/>
  <c r="F17" i="62"/>
  <c r="D17" i="62"/>
  <c r="D108" i="62" s="1"/>
  <c r="C17" i="62"/>
  <c r="C108" i="62" s="1"/>
  <c r="B17" i="62"/>
  <c r="B19" i="62" s="1"/>
  <c r="G16" i="62"/>
  <c r="F16" i="62"/>
  <c r="F15" i="62"/>
  <c r="E15" i="62"/>
  <c r="E17" i="62" s="1"/>
  <c r="E13" i="62"/>
  <c r="D13" i="62"/>
  <c r="C13" i="62"/>
  <c r="A11" i="62"/>
  <c r="B129" i="61"/>
  <c r="E122" i="61"/>
  <c r="E128" i="61" s="1"/>
  <c r="E130" i="61" s="1"/>
  <c r="B121" i="61"/>
  <c r="B120" i="61"/>
  <c r="B119" i="61"/>
  <c r="B118" i="61"/>
  <c r="B117" i="61"/>
  <c r="D116" i="61"/>
  <c r="C116" i="61"/>
  <c r="B116" i="61"/>
  <c r="B115" i="61"/>
  <c r="G86" i="61"/>
  <c r="E86" i="61"/>
  <c r="D86" i="61"/>
  <c r="C86" i="61"/>
  <c r="F86" i="61" s="1"/>
  <c r="E85" i="61"/>
  <c r="D85" i="61"/>
  <c r="G85" i="61" s="1"/>
  <c r="C85" i="61"/>
  <c r="F85" i="61" s="1"/>
  <c r="E84" i="61"/>
  <c r="B84" i="61"/>
  <c r="G83" i="61"/>
  <c r="E83" i="61"/>
  <c r="D83" i="61"/>
  <c r="C83" i="61"/>
  <c r="F83" i="61" s="1"/>
  <c r="E82" i="61"/>
  <c r="D82" i="61"/>
  <c r="G82" i="61" s="1"/>
  <c r="C82" i="61"/>
  <c r="F82" i="61" s="1"/>
  <c r="E81" i="61"/>
  <c r="E80" i="61" s="1"/>
  <c r="D81" i="61"/>
  <c r="G81" i="61" s="1"/>
  <c r="C81" i="61"/>
  <c r="B80" i="61"/>
  <c r="B97" i="61" s="1"/>
  <c r="E79" i="61"/>
  <c r="D124" i="61" s="1"/>
  <c r="D79" i="61"/>
  <c r="G79" i="61" s="1"/>
  <c r="C79" i="61"/>
  <c r="B124" i="61" s="1"/>
  <c r="E78" i="61"/>
  <c r="E77" i="61" s="1"/>
  <c r="D78" i="61"/>
  <c r="G78" i="61" s="1"/>
  <c r="C78" i="61"/>
  <c r="B77" i="61"/>
  <c r="B101" i="61" s="1"/>
  <c r="E76" i="61"/>
  <c r="D76" i="61"/>
  <c r="G76" i="61" s="1"/>
  <c r="C76" i="61"/>
  <c r="F76" i="61" s="1"/>
  <c r="G75" i="61"/>
  <c r="F75" i="61"/>
  <c r="G74" i="61"/>
  <c r="F74" i="61"/>
  <c r="E73" i="61"/>
  <c r="E87" i="61" s="1"/>
  <c r="D73" i="61"/>
  <c r="C73" i="61"/>
  <c r="G72" i="61"/>
  <c r="F72" i="61"/>
  <c r="E71" i="61"/>
  <c r="D71" i="61"/>
  <c r="G71" i="61" s="1"/>
  <c r="C71" i="61"/>
  <c r="F71" i="61" s="1"/>
  <c r="B67" i="61"/>
  <c r="E66" i="61"/>
  <c r="D66" i="61"/>
  <c r="G66" i="61" s="1"/>
  <c r="C66" i="61"/>
  <c r="F65" i="61"/>
  <c r="E65" i="61"/>
  <c r="D65" i="61"/>
  <c r="G65" i="61" s="1"/>
  <c r="C65" i="61"/>
  <c r="G64" i="61"/>
  <c r="E64" i="61"/>
  <c r="D64" i="61"/>
  <c r="C64" i="61"/>
  <c r="F64" i="61" s="1"/>
  <c r="E63" i="61"/>
  <c r="E95" i="61" s="1"/>
  <c r="D63" i="61"/>
  <c r="G63" i="61" s="1"/>
  <c r="C63" i="61"/>
  <c r="G62" i="61"/>
  <c r="F62" i="61"/>
  <c r="B60" i="61"/>
  <c r="G59" i="61"/>
  <c r="F59" i="61"/>
  <c r="G58" i="61"/>
  <c r="E58" i="61"/>
  <c r="D58" i="61"/>
  <c r="C58" i="61"/>
  <c r="F58" i="61" s="1"/>
  <c r="E57" i="61"/>
  <c r="E60" i="61" s="1"/>
  <c r="D57" i="61"/>
  <c r="G57" i="61" s="1"/>
  <c r="C57" i="61"/>
  <c r="C60" i="61" s="1"/>
  <c r="G56" i="61"/>
  <c r="F56" i="61"/>
  <c r="E53" i="61"/>
  <c r="D53" i="61"/>
  <c r="G53" i="61" s="1"/>
  <c r="C53" i="61"/>
  <c r="G52" i="61"/>
  <c r="F52" i="61"/>
  <c r="G51" i="61"/>
  <c r="F51" i="61"/>
  <c r="B50" i="61"/>
  <c r="B54" i="61" s="1"/>
  <c r="E49" i="61"/>
  <c r="D49" i="61"/>
  <c r="G49" i="61" s="1"/>
  <c r="C49" i="61"/>
  <c r="F49" i="61" s="1"/>
  <c r="E48" i="61"/>
  <c r="D48" i="61"/>
  <c r="G48" i="61" s="1"/>
  <c r="C48" i="61"/>
  <c r="F47" i="61"/>
  <c r="E47" i="61"/>
  <c r="E50" i="61" s="1"/>
  <c r="E54" i="61" s="1"/>
  <c r="D47" i="61"/>
  <c r="D50" i="61" s="1"/>
  <c r="C47" i="61"/>
  <c r="C50" i="61" s="1"/>
  <c r="E45" i="61"/>
  <c r="E89" i="61" s="1"/>
  <c r="E112" i="61" s="1"/>
  <c r="D45" i="61"/>
  <c r="D89" i="61" s="1"/>
  <c r="D112" i="61" s="1"/>
  <c r="C45" i="61"/>
  <c r="C89" i="61" s="1"/>
  <c r="C112" i="61" s="1"/>
  <c r="B45" i="61"/>
  <c r="B89" i="61" s="1"/>
  <c r="B112" i="61" s="1"/>
  <c r="E42" i="61"/>
  <c r="D42" i="61"/>
  <c r="G42" i="61" s="1"/>
  <c r="C42" i="61"/>
  <c r="F41" i="61"/>
  <c r="E41" i="61"/>
  <c r="G41" i="61" s="1"/>
  <c r="D41" i="61"/>
  <c r="D118" i="61" s="1"/>
  <c r="C41" i="61"/>
  <c r="C118" i="61" s="1"/>
  <c r="G40" i="61"/>
  <c r="E40" i="61"/>
  <c r="D40" i="61"/>
  <c r="D117" i="61" s="1"/>
  <c r="C40" i="61"/>
  <c r="C117" i="61" s="1"/>
  <c r="E39" i="61"/>
  <c r="D39" i="61"/>
  <c r="G39" i="61" s="1"/>
  <c r="C39" i="61"/>
  <c r="F39" i="61" s="1"/>
  <c r="G36" i="61"/>
  <c r="E36" i="61"/>
  <c r="D36" i="61"/>
  <c r="D129" i="61" s="1"/>
  <c r="C36" i="61"/>
  <c r="F36" i="61" s="1"/>
  <c r="G34" i="61"/>
  <c r="F34" i="61"/>
  <c r="E33" i="61"/>
  <c r="D33" i="61"/>
  <c r="D121" i="61" s="1"/>
  <c r="C33" i="61"/>
  <c r="C121" i="61" s="1"/>
  <c r="G31" i="61"/>
  <c r="E31" i="61"/>
  <c r="D31" i="61"/>
  <c r="D120" i="61" s="1"/>
  <c r="C31" i="61"/>
  <c r="C120" i="61" s="1"/>
  <c r="F29" i="61"/>
  <c r="E29" i="61"/>
  <c r="G29" i="61" s="1"/>
  <c r="D29" i="61"/>
  <c r="D115" i="61" s="1"/>
  <c r="C29" i="61"/>
  <c r="C115" i="61" s="1"/>
  <c r="B28" i="61"/>
  <c r="B104" i="61" s="1"/>
  <c r="D27" i="61"/>
  <c r="G27" i="61" s="1"/>
  <c r="C27" i="61"/>
  <c r="B27" i="61"/>
  <c r="G26" i="61"/>
  <c r="F26" i="61"/>
  <c r="E26" i="61"/>
  <c r="F25" i="61"/>
  <c r="E25" i="61"/>
  <c r="E27" i="61" s="1"/>
  <c r="E23" i="61"/>
  <c r="B23" i="61"/>
  <c r="B99" i="61" s="1"/>
  <c r="G22" i="61"/>
  <c r="E22" i="61"/>
  <c r="D22" i="61"/>
  <c r="C22" i="61"/>
  <c r="F22" i="61" s="1"/>
  <c r="E21" i="61"/>
  <c r="D21" i="61"/>
  <c r="D23" i="61" s="1"/>
  <c r="G23" i="61" s="1"/>
  <c r="C21" i="61"/>
  <c r="C23" i="61" s="1"/>
  <c r="F23" i="61" s="1"/>
  <c r="B19" i="61"/>
  <c r="B105" i="61" s="1"/>
  <c r="G18" i="61"/>
  <c r="E18" i="61"/>
  <c r="D18" i="61"/>
  <c r="C18" i="61"/>
  <c r="F18" i="61" s="1"/>
  <c r="D17" i="61"/>
  <c r="D19" i="61" s="1"/>
  <c r="C17" i="61"/>
  <c r="C108" i="61" s="1"/>
  <c r="B17" i="61"/>
  <c r="B108" i="61" s="1"/>
  <c r="G16" i="61"/>
  <c r="F16" i="61"/>
  <c r="G15" i="61"/>
  <c r="F15" i="61"/>
  <c r="E15" i="61"/>
  <c r="E17" i="61" s="1"/>
  <c r="E13" i="61"/>
  <c r="D13" i="61"/>
  <c r="C13" i="61"/>
  <c r="A11" i="61"/>
  <c r="E124" i="66"/>
  <c r="E122" i="66"/>
  <c r="D118" i="66"/>
  <c r="E116" i="66"/>
  <c r="E80" i="66"/>
  <c r="D80" i="66"/>
  <c r="G80" i="66" s="1"/>
  <c r="C80" i="66"/>
  <c r="F80" i="66" s="1"/>
  <c r="B80" i="66"/>
  <c r="G79" i="66"/>
  <c r="E79" i="66"/>
  <c r="D79" i="66"/>
  <c r="C79" i="66"/>
  <c r="F79" i="66" s="1"/>
  <c r="B79" i="66"/>
  <c r="B78" i="66" s="1"/>
  <c r="E78" i="66"/>
  <c r="D119" i="66" s="1"/>
  <c r="D78" i="66"/>
  <c r="G77" i="66"/>
  <c r="E77" i="66"/>
  <c r="D77" i="66"/>
  <c r="C77" i="66"/>
  <c r="F77" i="66" s="1"/>
  <c r="B77" i="66"/>
  <c r="E76" i="66"/>
  <c r="D76" i="66"/>
  <c r="G76" i="66" s="1"/>
  <c r="C76" i="66"/>
  <c r="F76" i="66" s="1"/>
  <c r="B76" i="66"/>
  <c r="G75" i="66"/>
  <c r="E75" i="66"/>
  <c r="D75" i="66"/>
  <c r="C75" i="66"/>
  <c r="C74" i="66" s="1"/>
  <c r="B75" i="66"/>
  <c r="B74" i="66" s="1"/>
  <c r="E74" i="66"/>
  <c r="D74" i="66"/>
  <c r="G73" i="66"/>
  <c r="F73" i="66"/>
  <c r="E73" i="66"/>
  <c r="D73" i="66"/>
  <c r="C73" i="66"/>
  <c r="B73" i="66"/>
  <c r="E72" i="66"/>
  <c r="E71" i="66" s="1"/>
  <c r="D72" i="66"/>
  <c r="C72" i="66"/>
  <c r="B72" i="66"/>
  <c r="B71" i="66"/>
  <c r="E70" i="66"/>
  <c r="D70" i="66"/>
  <c r="G70" i="66" s="1"/>
  <c r="C70" i="66"/>
  <c r="B70" i="66"/>
  <c r="G69" i="66"/>
  <c r="F69" i="66"/>
  <c r="E69" i="66"/>
  <c r="D69" i="66"/>
  <c r="C69" i="66"/>
  <c r="B69" i="66"/>
  <c r="E68" i="66"/>
  <c r="D68" i="66"/>
  <c r="G68" i="66" s="1"/>
  <c r="C68" i="66"/>
  <c r="F68" i="66" s="1"/>
  <c r="B68" i="66"/>
  <c r="G67" i="66"/>
  <c r="F67" i="66"/>
  <c r="E67" i="66"/>
  <c r="E81" i="66" s="1"/>
  <c r="D67" i="66"/>
  <c r="C67" i="66"/>
  <c r="B67" i="66"/>
  <c r="E66" i="66"/>
  <c r="D66" i="66"/>
  <c r="G66" i="66" s="1"/>
  <c r="C66" i="66"/>
  <c r="B66" i="66"/>
  <c r="G65" i="66"/>
  <c r="F65" i="66"/>
  <c r="E65" i="66"/>
  <c r="D65" i="66"/>
  <c r="C65" i="66"/>
  <c r="B65" i="66"/>
  <c r="E60" i="66"/>
  <c r="D60" i="66"/>
  <c r="G60" i="66" s="1"/>
  <c r="C60" i="66"/>
  <c r="F60" i="66" s="1"/>
  <c r="B60" i="66"/>
  <c r="G59" i="66"/>
  <c r="F59" i="66"/>
  <c r="E59" i="66"/>
  <c r="D59" i="66"/>
  <c r="C59" i="66"/>
  <c r="B59" i="66"/>
  <c r="E58" i="66"/>
  <c r="D58" i="66"/>
  <c r="G58" i="66" s="1"/>
  <c r="C58" i="66"/>
  <c r="B58" i="66"/>
  <c r="G57" i="66"/>
  <c r="F57" i="66"/>
  <c r="E57" i="66"/>
  <c r="D57" i="66"/>
  <c r="C57" i="66"/>
  <c r="B57" i="66"/>
  <c r="B61" i="66" s="1"/>
  <c r="E56" i="66"/>
  <c r="E61" i="66" s="1"/>
  <c r="D56" i="66"/>
  <c r="D61" i="66" s="1"/>
  <c r="D120" i="66" s="1"/>
  <c r="C56" i="66"/>
  <c r="B56" i="66"/>
  <c r="E53" i="66"/>
  <c r="D53" i="66"/>
  <c r="G53" i="66" s="1"/>
  <c r="C53" i="66"/>
  <c r="B53" i="66"/>
  <c r="G52" i="66"/>
  <c r="F52" i="66"/>
  <c r="E52" i="66"/>
  <c r="D52" i="66"/>
  <c r="C52" i="66"/>
  <c r="B52" i="66"/>
  <c r="E51" i="66"/>
  <c r="D51" i="66"/>
  <c r="G51" i="66" s="1"/>
  <c r="C51" i="66"/>
  <c r="B51" i="66"/>
  <c r="G50" i="66"/>
  <c r="F50" i="66"/>
  <c r="E50" i="66"/>
  <c r="E54" i="66" s="1"/>
  <c r="D50" i="66"/>
  <c r="D54" i="66" s="1"/>
  <c r="C50" i="66"/>
  <c r="C54" i="66" s="1"/>
  <c r="B50" i="66"/>
  <c r="B54" i="66" s="1"/>
  <c r="G47" i="66"/>
  <c r="F47" i="66"/>
  <c r="E47" i="66"/>
  <c r="D47" i="66"/>
  <c r="C47" i="66"/>
  <c r="B47" i="66"/>
  <c r="E46" i="66"/>
  <c r="D46" i="66"/>
  <c r="G46" i="66" s="1"/>
  <c r="C46" i="66"/>
  <c r="B46" i="66"/>
  <c r="G45" i="66"/>
  <c r="F45" i="66"/>
  <c r="E45" i="66"/>
  <c r="D45" i="66"/>
  <c r="C45" i="66"/>
  <c r="B45" i="66"/>
  <c r="G43" i="66"/>
  <c r="F43" i="66"/>
  <c r="E43" i="66"/>
  <c r="D43" i="66"/>
  <c r="C43" i="66"/>
  <c r="B43" i="66"/>
  <c r="E42" i="66"/>
  <c r="E44" i="66" s="1"/>
  <c r="E48" i="66" s="1"/>
  <c r="D42" i="66"/>
  <c r="G42" i="66" s="1"/>
  <c r="C42" i="66"/>
  <c r="B42" i="66"/>
  <c r="G41" i="66"/>
  <c r="F41" i="66"/>
  <c r="E41" i="66"/>
  <c r="D41" i="66"/>
  <c r="C41" i="66"/>
  <c r="C44" i="66" s="1"/>
  <c r="B41" i="66"/>
  <c r="B44" i="66" s="1"/>
  <c r="B48" i="66" s="1"/>
  <c r="E39" i="66"/>
  <c r="E83" i="66" s="1"/>
  <c r="E106" i="66" s="1"/>
  <c r="D39" i="66"/>
  <c r="D83" i="66" s="1"/>
  <c r="D106" i="66" s="1"/>
  <c r="C39" i="66"/>
  <c r="C83" i="66" s="1"/>
  <c r="C106" i="66" s="1"/>
  <c r="B39" i="66"/>
  <c r="B83" i="66" s="1"/>
  <c r="B106" i="66" s="1"/>
  <c r="G36" i="66"/>
  <c r="F36" i="66"/>
  <c r="E36" i="66"/>
  <c r="D36" i="66"/>
  <c r="C36" i="66"/>
  <c r="B36" i="66"/>
  <c r="E35" i="66"/>
  <c r="D35" i="66"/>
  <c r="D112" i="66" s="1"/>
  <c r="C35" i="66"/>
  <c r="C112" i="66" s="1"/>
  <c r="B35" i="66"/>
  <c r="B112" i="66" s="1"/>
  <c r="G34" i="66"/>
  <c r="F34" i="66"/>
  <c r="E34" i="66"/>
  <c r="D34" i="66"/>
  <c r="D111" i="66" s="1"/>
  <c r="C34" i="66"/>
  <c r="C111" i="66" s="1"/>
  <c r="B34" i="66"/>
  <c r="B111" i="66" s="1"/>
  <c r="E33" i="66"/>
  <c r="D33" i="66"/>
  <c r="G33" i="66" s="1"/>
  <c r="C33" i="66"/>
  <c r="B33" i="66"/>
  <c r="E30" i="66"/>
  <c r="D30" i="66"/>
  <c r="C30" i="66"/>
  <c r="B30" i="66"/>
  <c r="E28" i="66"/>
  <c r="D28" i="66"/>
  <c r="G28" i="66" s="1"/>
  <c r="C28" i="66"/>
  <c r="B28" i="66"/>
  <c r="G27" i="66"/>
  <c r="F27" i="66"/>
  <c r="E27" i="66"/>
  <c r="D27" i="66"/>
  <c r="D115" i="66" s="1"/>
  <c r="C27" i="66"/>
  <c r="C115" i="66" s="1"/>
  <c r="B27" i="66"/>
  <c r="B115" i="66" s="1"/>
  <c r="G25" i="66"/>
  <c r="F25" i="66"/>
  <c r="E25" i="66"/>
  <c r="D25" i="66"/>
  <c r="D114" i="66" s="1"/>
  <c r="C25" i="66"/>
  <c r="C114" i="66" s="1"/>
  <c r="B25" i="66"/>
  <c r="B114" i="66" s="1"/>
  <c r="G23" i="66"/>
  <c r="F23" i="66"/>
  <c r="E23" i="66"/>
  <c r="D23" i="66"/>
  <c r="D109" i="66" s="1"/>
  <c r="C23" i="66"/>
  <c r="C109" i="66" s="1"/>
  <c r="B23" i="66"/>
  <c r="B109" i="66" s="1"/>
  <c r="E20" i="66"/>
  <c r="D20" i="66"/>
  <c r="D110" i="66" s="1"/>
  <c r="C20" i="66"/>
  <c r="C110" i="66" s="1"/>
  <c r="B20" i="66"/>
  <c r="B110" i="66" s="1"/>
  <c r="G19" i="66"/>
  <c r="F19" i="66"/>
  <c r="E19" i="66"/>
  <c r="E21" i="66" s="1"/>
  <c r="D19" i="66"/>
  <c r="D21" i="66" s="1"/>
  <c r="G21" i="66" s="1"/>
  <c r="C19" i="66"/>
  <c r="C21" i="66" s="1"/>
  <c r="B19" i="66"/>
  <c r="B21" i="66" s="1"/>
  <c r="G16" i="66"/>
  <c r="F16" i="66"/>
  <c r="E16" i="66"/>
  <c r="D16" i="66"/>
  <c r="C16" i="66"/>
  <c r="B16" i="66"/>
  <c r="E15" i="66"/>
  <c r="E17" i="66" s="1"/>
  <c r="E93" i="66" s="1"/>
  <c r="D15" i="66"/>
  <c r="G15" i="66" s="1"/>
  <c r="C15" i="66"/>
  <c r="C17" i="66" s="1"/>
  <c r="B15" i="66"/>
  <c r="B17" i="66" s="1"/>
  <c r="E12" i="66"/>
  <c r="D12" i="66"/>
  <c r="G12" i="66" s="1"/>
  <c r="C12" i="66"/>
  <c r="F12" i="66" s="1"/>
  <c r="B12" i="66"/>
  <c r="E10" i="66"/>
  <c r="D10" i="66"/>
  <c r="G10" i="66" s="1"/>
  <c r="C10" i="66"/>
  <c r="F10" i="66" s="1"/>
  <c r="B10" i="66"/>
  <c r="G9" i="66"/>
  <c r="F9" i="66"/>
  <c r="E9" i="66"/>
  <c r="E11" i="66" s="1"/>
  <c r="D9" i="66"/>
  <c r="D11" i="66" s="1"/>
  <c r="C9" i="66"/>
  <c r="C11" i="66" s="1"/>
  <c r="B9" i="66"/>
  <c r="B11" i="66" s="1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G49" i="51" s="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F17" i="51"/>
  <c r="E17" i="51"/>
  <c r="D17" i="51"/>
  <c r="C17" i="51"/>
  <c r="B17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J10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E9" i="48"/>
  <c r="D9" i="48"/>
  <c r="C9" i="48"/>
  <c r="B9" i="48"/>
  <c r="O8" i="48"/>
  <c r="L8" i="48"/>
  <c r="I8" i="48"/>
  <c r="H8" i="48"/>
  <c r="G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D6" i="48"/>
  <c r="C6" i="48"/>
  <c r="B6" i="48"/>
  <c r="O5" i="48"/>
  <c r="L5" i="48"/>
  <c r="I5" i="48"/>
  <c r="H5" i="48"/>
  <c r="G5" i="48"/>
  <c r="G14" i="48" s="1"/>
  <c r="D5" i="48"/>
  <c r="C5" i="48"/>
  <c r="B5" i="48"/>
  <c r="O4" i="48"/>
  <c r="O14" i="48" s="1"/>
  <c r="C18" i="48" s="1"/>
  <c r="C19" i="48" s="1"/>
  <c r="C26" i="48" s="1"/>
  <c r="L4" i="48"/>
  <c r="I4" i="48"/>
  <c r="I14" i="48" s="1"/>
  <c r="H4" i="48"/>
  <c r="H14" i="48" s="1"/>
  <c r="G4" i="48"/>
  <c r="D4" i="48"/>
  <c r="C4" i="48"/>
  <c r="B4" i="48"/>
  <c r="C57" i="50"/>
  <c r="C44" i="50"/>
  <c r="E30" i="50"/>
  <c r="E31" i="50" s="1"/>
  <c r="C45" i="50" s="1"/>
  <c r="E16" i="50"/>
  <c r="C59" i="59"/>
  <c r="C48" i="59"/>
  <c r="G35" i="59"/>
  <c r="F34" i="59"/>
  <c r="G34" i="59" s="1"/>
  <c r="G31" i="59"/>
  <c r="F31" i="59"/>
  <c r="G30" i="59"/>
  <c r="F30" i="59"/>
  <c r="G29" i="59"/>
  <c r="F29" i="59"/>
  <c r="G28" i="59"/>
  <c r="F27" i="59"/>
  <c r="G27" i="59" s="1"/>
  <c r="K25" i="59"/>
  <c r="J25" i="59"/>
  <c r="F25" i="59"/>
  <c r="E25" i="59"/>
  <c r="K24" i="59"/>
  <c r="J24" i="59"/>
  <c r="F24" i="59"/>
  <c r="E24" i="59"/>
  <c r="K23" i="59"/>
  <c r="F23" i="59"/>
  <c r="G20" i="59"/>
  <c r="F20" i="59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N103" i="3" s="1"/>
  <c r="B14" i="52" s="1"/>
  <c r="B52" i="52" s="1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M23" i="51" s="1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P476" i="17" s="1"/>
  <c r="G464" i="17"/>
  <c r="A464" i="17"/>
  <c r="T453" i="17"/>
  <c r="M22" i="51" s="1"/>
  <c r="S453" i="17"/>
  <c r="L22" i="51" s="1"/>
  <c r="R453" i="17"/>
  <c r="Q453" i="17"/>
  <c r="J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M21" i="51" s="1"/>
  <c r="S430" i="17"/>
  <c r="L21" i="51" s="1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P430" i="17" s="1"/>
  <c r="G418" i="17"/>
  <c r="A418" i="17"/>
  <c r="T407" i="17"/>
  <c r="M20" i="51" s="1"/>
  <c r="S407" i="17"/>
  <c r="L20" i="51" s="1"/>
  <c r="R407" i="17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V395" i="17"/>
  <c r="U395" i="17"/>
  <c r="P395" i="17"/>
  <c r="G395" i="17"/>
  <c r="A395" i="17"/>
  <c r="T384" i="17"/>
  <c r="M19" i="51" s="1"/>
  <c r="S384" i="17"/>
  <c r="L19" i="51" s="1"/>
  <c r="R384" i="17"/>
  <c r="Q384" i="17"/>
  <c r="J19" i="51" s="1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P384" i="17" s="1"/>
  <c r="G372" i="17"/>
  <c r="A372" i="17"/>
  <c r="T361" i="17"/>
  <c r="M18" i="51" s="1"/>
  <c r="O18" i="51" s="1"/>
  <c r="S361" i="17"/>
  <c r="L18" i="51" s="1"/>
  <c r="R361" i="17"/>
  <c r="Q361" i="17"/>
  <c r="T362" i="17" s="1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P350" i="17"/>
  <c r="G350" i="17"/>
  <c r="A350" i="17"/>
  <c r="V349" i="17"/>
  <c r="U349" i="17"/>
  <c r="P349" i="17"/>
  <c r="G349" i="17"/>
  <c r="A349" i="17"/>
  <c r="T338" i="17"/>
  <c r="M17" i="51" s="1"/>
  <c r="S338" i="17"/>
  <c r="L17" i="51" s="1"/>
  <c r="R338" i="17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G326" i="17"/>
  <c r="A326" i="17"/>
  <c r="T315" i="17"/>
  <c r="M16" i="51" s="1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V305" i="17"/>
  <c r="U305" i="17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Q292" i="17"/>
  <c r="J15" i="51" s="1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P292" i="17" s="1"/>
  <c r="G280" i="17"/>
  <c r="A280" i="17"/>
  <c r="T269" i="17"/>
  <c r="M14" i="51" s="1"/>
  <c r="S269" i="17"/>
  <c r="L14" i="51" s="1"/>
  <c r="R269" i="17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P258" i="17"/>
  <c r="G258" i="17"/>
  <c r="A258" i="17"/>
  <c r="V257" i="17"/>
  <c r="U257" i="17"/>
  <c r="P257" i="17"/>
  <c r="G257" i="17"/>
  <c r="A257" i="17"/>
  <c r="T246" i="17"/>
  <c r="M13" i="51" s="1"/>
  <c r="S246" i="17"/>
  <c r="L13" i="51" s="1"/>
  <c r="R246" i="17"/>
  <c r="Q246" i="17"/>
  <c r="J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G234" i="17"/>
  <c r="A234" i="17"/>
  <c r="T223" i="17"/>
  <c r="M12" i="51" s="1"/>
  <c r="S223" i="17"/>
  <c r="L12" i="51" s="1"/>
  <c r="R223" i="17"/>
  <c r="Q223" i="17"/>
  <c r="J12" i="51" s="1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R200" i="17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U188" i="17"/>
  <c r="P188" i="17"/>
  <c r="P200" i="17" s="1"/>
  <c r="G188" i="17"/>
  <c r="A188" i="17"/>
  <c r="T177" i="17"/>
  <c r="M10" i="51" s="1"/>
  <c r="O10" i="51" s="1"/>
  <c r="S177" i="17"/>
  <c r="L10" i="51" s="1"/>
  <c r="R177" i="17"/>
  <c r="Q177" i="17"/>
  <c r="T178" i="17" s="1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P166" i="17"/>
  <c r="G166" i="17"/>
  <c r="A166" i="17"/>
  <c r="V165" i="17"/>
  <c r="U165" i="17"/>
  <c r="P165" i="17"/>
  <c r="G165" i="17"/>
  <c r="A165" i="17"/>
  <c r="T154" i="17"/>
  <c r="M9" i="51" s="1"/>
  <c r="S154" i="17"/>
  <c r="L9" i="51" s="1"/>
  <c r="R154" i="17"/>
  <c r="Q154" i="17"/>
  <c r="J9" i="51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G142" i="17"/>
  <c r="A142" i="17"/>
  <c r="T131" i="17"/>
  <c r="M8" i="51" s="1"/>
  <c r="S131" i="17"/>
  <c r="L8" i="51" s="1"/>
  <c r="R131" i="17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U119" i="17"/>
  <c r="P119" i="17"/>
  <c r="G119" i="17"/>
  <c r="A119" i="17"/>
  <c r="T108" i="17"/>
  <c r="M7" i="51" s="1"/>
  <c r="S108" i="17"/>
  <c r="L7" i="51" s="1"/>
  <c r="R108" i="17"/>
  <c r="Q108" i="17"/>
  <c r="J7" i="51" s="1"/>
  <c r="O7" i="51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P96" i="17"/>
  <c r="P108" i="17" s="1"/>
  <c r="G96" i="17"/>
  <c r="A96" i="17"/>
  <c r="T85" i="17"/>
  <c r="M6" i="51" s="1"/>
  <c r="S85" i="17"/>
  <c r="L6" i="51" s="1"/>
  <c r="R85" i="17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V12" i="17" s="1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P74" i="17"/>
  <c r="G74" i="17"/>
  <c r="A74" i="17"/>
  <c r="V73" i="17"/>
  <c r="U73" i="17"/>
  <c r="P73" i="17"/>
  <c r="G73" i="17"/>
  <c r="A73" i="17"/>
  <c r="T62" i="17"/>
  <c r="M5" i="51" s="1"/>
  <c r="S62" i="17"/>
  <c r="L5" i="51" s="1"/>
  <c r="N5" i="51" s="1"/>
  <c r="R62" i="17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U61" i="17"/>
  <c r="U15" i="17" s="1"/>
  <c r="P61" i="17"/>
  <c r="G61" i="17"/>
  <c r="A61" i="17"/>
  <c r="V60" i="17"/>
  <c r="V14" i="17" s="1"/>
  <c r="U60" i="17"/>
  <c r="P60" i="17"/>
  <c r="G60" i="17"/>
  <c r="A60" i="17"/>
  <c r="V59" i="17"/>
  <c r="V13" i="17" s="1"/>
  <c r="U59" i="17"/>
  <c r="P59" i="17"/>
  <c r="G59" i="17"/>
  <c r="A59" i="17"/>
  <c r="V58" i="17"/>
  <c r="U58" i="17"/>
  <c r="P58" i="17"/>
  <c r="G58" i="17"/>
  <c r="A58" i="17"/>
  <c r="V57" i="17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P50" i="17"/>
  <c r="P62" i="17" s="1"/>
  <c r="G50" i="17"/>
  <c r="A50" i="17"/>
  <c r="T39" i="17"/>
  <c r="M4" i="51" s="1"/>
  <c r="S39" i="17"/>
  <c r="L4" i="51" s="1"/>
  <c r="R39" i="17"/>
  <c r="Q39" i="17"/>
  <c r="J4" i="51" s="1"/>
  <c r="O39" i="17"/>
  <c r="O40" i="17" s="1"/>
  <c r="N39" i="17"/>
  <c r="N40" i="17" s="1"/>
  <c r="M39" i="17"/>
  <c r="M40" i="17" s="1"/>
  <c r="L39" i="17"/>
  <c r="L40" i="17" s="1"/>
  <c r="K39" i="17"/>
  <c r="K40" i="17" s="1"/>
  <c r="J39" i="17"/>
  <c r="J40" i="17" s="1"/>
  <c r="I39" i="17"/>
  <c r="I40" i="17" s="1"/>
  <c r="H39" i="17"/>
  <c r="H40" i="17" s="1"/>
  <c r="F39" i="17"/>
  <c r="F40" i="17" s="1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V38" i="17"/>
  <c r="U38" i="17"/>
  <c r="P38" i="17"/>
  <c r="G38" i="17"/>
  <c r="V37" i="17"/>
  <c r="U37" i="17"/>
  <c r="P37" i="17"/>
  <c r="G37" i="17"/>
  <c r="V36" i="17"/>
  <c r="U36" i="17"/>
  <c r="P36" i="17"/>
  <c r="P13" i="17" s="1"/>
  <c r="G36" i="17"/>
  <c r="V35" i="17"/>
  <c r="U35" i="17"/>
  <c r="U12" i="17" s="1"/>
  <c r="P35" i="17"/>
  <c r="G35" i="17"/>
  <c r="V34" i="17"/>
  <c r="U34" i="17"/>
  <c r="P34" i="17"/>
  <c r="P11" i="17" s="1"/>
  <c r="G34" i="17"/>
  <c r="V33" i="17"/>
  <c r="U33" i="17"/>
  <c r="P33" i="17"/>
  <c r="G33" i="17"/>
  <c r="V32" i="17"/>
  <c r="U32" i="17"/>
  <c r="P32" i="17"/>
  <c r="P9" i="17" s="1"/>
  <c r="G32" i="17"/>
  <c r="V31" i="17"/>
  <c r="V8" i="17" s="1"/>
  <c r="U31" i="17"/>
  <c r="U8" i="17" s="1"/>
  <c r="P31" i="17"/>
  <c r="G31" i="17"/>
  <c r="V30" i="17"/>
  <c r="U30" i="17"/>
  <c r="P30" i="17"/>
  <c r="P7" i="17" s="1"/>
  <c r="G30" i="17"/>
  <c r="V29" i="17"/>
  <c r="U29" i="17"/>
  <c r="P29" i="17"/>
  <c r="G29" i="17"/>
  <c r="V28" i="17"/>
  <c r="U28" i="17"/>
  <c r="P28" i="17"/>
  <c r="P5" i="17" s="1"/>
  <c r="G28" i="17"/>
  <c r="V27" i="17"/>
  <c r="V39" i="17" s="1"/>
  <c r="V40" i="17" s="1"/>
  <c r="U27" i="17"/>
  <c r="P27" i="17"/>
  <c r="G27" i="17"/>
  <c r="G39" i="17" s="1"/>
  <c r="G40" i="17" s="1"/>
  <c r="V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F15" i="17"/>
  <c r="E15" i="17"/>
  <c r="D15" i="17"/>
  <c r="C15" i="17"/>
  <c r="B15" i="17"/>
  <c r="A15" i="17"/>
  <c r="T14" i="17"/>
  <c r="S14" i="17"/>
  <c r="R14" i="17"/>
  <c r="Q14" i="17"/>
  <c r="O14" i="17"/>
  <c r="N14" i="17"/>
  <c r="M14" i="17"/>
  <c r="L14" i="17"/>
  <c r="K14" i="17"/>
  <c r="J14" i="17"/>
  <c r="I14" i="17"/>
  <c r="H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H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I12" i="17"/>
  <c r="H12" i="17"/>
  <c r="F12" i="17"/>
  <c r="E12" i="17"/>
  <c r="D12" i="17"/>
  <c r="C12" i="17"/>
  <c r="B12" i="17"/>
  <c r="A12" i="17"/>
  <c r="V11" i="17"/>
  <c r="T11" i="17"/>
  <c r="S11" i="17"/>
  <c r="R11" i="17"/>
  <c r="Q11" i="17"/>
  <c r="O11" i="17"/>
  <c r="N11" i="17"/>
  <c r="M11" i="17"/>
  <c r="L11" i="17"/>
  <c r="K11" i="17"/>
  <c r="J11" i="17"/>
  <c r="I11" i="17"/>
  <c r="H11" i="17"/>
  <c r="F11" i="17"/>
  <c r="E11" i="17"/>
  <c r="D11" i="17"/>
  <c r="C11" i="17"/>
  <c r="B11" i="17"/>
  <c r="A11" i="17"/>
  <c r="T10" i="17"/>
  <c r="S10" i="17"/>
  <c r="R10" i="17"/>
  <c r="Q10" i="17"/>
  <c r="O10" i="17"/>
  <c r="N10" i="17"/>
  <c r="M10" i="17"/>
  <c r="L10" i="17"/>
  <c r="K10" i="17"/>
  <c r="J10" i="17"/>
  <c r="I10" i="17"/>
  <c r="H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C9" i="17"/>
  <c r="B9" i="17"/>
  <c r="A9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B8" i="17"/>
  <c r="A8" i="17"/>
  <c r="V7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A7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U5" i="17"/>
  <c r="T5" i="17"/>
  <c r="S5" i="17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A5" i="17"/>
  <c r="T4" i="17"/>
  <c r="S4" i="17"/>
  <c r="R4" i="17"/>
  <c r="Q4" i="17"/>
  <c r="O4" i="17"/>
  <c r="N4" i="17"/>
  <c r="M4" i="17"/>
  <c r="L4" i="17"/>
  <c r="K4" i="17"/>
  <c r="J4" i="17"/>
  <c r="I4" i="17"/>
  <c r="H4" i="17"/>
  <c r="F4" i="17"/>
  <c r="E4" i="17"/>
  <c r="D4" i="17"/>
  <c r="C4" i="17"/>
  <c r="B4" i="17"/>
  <c r="A4" i="17"/>
  <c r="C1" i="17"/>
  <c r="F14" i="58"/>
  <c r="E55" i="57"/>
  <c r="D55" i="57"/>
  <c r="D118" i="60"/>
  <c r="C44" i="44" s="1"/>
  <c r="C118" i="60"/>
  <c r="B118" i="60"/>
  <c r="E44" i="44" s="1"/>
  <c r="D115" i="60"/>
  <c r="C115" i="60"/>
  <c r="B115" i="60"/>
  <c r="D114" i="60"/>
  <c r="C114" i="60"/>
  <c r="B114" i="60"/>
  <c r="D113" i="60"/>
  <c r="C113" i="60"/>
  <c r="B113" i="60"/>
  <c r="D112" i="60"/>
  <c r="C112" i="60"/>
  <c r="B112" i="60"/>
  <c r="B116" i="60" s="1"/>
  <c r="D111" i="60"/>
  <c r="D117" i="60" s="1"/>
  <c r="C111" i="60"/>
  <c r="B111" i="60"/>
  <c r="D110" i="60"/>
  <c r="D116" i="60" s="1"/>
  <c r="C110" i="60"/>
  <c r="C116" i="60" s="1"/>
  <c r="B110" i="60"/>
  <c r="D109" i="60"/>
  <c r="C109" i="60"/>
  <c r="B109" i="60"/>
  <c r="B101" i="60"/>
  <c r="D99" i="60"/>
  <c r="D101" i="60" s="1"/>
  <c r="C99" i="60"/>
  <c r="C101" i="60" s="1"/>
  <c r="B99" i="60"/>
  <c r="D98" i="60"/>
  <c r="C98" i="60"/>
  <c r="B98" i="60"/>
  <c r="C80" i="60"/>
  <c r="D78" i="60"/>
  <c r="D80" i="60" s="1"/>
  <c r="C78" i="60"/>
  <c r="B78" i="60"/>
  <c r="B80" i="60" s="1"/>
  <c r="D77" i="60"/>
  <c r="C77" i="60"/>
  <c r="B77" i="60"/>
  <c r="D59" i="60"/>
  <c r="D57" i="60"/>
  <c r="C57" i="60"/>
  <c r="C59" i="60" s="1"/>
  <c r="B57" i="60"/>
  <c r="B59" i="60" s="1"/>
  <c r="D56" i="60"/>
  <c r="C56" i="60"/>
  <c r="B56" i="60"/>
  <c r="D36" i="60"/>
  <c r="D38" i="60" s="1"/>
  <c r="C36" i="60"/>
  <c r="C38" i="60" s="1"/>
  <c r="B36" i="60"/>
  <c r="B38" i="60" s="1"/>
  <c r="D35" i="60"/>
  <c r="C35" i="60"/>
  <c r="B35" i="60"/>
  <c r="D15" i="60"/>
  <c r="D17" i="60" s="1"/>
  <c r="C15" i="60"/>
  <c r="C17" i="60" s="1"/>
  <c r="B15" i="60"/>
  <c r="B17" i="60" s="1"/>
  <c r="D14" i="60"/>
  <c r="C14" i="60"/>
  <c r="B14" i="60"/>
  <c r="E94" i="43"/>
  <c r="C94" i="43"/>
  <c r="D93" i="43"/>
  <c r="C93" i="43"/>
  <c r="E91" i="43"/>
  <c r="D91" i="43"/>
  <c r="C91" i="43"/>
  <c r="E89" i="43"/>
  <c r="D89" i="43"/>
  <c r="C89" i="43"/>
  <c r="E84" i="43"/>
  <c r="D84" i="43"/>
  <c r="C84" i="43"/>
  <c r="E82" i="43"/>
  <c r="D82" i="43"/>
  <c r="C82" i="43"/>
  <c r="E81" i="43"/>
  <c r="D81" i="43"/>
  <c r="D72" i="43"/>
  <c r="C72" i="43"/>
  <c r="E70" i="43"/>
  <c r="D70" i="43"/>
  <c r="C70" i="43"/>
  <c r="E66" i="43"/>
  <c r="D66" i="43"/>
  <c r="C66" i="43"/>
  <c r="E65" i="43"/>
  <c r="C65" i="43"/>
  <c r="E64" i="43"/>
  <c r="D64" i="43"/>
  <c r="C64" i="43"/>
  <c r="D62" i="43"/>
  <c r="C62" i="43"/>
  <c r="E59" i="43"/>
  <c r="D59" i="43"/>
  <c r="E58" i="43"/>
  <c r="C58" i="43"/>
  <c r="E55" i="43"/>
  <c r="D55" i="43"/>
  <c r="C55" i="43"/>
  <c r="E43" i="43"/>
  <c r="D43" i="43"/>
  <c r="C43" i="43"/>
  <c r="E42" i="43"/>
  <c r="D42" i="43"/>
  <c r="C42" i="43"/>
  <c r="E41" i="43"/>
  <c r="D41" i="43"/>
  <c r="C41" i="43"/>
  <c r="E38" i="43"/>
  <c r="D38" i="43"/>
  <c r="C38" i="43"/>
  <c r="E37" i="43"/>
  <c r="D37" i="43"/>
  <c r="C37" i="43"/>
  <c r="E31" i="43"/>
  <c r="C31" i="43"/>
  <c r="D30" i="43"/>
  <c r="C30" i="43"/>
  <c r="E27" i="43"/>
  <c r="D27" i="43"/>
  <c r="C27" i="43"/>
  <c r="E26" i="43"/>
  <c r="D26" i="43"/>
  <c r="C26" i="43"/>
  <c r="E21" i="43"/>
  <c r="C21" i="43"/>
  <c r="D16" i="43"/>
  <c r="C16" i="43"/>
  <c r="E13" i="43"/>
  <c r="C13" i="43"/>
  <c r="E9" i="43"/>
  <c r="D9" i="43"/>
  <c r="C9" i="43"/>
  <c r="D8" i="43"/>
  <c r="C8" i="43"/>
  <c r="E6" i="43"/>
  <c r="C6" i="43"/>
  <c r="E5" i="43"/>
  <c r="D5" i="43"/>
  <c r="C5" i="43"/>
  <c r="E3" i="43"/>
  <c r="D3" i="43"/>
  <c r="C3" i="43"/>
  <c r="E2" i="43"/>
  <c r="D2" i="43"/>
  <c r="C2" i="43"/>
  <c r="F1" i="43"/>
  <c r="E1" i="43"/>
  <c r="G1" i="43" s="1"/>
  <c r="D1" i="43"/>
  <c r="C1" i="43"/>
  <c r="E52" i="44"/>
  <c r="D52" i="44"/>
  <c r="C52" i="44"/>
  <c r="E50" i="44"/>
  <c r="D50" i="44"/>
  <c r="C50" i="44"/>
  <c r="E49" i="44"/>
  <c r="D49" i="44"/>
  <c r="C49" i="44"/>
  <c r="D44" i="44"/>
  <c r="D42" i="44"/>
  <c r="C42" i="44"/>
  <c r="E41" i="44"/>
  <c r="D41" i="44"/>
  <c r="C41" i="44"/>
  <c r="E40" i="44"/>
  <c r="D40" i="44"/>
  <c r="C40" i="44"/>
  <c r="E35" i="44"/>
  <c r="D35" i="44"/>
  <c r="C35" i="44"/>
  <c r="E27" i="44"/>
  <c r="D27" i="44"/>
  <c r="C27" i="44"/>
  <c r="E25" i="44"/>
  <c r="D25" i="44"/>
  <c r="C25" i="44"/>
  <c r="E24" i="44"/>
  <c r="C24" i="44"/>
  <c r="E18" i="44"/>
  <c r="E16" i="44"/>
  <c r="C16" i="44"/>
  <c r="E15" i="44"/>
  <c r="D15" i="44"/>
  <c r="C15" i="44"/>
  <c r="E14" i="44"/>
  <c r="D14" i="44"/>
  <c r="E5" i="44"/>
  <c r="D5" i="44"/>
  <c r="C5" i="44"/>
  <c r="E4" i="44"/>
  <c r="C4" i="44"/>
  <c r="E3" i="44"/>
  <c r="D3" i="44"/>
  <c r="C3" i="44"/>
  <c r="E1" i="44"/>
  <c r="G36" i="56"/>
  <c r="G29" i="56"/>
  <c r="G28" i="56"/>
  <c r="G27" i="56"/>
  <c r="E23" i="56"/>
  <c r="E22" i="56"/>
  <c r="D22" i="56"/>
  <c r="C22" i="56"/>
  <c r="B22" i="56"/>
  <c r="G21" i="56"/>
  <c r="G20" i="56"/>
  <c r="G19" i="56"/>
  <c r="G18" i="56"/>
  <c r="G22" i="56" s="1"/>
  <c r="G17" i="56"/>
  <c r="E15" i="56"/>
  <c r="D15" i="56"/>
  <c r="D23" i="56" s="1"/>
  <c r="C15" i="56"/>
  <c r="C23" i="56" s="1"/>
  <c r="B15" i="56"/>
  <c r="G14" i="56"/>
  <c r="G13" i="56"/>
  <c r="G12" i="56"/>
  <c r="G11" i="56"/>
  <c r="G10" i="56"/>
  <c r="G9" i="56"/>
  <c r="D21" i="52" s="1"/>
  <c r="G8" i="56"/>
  <c r="G15" i="56" s="1"/>
  <c r="G36" i="55"/>
  <c r="G29" i="55"/>
  <c r="G28" i="55"/>
  <c r="G27" i="55"/>
  <c r="D23" i="55"/>
  <c r="E22" i="55"/>
  <c r="D22" i="55"/>
  <c r="C22" i="55"/>
  <c r="B22" i="55"/>
  <c r="G21" i="55"/>
  <c r="G20" i="55"/>
  <c r="G19" i="55"/>
  <c r="G18" i="55"/>
  <c r="G17" i="55"/>
  <c r="G22" i="55" s="1"/>
  <c r="E15" i="55"/>
  <c r="E23" i="55" s="1"/>
  <c r="D15" i="55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C23" i="54"/>
  <c r="E22" i="54"/>
  <c r="D22" i="54"/>
  <c r="C22" i="54"/>
  <c r="B22" i="54"/>
  <c r="G21" i="54"/>
  <c r="G20" i="54"/>
  <c r="G19" i="54"/>
  <c r="G18" i="54"/>
  <c r="G17" i="54"/>
  <c r="E15" i="54"/>
  <c r="E23" i="54" s="1"/>
  <c r="D15" i="54"/>
  <c r="C15" i="54"/>
  <c r="B15" i="54"/>
  <c r="B23" i="54" s="1"/>
  <c r="G14" i="54"/>
  <c r="G13" i="54"/>
  <c r="G12" i="54"/>
  <c r="G11" i="54"/>
  <c r="G15" i="54" s="1"/>
  <c r="G10" i="54"/>
  <c r="G9" i="54"/>
  <c r="G8" i="54"/>
  <c r="G36" i="53"/>
  <c r="G29" i="53"/>
  <c r="G28" i="53"/>
  <c r="G27" i="53"/>
  <c r="B23" i="53"/>
  <c r="E22" i="53"/>
  <c r="D22" i="53"/>
  <c r="C22" i="53"/>
  <c r="B22" i="53"/>
  <c r="G21" i="53"/>
  <c r="G20" i="53"/>
  <c r="G19" i="53"/>
  <c r="G18" i="53"/>
  <c r="G17" i="53"/>
  <c r="E15" i="53"/>
  <c r="E23" i="53" s="1"/>
  <c r="D15" i="53"/>
  <c r="D23" i="53" s="1"/>
  <c r="C15" i="53"/>
  <c r="B15" i="53"/>
  <c r="G14" i="53"/>
  <c r="G13" i="53"/>
  <c r="G12" i="53"/>
  <c r="G11" i="53"/>
  <c r="G10" i="53"/>
  <c r="G9" i="53"/>
  <c r="G8" i="53"/>
  <c r="G15" i="53" s="1"/>
  <c r="B67" i="52"/>
  <c r="F44" i="52"/>
  <c r="D43" i="52"/>
  <c r="F43" i="52" s="1"/>
  <c r="D40" i="52"/>
  <c r="F40" i="52" s="1"/>
  <c r="D39" i="52"/>
  <c r="F39" i="52" s="1"/>
  <c r="D38" i="52"/>
  <c r="F38" i="52" s="1"/>
  <c r="F37" i="52"/>
  <c r="F36" i="52"/>
  <c r="D36" i="52"/>
  <c r="D30" i="52"/>
  <c r="F30" i="52" s="1"/>
  <c r="C30" i="52"/>
  <c r="D29" i="52"/>
  <c r="F29" i="52" s="1"/>
  <c r="C29" i="52"/>
  <c r="F28" i="52"/>
  <c r="D28" i="52"/>
  <c r="C28" i="52"/>
  <c r="D22" i="52"/>
  <c r="E45" i="4"/>
  <c r="D45" i="4"/>
  <c r="F40" i="4"/>
  <c r="K39" i="4"/>
  <c r="J39" i="4"/>
  <c r="C9" i="59" s="1"/>
  <c r="I39" i="4"/>
  <c r="C8" i="59" s="1"/>
  <c r="H39" i="4"/>
  <c r="O38" i="4"/>
  <c r="M38" i="4"/>
  <c r="O37" i="4"/>
  <c r="M37" i="4"/>
  <c r="L38" i="48" s="1"/>
  <c r="O36" i="4"/>
  <c r="M36" i="4"/>
  <c r="L37" i="48" s="1"/>
  <c r="O35" i="4"/>
  <c r="M35" i="4"/>
  <c r="M34" i="4"/>
  <c r="B28" i="4"/>
  <c r="D27" i="4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H28" i="4" s="1"/>
  <c r="G22" i="4"/>
  <c r="G27" i="4" s="1"/>
  <c r="C63" i="50" s="1"/>
  <c r="F8" i="4"/>
  <c r="E8" i="4"/>
  <c r="E7" i="4"/>
  <c r="F7" i="4" s="1"/>
  <c r="C14" i="59" l="1"/>
  <c r="C43" i="59" s="1"/>
  <c r="D119" i="60"/>
  <c r="C117" i="60"/>
  <c r="C119" i="60" s="1"/>
  <c r="B117" i="60"/>
  <c r="B120" i="60" s="1"/>
  <c r="V5" i="17"/>
  <c r="V9" i="17"/>
  <c r="V4" i="17"/>
  <c r="V16" i="17" s="1"/>
  <c r="V17" i="17" s="1"/>
  <c r="V6" i="17"/>
  <c r="G13" i="17"/>
  <c r="V10" i="17"/>
  <c r="O16" i="17"/>
  <c r="O17" i="17" s="1"/>
  <c r="U13" i="17"/>
  <c r="S16" i="17"/>
  <c r="U6" i="17"/>
  <c r="U10" i="17"/>
  <c r="U9" i="17"/>
  <c r="U39" i="17"/>
  <c r="G4" i="51" s="1"/>
  <c r="U4" i="17"/>
  <c r="U7" i="17"/>
  <c r="U11" i="17"/>
  <c r="K16" i="17"/>
  <c r="K17" i="17" s="1"/>
  <c r="O6" i="51"/>
  <c r="O14" i="51"/>
  <c r="D16" i="17"/>
  <c r="D17" i="17" s="1"/>
  <c r="I16" i="17"/>
  <c r="M16" i="17"/>
  <c r="R16" i="17"/>
  <c r="S17" i="17" s="1"/>
  <c r="G7" i="17"/>
  <c r="G10" i="17"/>
  <c r="G11" i="17"/>
  <c r="G12" i="17"/>
  <c r="C16" i="17"/>
  <c r="C17" i="17" s="1"/>
  <c r="G85" i="17"/>
  <c r="T86" i="17"/>
  <c r="N7" i="51"/>
  <c r="G131" i="17"/>
  <c r="G132" i="17" s="1"/>
  <c r="O8" i="51"/>
  <c r="T132" i="17"/>
  <c r="N9" i="51"/>
  <c r="G177" i="17"/>
  <c r="N11" i="51"/>
  <c r="G223" i="17"/>
  <c r="O12" i="51"/>
  <c r="T224" i="17"/>
  <c r="N13" i="51"/>
  <c r="G269" i="17"/>
  <c r="T270" i="17"/>
  <c r="N15" i="51"/>
  <c r="G315" i="17"/>
  <c r="O16" i="51"/>
  <c r="T316" i="17"/>
  <c r="N17" i="51"/>
  <c r="G361" i="17"/>
  <c r="N19" i="51"/>
  <c r="G407" i="17"/>
  <c r="O20" i="51"/>
  <c r="T408" i="17"/>
  <c r="G453" i="17"/>
  <c r="T454" i="17"/>
  <c r="E16" i="17"/>
  <c r="E17" i="17" s="1"/>
  <c r="J16" i="17"/>
  <c r="J17" i="17" s="1"/>
  <c r="N16" i="17"/>
  <c r="N17" i="17" s="1"/>
  <c r="G6" i="17"/>
  <c r="G8" i="17"/>
  <c r="G9" i="17"/>
  <c r="P6" i="17"/>
  <c r="P8" i="17"/>
  <c r="P10" i="17"/>
  <c r="P12" i="17"/>
  <c r="P14" i="17"/>
  <c r="M24" i="51"/>
  <c r="P85" i="17"/>
  <c r="P86" i="17" s="1"/>
  <c r="P131" i="17"/>
  <c r="P177" i="17"/>
  <c r="P223" i="17"/>
  <c r="P269" i="17"/>
  <c r="P315" i="17"/>
  <c r="P361" i="17"/>
  <c r="P407" i="17"/>
  <c r="P453" i="17"/>
  <c r="G5" i="17"/>
  <c r="G62" i="17"/>
  <c r="T63" i="17"/>
  <c r="G108" i="17"/>
  <c r="G109" i="17" s="1"/>
  <c r="T109" i="17"/>
  <c r="G154" i="17"/>
  <c r="O9" i="51"/>
  <c r="T155" i="17"/>
  <c r="G200" i="17"/>
  <c r="O11" i="51"/>
  <c r="T201" i="17"/>
  <c r="G246" i="17"/>
  <c r="G247" i="17" s="1"/>
  <c r="O13" i="51"/>
  <c r="T247" i="17"/>
  <c r="G292" i="17"/>
  <c r="O15" i="51"/>
  <c r="T293" i="17"/>
  <c r="G338" i="17"/>
  <c r="O17" i="51"/>
  <c r="T339" i="17"/>
  <c r="G384" i="17"/>
  <c r="O19" i="51"/>
  <c r="T385" i="17"/>
  <c r="G430" i="17"/>
  <c r="G431" i="17" s="1"/>
  <c r="G432" i="17" s="1"/>
  <c r="O21" i="51"/>
  <c r="T431" i="17"/>
  <c r="G476" i="17"/>
  <c r="O23" i="51"/>
  <c r="T477" i="17"/>
  <c r="F16" i="17"/>
  <c r="F17" i="17" s="1"/>
  <c r="T16" i="17"/>
  <c r="T17" i="17" s="1"/>
  <c r="U14" i="17"/>
  <c r="T40" i="17"/>
  <c r="Q16" i="17"/>
  <c r="G14" i="17"/>
  <c r="G15" i="17"/>
  <c r="B63" i="17"/>
  <c r="B64" i="17" s="1"/>
  <c r="B109" i="17"/>
  <c r="B110" i="17" s="1"/>
  <c r="B155" i="17"/>
  <c r="B156" i="17" s="1"/>
  <c r="B201" i="17"/>
  <c r="B202" i="17" s="1"/>
  <c r="B293" i="17"/>
  <c r="B294" i="17" s="1"/>
  <c r="B385" i="17"/>
  <c r="B386" i="17" s="1"/>
  <c r="B477" i="17"/>
  <c r="B478" i="17" s="1"/>
  <c r="P63" i="17"/>
  <c r="B86" i="17"/>
  <c r="B87" i="17" s="1"/>
  <c r="P155" i="17"/>
  <c r="B178" i="17"/>
  <c r="B179" i="17" s="1"/>
  <c r="P247" i="17"/>
  <c r="B270" i="17"/>
  <c r="B271" i="17" s="1"/>
  <c r="P339" i="17"/>
  <c r="B362" i="17"/>
  <c r="B363" i="17" s="1"/>
  <c r="B454" i="17"/>
  <c r="B455" i="17" s="1"/>
  <c r="N132" i="17"/>
  <c r="N224" i="17"/>
  <c r="G316" i="17"/>
  <c r="G317" i="17" s="1"/>
  <c r="N316" i="17"/>
  <c r="H316" i="17"/>
  <c r="N408" i="17"/>
  <c r="P431" i="17"/>
  <c r="L132" i="17"/>
  <c r="L224" i="17"/>
  <c r="I17" i="17"/>
  <c r="M17" i="17"/>
  <c r="N109" i="17"/>
  <c r="H109" i="17"/>
  <c r="L109" i="17"/>
  <c r="P132" i="17"/>
  <c r="D132" i="17"/>
  <c r="D133" i="17" s="1"/>
  <c r="G201" i="17"/>
  <c r="G202" i="17" s="1"/>
  <c r="N201" i="17"/>
  <c r="H201" i="17"/>
  <c r="L201" i="17"/>
  <c r="P224" i="17"/>
  <c r="D224" i="17"/>
  <c r="D225" i="17" s="1"/>
  <c r="G293" i="17"/>
  <c r="G294" i="17" s="1"/>
  <c r="N293" i="17"/>
  <c r="H293" i="17"/>
  <c r="L293" i="17"/>
  <c r="P316" i="17"/>
  <c r="D316" i="17"/>
  <c r="D317" i="17" s="1"/>
  <c r="G385" i="17"/>
  <c r="I19" i="51" s="1"/>
  <c r="N385" i="17"/>
  <c r="H385" i="17"/>
  <c r="L385" i="17"/>
  <c r="P408" i="17"/>
  <c r="D408" i="17"/>
  <c r="D409" i="17" s="1"/>
  <c r="G477" i="17"/>
  <c r="G478" i="17" s="1"/>
  <c r="N477" i="17"/>
  <c r="H477" i="17"/>
  <c r="L477" i="17"/>
  <c r="D63" i="17"/>
  <c r="D64" i="17" s="1"/>
  <c r="D155" i="17"/>
  <c r="D156" i="17" s="1"/>
  <c r="G224" i="17"/>
  <c r="G225" i="17" s="1"/>
  <c r="H224" i="17"/>
  <c r="B224" i="17"/>
  <c r="B225" i="17" s="1"/>
  <c r="D247" i="17"/>
  <c r="D248" i="17" s="1"/>
  <c r="D339" i="17"/>
  <c r="D340" i="17" s="1"/>
  <c r="G408" i="17"/>
  <c r="I20" i="51" s="1"/>
  <c r="H408" i="17"/>
  <c r="L408" i="17"/>
  <c r="B408" i="17"/>
  <c r="B409" i="17" s="1"/>
  <c r="G86" i="17"/>
  <c r="I6" i="51" s="1"/>
  <c r="N86" i="17"/>
  <c r="H86" i="17"/>
  <c r="L86" i="17"/>
  <c r="P109" i="17"/>
  <c r="D109" i="17"/>
  <c r="D110" i="17" s="1"/>
  <c r="G178" i="17"/>
  <c r="I10" i="51" s="1"/>
  <c r="N178" i="17"/>
  <c r="H178" i="17"/>
  <c r="L178" i="17"/>
  <c r="P201" i="17"/>
  <c r="D201" i="17"/>
  <c r="D202" i="17" s="1"/>
  <c r="G270" i="17"/>
  <c r="G271" i="17" s="1"/>
  <c r="N270" i="17"/>
  <c r="H270" i="17"/>
  <c r="L270" i="17"/>
  <c r="P293" i="17"/>
  <c r="D293" i="17"/>
  <c r="D294" i="17" s="1"/>
  <c r="G362" i="17"/>
  <c r="I18" i="51" s="1"/>
  <c r="N362" i="17"/>
  <c r="H362" i="17"/>
  <c r="L362" i="17"/>
  <c r="P385" i="17"/>
  <c r="D385" i="17"/>
  <c r="D386" i="17" s="1"/>
  <c r="G454" i="17"/>
  <c r="N454" i="17"/>
  <c r="H454" i="17"/>
  <c r="L454" i="17"/>
  <c r="P477" i="17"/>
  <c r="D477" i="17"/>
  <c r="D478" i="17" s="1"/>
  <c r="H132" i="17"/>
  <c r="B132" i="17"/>
  <c r="B133" i="17" s="1"/>
  <c r="L316" i="17"/>
  <c r="B316" i="17"/>
  <c r="B317" i="17" s="1"/>
  <c r="D431" i="17"/>
  <c r="D432" i="17" s="1"/>
  <c r="G63" i="17"/>
  <c r="I5" i="51" s="1"/>
  <c r="N63" i="17"/>
  <c r="H63" i="17"/>
  <c r="L63" i="17"/>
  <c r="D86" i="17"/>
  <c r="D87" i="17" s="1"/>
  <c r="G155" i="17"/>
  <c r="I9" i="51" s="1"/>
  <c r="N155" i="17"/>
  <c r="H155" i="17"/>
  <c r="L155" i="17"/>
  <c r="P178" i="17"/>
  <c r="D178" i="17"/>
  <c r="D179" i="17" s="1"/>
  <c r="N247" i="17"/>
  <c r="H247" i="17"/>
  <c r="L247" i="17"/>
  <c r="B247" i="17"/>
  <c r="B248" i="17" s="1"/>
  <c r="P270" i="17"/>
  <c r="D270" i="17"/>
  <c r="D271" i="17" s="1"/>
  <c r="G339" i="17"/>
  <c r="G340" i="17" s="1"/>
  <c r="N339" i="17"/>
  <c r="H339" i="17"/>
  <c r="L339" i="17"/>
  <c r="B339" i="17"/>
  <c r="B340" i="17" s="1"/>
  <c r="P362" i="17"/>
  <c r="D362" i="17"/>
  <c r="D363" i="17" s="1"/>
  <c r="N431" i="17"/>
  <c r="H431" i="17"/>
  <c r="L431" i="17"/>
  <c r="B431" i="17"/>
  <c r="B432" i="17" s="1"/>
  <c r="P454" i="17"/>
  <c r="D454" i="17"/>
  <c r="D455" i="17" s="1"/>
  <c r="H45" i="30"/>
  <c r="H45" i="31"/>
  <c r="G40" i="48"/>
  <c r="G64" i="17"/>
  <c r="I15" i="51"/>
  <c r="G386" i="17"/>
  <c r="E2" i="44"/>
  <c r="C64" i="50"/>
  <c r="I22" i="51"/>
  <c r="G455" i="17"/>
  <c r="G23" i="56"/>
  <c r="C120" i="60"/>
  <c r="B119" i="60"/>
  <c r="B16" i="17"/>
  <c r="B17" i="17" s="1"/>
  <c r="G4" i="17"/>
  <c r="B102" i="66"/>
  <c r="B88" i="66"/>
  <c r="B13" i="66"/>
  <c r="B96" i="66"/>
  <c r="B62" i="66"/>
  <c r="B84" i="66" s="1"/>
  <c r="C11" i="59"/>
  <c r="C47" i="59" s="1"/>
  <c r="C2" i="44"/>
  <c r="D120" i="60"/>
  <c r="C23" i="44" s="1"/>
  <c r="H16" i="17"/>
  <c r="H17" i="17" s="1"/>
  <c r="L16" i="17"/>
  <c r="L17" i="17" s="1"/>
  <c r="S40" i="17"/>
  <c r="U62" i="17"/>
  <c r="E63" i="17"/>
  <c r="I63" i="17"/>
  <c r="M63" i="17"/>
  <c r="S63" i="17"/>
  <c r="F63" i="17"/>
  <c r="U85" i="17"/>
  <c r="E86" i="17"/>
  <c r="I86" i="17"/>
  <c r="M86" i="17"/>
  <c r="S86" i="17"/>
  <c r="F86" i="17"/>
  <c r="U108" i="17"/>
  <c r="E109" i="17"/>
  <c r="I109" i="17"/>
  <c r="M109" i="17"/>
  <c r="S109" i="17"/>
  <c r="F109" i="17"/>
  <c r="U131" i="17"/>
  <c r="E132" i="17"/>
  <c r="I132" i="17"/>
  <c r="M132" i="17"/>
  <c r="S132" i="17"/>
  <c r="F132" i="17"/>
  <c r="U154" i="17"/>
  <c r="E155" i="17"/>
  <c r="I155" i="17"/>
  <c r="M155" i="17"/>
  <c r="S155" i="17"/>
  <c r="F155" i="17"/>
  <c r="U177" i="17"/>
  <c r="E178" i="17"/>
  <c r="I178" i="17"/>
  <c r="M178" i="17"/>
  <c r="S178" i="17"/>
  <c r="F178" i="17"/>
  <c r="U200" i="17"/>
  <c r="E201" i="17"/>
  <c r="I201" i="17"/>
  <c r="M201" i="17"/>
  <c r="S201" i="17"/>
  <c r="F201" i="17"/>
  <c r="U223" i="17"/>
  <c r="E224" i="17"/>
  <c r="I224" i="17"/>
  <c r="M224" i="17"/>
  <c r="S224" i="17"/>
  <c r="F224" i="17"/>
  <c r="U246" i="17"/>
  <c r="E247" i="17"/>
  <c r="I247" i="17"/>
  <c r="M247" i="17"/>
  <c r="S247" i="17"/>
  <c r="F247" i="17"/>
  <c r="U269" i="17"/>
  <c r="E270" i="17"/>
  <c r="I270" i="17"/>
  <c r="M270" i="17"/>
  <c r="S270" i="17"/>
  <c r="F270" i="17"/>
  <c r="U292" i="17"/>
  <c r="E293" i="17"/>
  <c r="I293" i="17"/>
  <c r="M293" i="17"/>
  <c r="S293" i="17"/>
  <c r="F293" i="17"/>
  <c r="U315" i="17"/>
  <c r="E316" i="17"/>
  <c r="I316" i="17"/>
  <c r="M316" i="17"/>
  <c r="S316" i="17"/>
  <c r="F316" i="17"/>
  <c r="U338" i="17"/>
  <c r="E339" i="17"/>
  <c r="I339" i="17"/>
  <c r="M339" i="17"/>
  <c r="S339" i="17"/>
  <c r="F339" i="17"/>
  <c r="U361" i="17"/>
  <c r="E362" i="17"/>
  <c r="I362" i="17"/>
  <c r="M362" i="17"/>
  <c r="S362" i="17"/>
  <c r="F362" i="17"/>
  <c r="U384" i="17"/>
  <c r="E385" i="17"/>
  <c r="I385" i="17"/>
  <c r="M385" i="17"/>
  <c r="S385" i="17"/>
  <c r="F385" i="17"/>
  <c r="U407" i="17"/>
  <c r="E408" i="17"/>
  <c r="I408" i="17"/>
  <c r="M408" i="17"/>
  <c r="S408" i="17"/>
  <c r="F408" i="17"/>
  <c r="U430" i="17"/>
  <c r="E431" i="17"/>
  <c r="I431" i="17"/>
  <c r="M431" i="17"/>
  <c r="S431" i="17"/>
  <c r="F431" i="17"/>
  <c r="U453" i="17"/>
  <c r="E454" i="17"/>
  <c r="I454" i="17"/>
  <c r="M454" i="17"/>
  <c r="S454" i="17"/>
  <c r="F454" i="17"/>
  <c r="U476" i="17"/>
  <c r="E477" i="17"/>
  <c r="I477" i="17"/>
  <c r="M477" i="17"/>
  <c r="S477" i="17"/>
  <c r="F477" i="17"/>
  <c r="C58" i="50"/>
  <c r="C102" i="66"/>
  <c r="C88" i="66"/>
  <c r="F11" i="66"/>
  <c r="C13" i="66"/>
  <c r="F21" i="66"/>
  <c r="C48" i="66"/>
  <c r="C96" i="66"/>
  <c r="F54" i="66"/>
  <c r="J1" i="30"/>
  <c r="Q46" i="19"/>
  <c r="Q45" i="19"/>
  <c r="Q44" i="19"/>
  <c r="Q43" i="19"/>
  <c r="Q44" i="31"/>
  <c r="Q43" i="31"/>
  <c r="Q42" i="31"/>
  <c r="Q41" i="31"/>
  <c r="M1" i="31"/>
  <c r="Q44" i="30"/>
  <c r="Q43" i="30"/>
  <c r="Q42" i="30"/>
  <c r="Q41" i="30"/>
  <c r="K1" i="19"/>
  <c r="D1" i="18"/>
  <c r="P42" i="18"/>
  <c r="P41" i="18"/>
  <c r="P40" i="18"/>
  <c r="P39" i="18"/>
  <c r="B35" i="18"/>
  <c r="P48" i="51"/>
  <c r="P47" i="51"/>
  <c r="P46" i="51"/>
  <c r="N46" i="51" s="1"/>
  <c r="P45" i="51"/>
  <c r="N45" i="51" s="1"/>
  <c r="H1" i="48"/>
  <c r="N37" i="4"/>
  <c r="N38" i="4"/>
  <c r="N34" i="4"/>
  <c r="J22" i="4"/>
  <c r="H1" i="51"/>
  <c r="P39" i="48"/>
  <c r="P38" i="48"/>
  <c r="N38" i="48" s="1"/>
  <c r="P37" i="48"/>
  <c r="N37" i="48" s="1"/>
  <c r="P36" i="48"/>
  <c r="N36" i="48" s="1"/>
  <c r="N35" i="4"/>
  <c r="O4" i="51"/>
  <c r="J24" i="51"/>
  <c r="B63" i="66"/>
  <c r="N36" i="4"/>
  <c r="D23" i="52"/>
  <c r="G22" i="54"/>
  <c r="G23" i="54" s="1"/>
  <c r="J25" i="19"/>
  <c r="M23" i="31"/>
  <c r="I23" i="30"/>
  <c r="L23" i="31"/>
  <c r="B21" i="18"/>
  <c r="C29" i="51"/>
  <c r="C62" i="50"/>
  <c r="C2" i="59"/>
  <c r="F27" i="4"/>
  <c r="C20" i="48"/>
  <c r="B2" i="52"/>
  <c r="D28" i="4"/>
  <c r="Q40" i="30" s="1"/>
  <c r="E27" i="4"/>
  <c r="M43" i="19"/>
  <c r="M41" i="31"/>
  <c r="M41" i="30"/>
  <c r="L39" i="18"/>
  <c r="L45" i="51"/>
  <c r="L36" i="48"/>
  <c r="G22" i="53"/>
  <c r="D23" i="54"/>
  <c r="D1" i="44"/>
  <c r="G1" i="44"/>
  <c r="C1" i="44"/>
  <c r="F1" i="44"/>
  <c r="L24" i="51"/>
  <c r="N4" i="51"/>
  <c r="V62" i="17"/>
  <c r="J63" i="17"/>
  <c r="V85" i="17"/>
  <c r="N6" i="51"/>
  <c r="J86" i="17"/>
  <c r="V108" i="17"/>
  <c r="J109" i="17"/>
  <c r="V131" i="17"/>
  <c r="N8" i="51"/>
  <c r="J132" i="17"/>
  <c r="V154" i="17"/>
  <c r="J155" i="17"/>
  <c r="V177" i="17"/>
  <c r="N10" i="51"/>
  <c r="J178" i="17"/>
  <c r="V200" i="17"/>
  <c r="J201" i="17"/>
  <c r="V223" i="17"/>
  <c r="N12" i="51"/>
  <c r="J224" i="17"/>
  <c r="V246" i="17"/>
  <c r="J247" i="17"/>
  <c r="V269" i="17"/>
  <c r="N14" i="51"/>
  <c r="J270" i="17"/>
  <c r="V292" i="17"/>
  <c r="J293" i="17"/>
  <c r="V315" i="17"/>
  <c r="N16" i="51"/>
  <c r="J316" i="17"/>
  <c r="V338" i="17"/>
  <c r="J339" i="17"/>
  <c r="V361" i="17"/>
  <c r="N18" i="51"/>
  <c r="J362" i="17"/>
  <c r="V384" i="17"/>
  <c r="J385" i="17"/>
  <c r="V407" i="17"/>
  <c r="N20" i="51"/>
  <c r="J408" i="17"/>
  <c r="V430" i="17"/>
  <c r="N21" i="51"/>
  <c r="J431" i="17"/>
  <c r="V453" i="17"/>
  <c r="N22" i="51"/>
  <c r="J454" i="17"/>
  <c r="V476" i="17"/>
  <c r="N23" i="51"/>
  <c r="J477" i="17"/>
  <c r="N105" i="3"/>
  <c r="D102" i="66"/>
  <c r="D92" i="66"/>
  <c r="D88" i="66"/>
  <c r="D13" i="66"/>
  <c r="G11" i="66"/>
  <c r="G54" i="66"/>
  <c r="D62" i="66"/>
  <c r="G28" i="4"/>
  <c r="F28" i="4"/>
  <c r="B5" i="52"/>
  <c r="C23" i="53"/>
  <c r="G15" i="55"/>
  <c r="G23" i="55" s="1"/>
  <c r="D20" i="52"/>
  <c r="D24" i="52" s="1"/>
  <c r="B23" i="56"/>
  <c r="D2" i="44"/>
  <c r="P4" i="17"/>
  <c r="P39" i="17"/>
  <c r="P40" i="17" s="1"/>
  <c r="G41" i="17"/>
  <c r="I4" i="51"/>
  <c r="C63" i="17"/>
  <c r="C64" i="17" s="1"/>
  <c r="K63" i="17"/>
  <c r="O63" i="17"/>
  <c r="C86" i="17"/>
  <c r="C87" i="17" s="1"/>
  <c r="K86" i="17"/>
  <c r="O86" i="17"/>
  <c r="C109" i="17"/>
  <c r="C110" i="17" s="1"/>
  <c r="K109" i="17"/>
  <c r="O109" i="17"/>
  <c r="C132" i="17"/>
  <c r="C133" i="17" s="1"/>
  <c r="K132" i="17"/>
  <c r="O132" i="17"/>
  <c r="C155" i="17"/>
  <c r="C156" i="17" s="1"/>
  <c r="K155" i="17"/>
  <c r="O155" i="17"/>
  <c r="C178" i="17"/>
  <c r="C179" i="17" s="1"/>
  <c r="K178" i="17"/>
  <c r="O178" i="17"/>
  <c r="C201" i="17"/>
  <c r="C202" i="17" s="1"/>
  <c r="K201" i="17"/>
  <c r="O201" i="17"/>
  <c r="C224" i="17"/>
  <c r="C225" i="17" s="1"/>
  <c r="K224" i="17"/>
  <c r="O224" i="17"/>
  <c r="C247" i="17"/>
  <c r="C248" i="17" s="1"/>
  <c r="K247" i="17"/>
  <c r="O247" i="17"/>
  <c r="C270" i="17"/>
  <c r="C271" i="17" s="1"/>
  <c r="K270" i="17"/>
  <c r="O270" i="17"/>
  <c r="C293" i="17"/>
  <c r="C294" i="17" s="1"/>
  <c r="K293" i="17"/>
  <c r="O293" i="17"/>
  <c r="C316" i="17"/>
  <c r="C317" i="17" s="1"/>
  <c r="K316" i="17"/>
  <c r="O316" i="17"/>
  <c r="C339" i="17"/>
  <c r="C340" i="17" s="1"/>
  <c r="K339" i="17"/>
  <c r="O339" i="17"/>
  <c r="C362" i="17"/>
  <c r="C363" i="17" s="1"/>
  <c r="K362" i="17"/>
  <c r="O362" i="17"/>
  <c r="C385" i="17"/>
  <c r="C386" i="17" s="1"/>
  <c r="K385" i="17"/>
  <c r="O385" i="17"/>
  <c r="C408" i="17"/>
  <c r="C409" i="17" s="1"/>
  <c r="K408" i="17"/>
  <c r="O408" i="17"/>
  <c r="C431" i="17"/>
  <c r="C432" i="17" s="1"/>
  <c r="K431" i="17"/>
  <c r="O431" i="17"/>
  <c r="C454" i="17"/>
  <c r="C455" i="17" s="1"/>
  <c r="K454" i="17"/>
  <c r="O454" i="17"/>
  <c r="C477" i="17"/>
  <c r="C478" i="17" s="1"/>
  <c r="K477" i="17"/>
  <c r="O477" i="17"/>
  <c r="L24" i="31"/>
  <c r="I24" i="30"/>
  <c r="J26" i="19"/>
  <c r="L31" i="5"/>
  <c r="K31" i="5"/>
  <c r="J31" i="5"/>
  <c r="L24" i="5"/>
  <c r="K24" i="5"/>
  <c r="J24" i="5"/>
  <c r="B22" i="18"/>
  <c r="C21" i="48"/>
  <c r="C30" i="51"/>
  <c r="H4" i="51"/>
  <c r="O22" i="51"/>
  <c r="E92" i="66"/>
  <c r="E88" i="66"/>
  <c r="E13" i="66"/>
  <c r="E96" i="66"/>
  <c r="E62" i="66"/>
  <c r="E84" i="66" s="1"/>
  <c r="D17" i="66"/>
  <c r="D123" i="66"/>
  <c r="D113" i="66"/>
  <c r="E19" i="61"/>
  <c r="E94" i="61"/>
  <c r="E97" i="62"/>
  <c r="E94" i="64"/>
  <c r="E19" i="64"/>
  <c r="M42" i="19"/>
  <c r="M40" i="31"/>
  <c r="M40" i="30"/>
  <c r="L38" i="18"/>
  <c r="M46" i="19"/>
  <c r="M44" i="31"/>
  <c r="M44" i="30"/>
  <c r="L42" i="18"/>
  <c r="B9" i="52"/>
  <c r="L35" i="48"/>
  <c r="L39" i="48"/>
  <c r="C89" i="66"/>
  <c r="C61" i="66"/>
  <c r="E95" i="66"/>
  <c r="E94" i="66"/>
  <c r="E90" i="66"/>
  <c r="E91" i="66"/>
  <c r="D117" i="66"/>
  <c r="D121" i="66" s="1"/>
  <c r="G60" i="62"/>
  <c r="F60" i="63"/>
  <c r="C68" i="63"/>
  <c r="F67" i="63"/>
  <c r="B89" i="66"/>
  <c r="C117" i="66"/>
  <c r="D91" i="66"/>
  <c r="G74" i="66"/>
  <c r="M45" i="19"/>
  <c r="M43" i="31"/>
  <c r="M43" i="30"/>
  <c r="L41" i="18"/>
  <c r="B10" i="52"/>
  <c r="D4" i="44"/>
  <c r="D6" i="43"/>
  <c r="F15" i="66"/>
  <c r="F20" i="66"/>
  <c r="F28" i="66"/>
  <c r="B123" i="66"/>
  <c r="B113" i="66"/>
  <c r="F30" i="66"/>
  <c r="F33" i="66"/>
  <c r="F35" i="66"/>
  <c r="F42" i="66"/>
  <c r="F46" i="66"/>
  <c r="F51" i="66"/>
  <c r="F53" i="66"/>
  <c r="F56" i="66"/>
  <c r="D89" i="66"/>
  <c r="B81" i="66"/>
  <c r="B82" i="66" s="1"/>
  <c r="B95" i="66"/>
  <c r="B94" i="66"/>
  <c r="B90" i="66"/>
  <c r="B93" i="66"/>
  <c r="B92" i="66"/>
  <c r="B91" i="66"/>
  <c r="F75" i="66"/>
  <c r="C54" i="61"/>
  <c r="F50" i="61"/>
  <c r="C102" i="61"/>
  <c r="C95" i="61"/>
  <c r="C87" i="61"/>
  <c r="E97" i="61"/>
  <c r="E19" i="62"/>
  <c r="E94" i="62"/>
  <c r="B105" i="62"/>
  <c r="B28" i="62"/>
  <c r="E95" i="62"/>
  <c r="D108" i="63"/>
  <c r="D94" i="63"/>
  <c r="D19" i="63"/>
  <c r="G17" i="63"/>
  <c r="C95" i="63"/>
  <c r="B126" i="63"/>
  <c r="E101" i="63"/>
  <c r="C108" i="64"/>
  <c r="C98" i="64"/>
  <c r="C94" i="64"/>
  <c r="C19" i="64"/>
  <c r="F17" i="64"/>
  <c r="D44" i="66"/>
  <c r="F44" i="66" s="1"/>
  <c r="G72" i="66"/>
  <c r="D71" i="66"/>
  <c r="E102" i="61"/>
  <c r="D54" i="62"/>
  <c r="G50" i="62"/>
  <c r="F60" i="62"/>
  <c r="C68" i="62"/>
  <c r="D54" i="63"/>
  <c r="G50" i="63"/>
  <c r="E102" i="63"/>
  <c r="O34" i="4"/>
  <c r="M44" i="19"/>
  <c r="M42" i="31"/>
  <c r="M42" i="30"/>
  <c r="L40" i="18"/>
  <c r="D13" i="43"/>
  <c r="L44" i="51"/>
  <c r="L46" i="51"/>
  <c r="L47" i="51"/>
  <c r="L48" i="51"/>
  <c r="G20" i="66"/>
  <c r="C123" i="66"/>
  <c r="C113" i="66"/>
  <c r="G30" i="66"/>
  <c r="G35" i="66"/>
  <c r="G56" i="66"/>
  <c r="E89" i="66"/>
  <c r="F58" i="66"/>
  <c r="G61" i="66"/>
  <c r="F66" i="66"/>
  <c r="F70" i="66"/>
  <c r="F72" i="66"/>
  <c r="C118" i="66"/>
  <c r="B118" i="66"/>
  <c r="C93" i="66"/>
  <c r="C92" i="66"/>
  <c r="B117" i="66"/>
  <c r="C91" i="66"/>
  <c r="F74" i="66"/>
  <c r="D105" i="61"/>
  <c r="D28" i="61"/>
  <c r="D54" i="61"/>
  <c r="G50" i="61"/>
  <c r="B102" i="61"/>
  <c r="E101" i="61"/>
  <c r="G23" i="62"/>
  <c r="C54" i="62"/>
  <c r="F50" i="62"/>
  <c r="E68" i="62"/>
  <c r="E90" i="62" s="1"/>
  <c r="E102" i="62"/>
  <c r="B90" i="62"/>
  <c r="E77" i="62"/>
  <c r="E19" i="63"/>
  <c r="E94" i="63"/>
  <c r="F23" i="63"/>
  <c r="C99" i="63"/>
  <c r="G27" i="63"/>
  <c r="C54" i="63"/>
  <c r="F50" i="63"/>
  <c r="G60" i="63"/>
  <c r="D68" i="63"/>
  <c r="B90" i="63"/>
  <c r="D95" i="63"/>
  <c r="B88" i="63"/>
  <c r="E97" i="63"/>
  <c r="D108" i="64"/>
  <c r="D94" i="64"/>
  <c r="D19" i="64"/>
  <c r="G17" i="64"/>
  <c r="G25" i="61"/>
  <c r="F27" i="61"/>
  <c r="F42" i="61"/>
  <c r="G47" i="61"/>
  <c r="F48" i="61"/>
  <c r="F53" i="61"/>
  <c r="D60" i="61"/>
  <c r="F66" i="61"/>
  <c r="D67" i="61"/>
  <c r="B68" i="61"/>
  <c r="B90" i="61" s="1"/>
  <c r="F73" i="61"/>
  <c r="C77" i="61"/>
  <c r="F78" i="61"/>
  <c r="C80" i="61"/>
  <c r="F81" i="61"/>
  <c r="B87" i="61"/>
  <c r="D94" i="61"/>
  <c r="D95" i="61"/>
  <c r="D98" i="61"/>
  <c r="D99" i="61"/>
  <c r="D108" i="61"/>
  <c r="C119" i="61"/>
  <c r="C124" i="61"/>
  <c r="C129" i="61"/>
  <c r="G15" i="62"/>
  <c r="G17" i="62"/>
  <c r="D19" i="62"/>
  <c r="G21" i="62"/>
  <c r="C27" i="62"/>
  <c r="F27" i="62" s="1"/>
  <c r="F33" i="62"/>
  <c r="F63" i="62"/>
  <c r="E67" i="62"/>
  <c r="G73" i="62"/>
  <c r="F79" i="62"/>
  <c r="D80" i="62"/>
  <c r="C84" i="62"/>
  <c r="E98" i="62"/>
  <c r="E99" i="62"/>
  <c r="C118" i="62"/>
  <c r="D119" i="62"/>
  <c r="D129" i="62"/>
  <c r="F15" i="63"/>
  <c r="F21" i="63"/>
  <c r="F25" i="63"/>
  <c r="F33" i="63"/>
  <c r="F63" i="63"/>
  <c r="E67" i="63"/>
  <c r="E100" i="63" s="1"/>
  <c r="G73" i="63"/>
  <c r="F79" i="63"/>
  <c r="D80" i="63"/>
  <c r="C84" i="63"/>
  <c r="E98" i="63"/>
  <c r="E99" i="63"/>
  <c r="D119" i="63"/>
  <c r="D129" i="63"/>
  <c r="F15" i="64"/>
  <c r="B108" i="64"/>
  <c r="B98" i="64"/>
  <c r="B94" i="64"/>
  <c r="F21" i="64"/>
  <c r="C23" i="64"/>
  <c r="F25" i="64"/>
  <c r="C27" i="64"/>
  <c r="F27" i="64" s="1"/>
  <c r="G33" i="64"/>
  <c r="D129" i="64"/>
  <c r="D119" i="64"/>
  <c r="E95" i="64"/>
  <c r="B126" i="64"/>
  <c r="B101" i="64"/>
  <c r="B100" i="64"/>
  <c r="B96" i="64"/>
  <c r="B87" i="64"/>
  <c r="E101" i="64"/>
  <c r="E97" i="64"/>
  <c r="C54" i="65"/>
  <c r="F50" i="65"/>
  <c r="D123" i="65"/>
  <c r="E97" i="65"/>
  <c r="G20" i="5"/>
  <c r="E26" i="5"/>
  <c r="E114" i="1"/>
  <c r="E69" i="1"/>
  <c r="C78" i="66"/>
  <c r="G78" i="66"/>
  <c r="F17" i="61"/>
  <c r="C19" i="61"/>
  <c r="F21" i="61"/>
  <c r="B30" i="61"/>
  <c r="F33" i="61"/>
  <c r="F57" i="61"/>
  <c r="F63" i="61"/>
  <c r="E67" i="61"/>
  <c r="E68" i="61" s="1"/>
  <c r="G73" i="61"/>
  <c r="F79" i="61"/>
  <c r="D80" i="61"/>
  <c r="C84" i="61"/>
  <c r="E98" i="61"/>
  <c r="E99" i="61"/>
  <c r="D119" i="61"/>
  <c r="F26" i="62"/>
  <c r="D27" i="62"/>
  <c r="G27" i="62" s="1"/>
  <c r="F31" i="62"/>
  <c r="G33" i="62"/>
  <c r="F36" i="62"/>
  <c r="F40" i="62"/>
  <c r="F58" i="62"/>
  <c r="G63" i="62"/>
  <c r="F64" i="62"/>
  <c r="G79" i="62"/>
  <c r="D84" i="62"/>
  <c r="B94" i="62"/>
  <c r="B95" i="62"/>
  <c r="B96" i="62"/>
  <c r="B98" i="62"/>
  <c r="B100" i="62"/>
  <c r="B101" i="62"/>
  <c r="B108" i="62"/>
  <c r="G15" i="63"/>
  <c r="C17" i="63"/>
  <c r="G21" i="63"/>
  <c r="G25" i="63"/>
  <c r="F26" i="63"/>
  <c r="B28" i="63"/>
  <c r="F31" i="63"/>
  <c r="G33" i="63"/>
  <c r="F36" i="63"/>
  <c r="F40" i="63"/>
  <c r="G57" i="63"/>
  <c r="F58" i="63"/>
  <c r="G63" i="63"/>
  <c r="F64" i="63"/>
  <c r="G79" i="63"/>
  <c r="F83" i="63"/>
  <c r="D84" i="63"/>
  <c r="B94" i="63"/>
  <c r="B95" i="63"/>
  <c r="B96" i="63"/>
  <c r="B98" i="63"/>
  <c r="B100" i="63"/>
  <c r="B101" i="63"/>
  <c r="B102" i="63"/>
  <c r="G15" i="64"/>
  <c r="G21" i="64"/>
  <c r="G25" i="64"/>
  <c r="F26" i="64"/>
  <c r="C121" i="64"/>
  <c r="F33" i="64"/>
  <c r="G42" i="64"/>
  <c r="G57" i="64"/>
  <c r="D60" i="64"/>
  <c r="B102" i="64"/>
  <c r="C67" i="64"/>
  <c r="F71" i="64"/>
  <c r="F76" i="64"/>
  <c r="F79" i="64"/>
  <c r="F86" i="64"/>
  <c r="C84" i="64"/>
  <c r="C19" i="65"/>
  <c r="C98" i="65"/>
  <c r="C94" i="65"/>
  <c r="D54" i="65"/>
  <c r="G50" i="65"/>
  <c r="E102" i="65"/>
  <c r="E68" i="65"/>
  <c r="E90" i="65" s="1"/>
  <c r="E101" i="65"/>
  <c r="E100" i="65"/>
  <c r="E96" i="65"/>
  <c r="B101" i="6"/>
  <c r="B38" i="6"/>
  <c r="G17" i="61"/>
  <c r="G21" i="61"/>
  <c r="F31" i="61"/>
  <c r="G33" i="61"/>
  <c r="F40" i="61"/>
  <c r="D84" i="61"/>
  <c r="B92" i="61"/>
  <c r="B93" i="61"/>
  <c r="B94" i="61"/>
  <c r="B95" i="61"/>
  <c r="B96" i="61"/>
  <c r="B98" i="61"/>
  <c r="B100" i="61"/>
  <c r="B103" i="61"/>
  <c r="F23" i="62"/>
  <c r="G26" i="62"/>
  <c r="C28" i="62"/>
  <c r="F29" i="62"/>
  <c r="G31" i="62"/>
  <c r="G40" i="62"/>
  <c r="F47" i="62"/>
  <c r="G58" i="62"/>
  <c r="F80" i="62"/>
  <c r="C94" i="62"/>
  <c r="C97" i="62"/>
  <c r="C98" i="62"/>
  <c r="G26" i="63"/>
  <c r="F29" i="63"/>
  <c r="G31" i="63"/>
  <c r="G40" i="63"/>
  <c r="F36" i="64"/>
  <c r="F40" i="64"/>
  <c r="D54" i="64"/>
  <c r="G50" i="64"/>
  <c r="F60" i="64"/>
  <c r="C68" i="64"/>
  <c r="C102" i="64"/>
  <c r="G79" i="64"/>
  <c r="C124" i="64"/>
  <c r="D99" i="64"/>
  <c r="D98" i="64"/>
  <c r="G82" i="64"/>
  <c r="F82" i="64"/>
  <c r="D80" i="64"/>
  <c r="B108" i="65"/>
  <c r="C67" i="61"/>
  <c r="B126" i="61" s="1"/>
  <c r="C94" i="61"/>
  <c r="C98" i="61"/>
  <c r="C99" i="61"/>
  <c r="D67" i="62"/>
  <c r="D68" i="62" s="1"/>
  <c r="D94" i="62"/>
  <c r="D98" i="62"/>
  <c r="D99" i="62"/>
  <c r="C119" i="62"/>
  <c r="D67" i="63"/>
  <c r="D98" i="63"/>
  <c r="D99" i="63"/>
  <c r="C119" i="63"/>
  <c r="B19" i="64"/>
  <c r="B99" i="64"/>
  <c r="B95" i="64"/>
  <c r="G29" i="64"/>
  <c r="F31" i="64"/>
  <c r="C129" i="64"/>
  <c r="C119" i="64"/>
  <c r="G36" i="64"/>
  <c r="F39" i="64"/>
  <c r="G40" i="64"/>
  <c r="G63" i="64"/>
  <c r="D95" i="64"/>
  <c r="D67" i="64"/>
  <c r="G78" i="64"/>
  <c r="D124" i="64"/>
  <c r="G85" i="64"/>
  <c r="D84" i="64"/>
  <c r="F85" i="64"/>
  <c r="E98" i="65"/>
  <c r="E94" i="65"/>
  <c r="E19" i="65"/>
  <c r="C26" i="5"/>
  <c r="F20" i="5"/>
  <c r="B67" i="5"/>
  <c r="B84" i="5" s="1"/>
  <c r="B89" i="5" s="1"/>
  <c r="B91" i="5" s="1"/>
  <c r="D17" i="65"/>
  <c r="C60" i="65"/>
  <c r="C67" i="65"/>
  <c r="E87" i="65"/>
  <c r="C116" i="65"/>
  <c r="C120" i="65"/>
  <c r="D121" i="65"/>
  <c r="D1" i="15"/>
  <c r="C2" i="16"/>
  <c r="E7" i="15"/>
  <c r="E20" i="15"/>
  <c r="E24" i="15" s="1"/>
  <c r="L19" i="5"/>
  <c r="L27" i="5" s="1"/>
  <c r="D102" i="5"/>
  <c r="E56" i="5"/>
  <c r="G55" i="5"/>
  <c r="E108" i="5"/>
  <c r="D21" i="16"/>
  <c r="D23" i="16" s="1"/>
  <c r="G61" i="5"/>
  <c r="C22" i="15"/>
  <c r="C16" i="16"/>
  <c r="G69" i="5"/>
  <c r="D101" i="5"/>
  <c r="E105" i="5"/>
  <c r="D37" i="16" s="1"/>
  <c r="B110" i="5"/>
  <c r="M2" i="16"/>
  <c r="E6" i="15"/>
  <c r="E30" i="15" s="1"/>
  <c r="C27" i="1"/>
  <c r="G36" i="1"/>
  <c r="D29" i="5"/>
  <c r="G39" i="1"/>
  <c r="D32" i="5"/>
  <c r="G44" i="1"/>
  <c r="D37" i="5"/>
  <c r="F62" i="1"/>
  <c r="C63" i="1"/>
  <c r="C55" i="5"/>
  <c r="B114" i="1"/>
  <c r="B69" i="1"/>
  <c r="E120" i="1"/>
  <c r="G73" i="1"/>
  <c r="D66" i="5"/>
  <c r="E106" i="5"/>
  <c r="D39" i="16" s="1"/>
  <c r="E80" i="1"/>
  <c r="E111" i="1" s="1"/>
  <c r="E74" i="5"/>
  <c r="F83" i="1"/>
  <c r="C76" i="5"/>
  <c r="F86" i="1"/>
  <c r="F90" i="1"/>
  <c r="C83" i="5"/>
  <c r="D107" i="1"/>
  <c r="E38" i="6"/>
  <c r="E101" i="6"/>
  <c r="E109" i="6"/>
  <c r="E107" i="6"/>
  <c r="D63" i="6"/>
  <c r="G63" i="6" s="1"/>
  <c r="G62" i="6"/>
  <c r="E111" i="6"/>
  <c r="F42" i="64"/>
  <c r="G47" i="64"/>
  <c r="F48" i="64"/>
  <c r="F53" i="64"/>
  <c r="F66" i="64"/>
  <c r="B68" i="64"/>
  <c r="B90" i="64" s="1"/>
  <c r="F73" i="64"/>
  <c r="C77" i="64"/>
  <c r="C80" i="64"/>
  <c r="B19" i="65"/>
  <c r="G29" i="65"/>
  <c r="G41" i="65"/>
  <c r="G47" i="65"/>
  <c r="D60" i="65"/>
  <c r="D67" i="65"/>
  <c r="B68" i="65"/>
  <c r="B90" i="65" s="1"/>
  <c r="F73" i="65"/>
  <c r="C80" i="65"/>
  <c r="B87" i="65"/>
  <c r="D95" i="65"/>
  <c r="D98" i="65"/>
  <c r="D99" i="65"/>
  <c r="C119" i="65"/>
  <c r="C124" i="65"/>
  <c r="C129" i="65"/>
  <c r="B5" i="16"/>
  <c r="G3" i="16" s="1"/>
  <c r="B20" i="5"/>
  <c r="B26" i="5" s="1"/>
  <c r="D21" i="5"/>
  <c r="D26" i="5" s="1"/>
  <c r="D103" i="5"/>
  <c r="F28" i="5"/>
  <c r="C5" i="15"/>
  <c r="B9" i="16"/>
  <c r="C99" i="5"/>
  <c r="E100" i="5"/>
  <c r="D8" i="16"/>
  <c r="F75" i="5"/>
  <c r="B99" i="5"/>
  <c r="F17" i="1"/>
  <c r="G26" i="1"/>
  <c r="G29" i="1"/>
  <c r="D28" i="1"/>
  <c r="G35" i="1"/>
  <c r="G46" i="1"/>
  <c r="E100" i="1"/>
  <c r="E51" i="5"/>
  <c r="E93" i="5" s="1"/>
  <c r="F61" i="1"/>
  <c r="F65" i="1"/>
  <c r="C66" i="1"/>
  <c r="F68" i="1"/>
  <c r="C61" i="5"/>
  <c r="G72" i="1"/>
  <c r="F79" i="1"/>
  <c r="F82" i="1"/>
  <c r="G85" i="1"/>
  <c r="F89" i="1"/>
  <c r="F95" i="1"/>
  <c r="C88" i="5"/>
  <c r="E69" i="6"/>
  <c r="C111" i="6"/>
  <c r="E110" i="6"/>
  <c r="F19" i="7"/>
  <c r="C27" i="7"/>
  <c r="F39" i="7"/>
  <c r="C106" i="7"/>
  <c r="C28" i="8"/>
  <c r="F60" i="8"/>
  <c r="C63" i="8"/>
  <c r="E67" i="64"/>
  <c r="E100" i="64" s="1"/>
  <c r="G73" i="64"/>
  <c r="E98" i="64"/>
  <c r="E99" i="64"/>
  <c r="F15" i="65"/>
  <c r="F21" i="65"/>
  <c r="C23" i="65"/>
  <c r="F25" i="65"/>
  <c r="C27" i="65"/>
  <c r="F27" i="65" s="1"/>
  <c r="F33" i="65"/>
  <c r="F39" i="65"/>
  <c r="F49" i="65"/>
  <c r="F57" i="65"/>
  <c r="F63" i="65"/>
  <c r="F71" i="65"/>
  <c r="F76" i="65"/>
  <c r="G78" i="65"/>
  <c r="F79" i="65"/>
  <c r="D80" i="65"/>
  <c r="G81" i="65"/>
  <c r="F82" i="65"/>
  <c r="C84" i="65"/>
  <c r="F85" i="65"/>
  <c r="D119" i="65"/>
  <c r="C3" i="18"/>
  <c r="F8" i="5"/>
  <c r="F10" i="5"/>
  <c r="C5" i="16"/>
  <c r="H3" i="16" s="1"/>
  <c r="F12" i="5"/>
  <c r="F14" i="5"/>
  <c r="F16" i="5"/>
  <c r="D7" i="15"/>
  <c r="D20" i="15"/>
  <c r="F18" i="5"/>
  <c r="J19" i="5"/>
  <c r="J27" i="5" s="1"/>
  <c r="E21" i="5"/>
  <c r="C18" i="44" s="1"/>
  <c r="F24" i="5"/>
  <c r="E103" i="5"/>
  <c r="F27" i="5"/>
  <c r="B56" i="5"/>
  <c r="B59" i="5" s="1"/>
  <c r="F58" i="5"/>
  <c r="C29" i="15"/>
  <c r="F60" i="5"/>
  <c r="B20" i="16"/>
  <c r="C108" i="5"/>
  <c r="F73" i="5"/>
  <c r="G74" i="5"/>
  <c r="G77" i="5"/>
  <c r="D39" i="15"/>
  <c r="C37" i="15"/>
  <c r="C105" i="5"/>
  <c r="B37" i="16" s="1"/>
  <c r="C28" i="15"/>
  <c r="B108" i="5"/>
  <c r="B2" i="16"/>
  <c r="B8" i="16"/>
  <c r="E15" i="15"/>
  <c r="H3" i="31"/>
  <c r="K3" i="31"/>
  <c r="H3" i="30"/>
  <c r="I3" i="19"/>
  <c r="G17" i="1"/>
  <c r="D27" i="1"/>
  <c r="G4" i="30"/>
  <c r="I4" i="30" s="1"/>
  <c r="F21" i="1"/>
  <c r="E28" i="5"/>
  <c r="G28" i="5" s="1"/>
  <c r="E109" i="1"/>
  <c r="F37" i="1"/>
  <c r="C30" i="5"/>
  <c r="F30" i="5" s="1"/>
  <c r="E38" i="1"/>
  <c r="F40" i="1"/>
  <c r="C33" i="5"/>
  <c r="C117" i="1"/>
  <c r="E65" i="5"/>
  <c r="B74" i="1"/>
  <c r="C108" i="1"/>
  <c r="F76" i="1"/>
  <c r="C75" i="1"/>
  <c r="C69" i="5"/>
  <c r="G79" i="1"/>
  <c r="D72" i="5"/>
  <c r="G82" i="1"/>
  <c r="D80" i="1"/>
  <c r="G89" i="1"/>
  <c r="D82" i="5"/>
  <c r="F97" i="1"/>
  <c r="D106" i="1"/>
  <c r="D108" i="1"/>
  <c r="D110" i="1"/>
  <c r="G15" i="6"/>
  <c r="D107" i="6"/>
  <c r="D27" i="6"/>
  <c r="G25" i="6"/>
  <c r="D112" i="6"/>
  <c r="G28" i="6"/>
  <c r="F32" i="6"/>
  <c r="F35" i="6"/>
  <c r="I5" i="31"/>
  <c r="C107" i="6"/>
  <c r="F44" i="6"/>
  <c r="G48" i="6"/>
  <c r="G50" i="6"/>
  <c r="F50" i="6"/>
  <c r="B114" i="6"/>
  <c r="B118" i="6" s="1"/>
  <c r="B69" i="6"/>
  <c r="F86" i="6"/>
  <c r="D109" i="7"/>
  <c r="G35" i="7"/>
  <c r="G19" i="8"/>
  <c r="D27" i="8"/>
  <c r="D111" i="8" s="1"/>
  <c r="B38" i="8"/>
  <c r="B101" i="8"/>
  <c r="G21" i="65"/>
  <c r="G25" i="65"/>
  <c r="F40" i="65"/>
  <c r="D84" i="65"/>
  <c r="B94" i="65"/>
  <c r="B95" i="65"/>
  <c r="B96" i="65"/>
  <c r="B98" i="65"/>
  <c r="B100" i="65"/>
  <c r="G8" i="5"/>
  <c r="D5" i="16"/>
  <c r="I3" i="16" s="1"/>
  <c r="K19" i="5"/>
  <c r="K27" i="5" s="1"/>
  <c r="F25" i="5"/>
  <c r="G27" i="5"/>
  <c r="C102" i="5"/>
  <c r="F32" i="5"/>
  <c r="F34" i="5"/>
  <c r="D56" i="5"/>
  <c r="D29" i="15"/>
  <c r="C20" i="16"/>
  <c r="C23" i="16" s="1"/>
  <c r="D108" i="5"/>
  <c r="D31" i="15"/>
  <c r="F65" i="5"/>
  <c r="C21" i="15"/>
  <c r="D73" i="5"/>
  <c r="D105" i="5"/>
  <c r="C37" i="16" s="1"/>
  <c r="F81" i="5"/>
  <c r="B105" i="5"/>
  <c r="B109" i="5"/>
  <c r="C20" i="15"/>
  <c r="D28" i="15"/>
  <c r="B101" i="1"/>
  <c r="B38" i="1"/>
  <c r="C28" i="1"/>
  <c r="F28" i="1" s="1"/>
  <c r="C110" i="1"/>
  <c r="F36" i="1"/>
  <c r="G53" i="1"/>
  <c r="D63" i="1"/>
  <c r="G64" i="1"/>
  <c r="D57" i="5"/>
  <c r="F73" i="1"/>
  <c r="G78" i="1"/>
  <c r="G81" i="1"/>
  <c r="B120" i="1"/>
  <c r="G88" i="1"/>
  <c r="G97" i="1"/>
  <c r="D90" i="5"/>
  <c r="B118" i="1"/>
  <c r="E108" i="6"/>
  <c r="G17" i="6"/>
  <c r="H5" i="30"/>
  <c r="G21" i="6"/>
  <c r="F29" i="6"/>
  <c r="C28" i="6"/>
  <c r="F28" i="6" s="1"/>
  <c r="D110" i="6"/>
  <c r="G32" i="6"/>
  <c r="G40" i="6"/>
  <c r="F40" i="6"/>
  <c r="C117" i="6"/>
  <c r="B116" i="6"/>
  <c r="B91" i="6"/>
  <c r="B96" i="6" s="1"/>
  <c r="B98" i="6" s="1"/>
  <c r="B99" i="6" s="1"/>
  <c r="G76" i="6"/>
  <c r="D108" i="6"/>
  <c r="D75" i="6"/>
  <c r="G90" i="6"/>
  <c r="D86" i="6"/>
  <c r="G86" i="6" s="1"/>
  <c r="E106" i="6"/>
  <c r="D109" i="6"/>
  <c r="G62" i="7"/>
  <c r="D63" i="7"/>
  <c r="E74" i="7"/>
  <c r="E91" i="7" s="1"/>
  <c r="E96" i="7" s="1"/>
  <c r="E98" i="7" s="1"/>
  <c r="F87" i="7"/>
  <c r="C86" i="7"/>
  <c r="F86" i="7" s="1"/>
  <c r="C112" i="7"/>
  <c r="B99" i="7"/>
  <c r="D108" i="8"/>
  <c r="G77" i="8"/>
  <c r="F77" i="8"/>
  <c r="D75" i="8"/>
  <c r="G80" i="8"/>
  <c r="G84" i="8"/>
  <c r="F84" i="8"/>
  <c r="G19" i="9"/>
  <c r="E27" i="9"/>
  <c r="F31" i="9"/>
  <c r="C28" i="9"/>
  <c r="F28" i="9" s="1"/>
  <c r="G37" i="9"/>
  <c r="F37" i="9"/>
  <c r="G50" i="9"/>
  <c r="F50" i="9"/>
  <c r="B69" i="9"/>
  <c r="B114" i="9"/>
  <c r="B118" i="9" s="1"/>
  <c r="C115" i="9"/>
  <c r="F67" i="9"/>
  <c r="E107" i="9"/>
  <c r="B101" i="10"/>
  <c r="B38" i="10"/>
  <c r="G87" i="10"/>
  <c r="D86" i="10"/>
  <c r="G86" i="10" s="1"/>
  <c r="F87" i="10"/>
  <c r="B38" i="46"/>
  <c r="B101" i="46"/>
  <c r="G65" i="12"/>
  <c r="F65" i="12"/>
  <c r="E79" i="5"/>
  <c r="D30" i="16" s="1"/>
  <c r="G80" i="5"/>
  <c r="G86" i="5"/>
  <c r="C100" i="5"/>
  <c r="C104" i="5"/>
  <c r="B38" i="16" s="1"/>
  <c r="D9" i="16"/>
  <c r="C21" i="16"/>
  <c r="C12" i="15"/>
  <c r="F26" i="1"/>
  <c r="F32" i="1"/>
  <c r="F35" i="1"/>
  <c r="F46" i="1"/>
  <c r="F53" i="1"/>
  <c r="F60" i="1"/>
  <c r="F72" i="1"/>
  <c r="E75" i="1"/>
  <c r="C80" i="1"/>
  <c r="D86" i="1"/>
  <c r="G86" i="1" s="1"/>
  <c r="E112" i="1"/>
  <c r="E115" i="1"/>
  <c r="E118" i="1" s="1"/>
  <c r="F17" i="6"/>
  <c r="F25" i="6"/>
  <c r="C27" i="6"/>
  <c r="F31" i="6"/>
  <c r="F34" i="6"/>
  <c r="F65" i="6"/>
  <c r="D117" i="6"/>
  <c r="G15" i="7"/>
  <c r="D27" i="7"/>
  <c r="F29" i="7"/>
  <c r="C28" i="7"/>
  <c r="F28" i="7" s="1"/>
  <c r="B33" i="7"/>
  <c r="E63" i="7"/>
  <c r="E66" i="7" s="1"/>
  <c r="G65" i="7"/>
  <c r="D66" i="7"/>
  <c r="C117" i="7"/>
  <c r="C108" i="7"/>
  <c r="D112" i="7"/>
  <c r="B118" i="7"/>
  <c r="E117" i="7"/>
  <c r="J7" i="31"/>
  <c r="H7" i="19"/>
  <c r="F27" i="8"/>
  <c r="C33" i="8"/>
  <c r="D109" i="8"/>
  <c r="G39" i="8"/>
  <c r="D106" i="8"/>
  <c r="G44" i="8"/>
  <c r="D107" i="8"/>
  <c r="G71" i="8"/>
  <c r="F71" i="8"/>
  <c r="E108" i="8"/>
  <c r="E75" i="8"/>
  <c r="G76" i="8"/>
  <c r="G87" i="8"/>
  <c r="D86" i="8"/>
  <c r="G86" i="8" s="1"/>
  <c r="F87" i="8"/>
  <c r="G93" i="8"/>
  <c r="F93" i="8"/>
  <c r="G40" i="9"/>
  <c r="F40" i="9"/>
  <c r="G53" i="9"/>
  <c r="F53" i="9"/>
  <c r="G60" i="9"/>
  <c r="F60" i="9"/>
  <c r="D63" i="9"/>
  <c r="G72" i="9"/>
  <c r="F72" i="9"/>
  <c r="B106" i="9"/>
  <c r="G89" i="9"/>
  <c r="E86" i="9"/>
  <c r="E117" i="9" s="1"/>
  <c r="G19" i="10"/>
  <c r="F19" i="10"/>
  <c r="D27" i="10"/>
  <c r="G29" i="10"/>
  <c r="F29" i="10"/>
  <c r="D110" i="10"/>
  <c r="C114" i="10"/>
  <c r="C69" i="10"/>
  <c r="E108" i="10"/>
  <c r="E75" i="10"/>
  <c r="G76" i="10"/>
  <c r="F77" i="5"/>
  <c r="F87" i="5"/>
  <c r="F39" i="1"/>
  <c r="F44" i="1"/>
  <c r="G60" i="1"/>
  <c r="F67" i="1"/>
  <c r="B106" i="1"/>
  <c r="F21" i="6"/>
  <c r="G37" i="6"/>
  <c r="C106" i="6"/>
  <c r="F48" i="6"/>
  <c r="G53" i="6"/>
  <c r="F64" i="6"/>
  <c r="D66" i="6"/>
  <c r="E117" i="6"/>
  <c r="G72" i="6"/>
  <c r="G73" i="6"/>
  <c r="E74" i="6"/>
  <c r="E91" i="6" s="1"/>
  <c r="E96" i="6" s="1"/>
  <c r="E98" i="6" s="1"/>
  <c r="E99" i="6" s="1"/>
  <c r="F83" i="6"/>
  <c r="F97" i="6"/>
  <c r="E113" i="6"/>
  <c r="D115" i="6"/>
  <c r="E27" i="7"/>
  <c r="E33" i="7" s="1"/>
  <c r="G17" i="7"/>
  <c r="F26" i="7"/>
  <c r="C110" i="7"/>
  <c r="I6" i="31"/>
  <c r="F44" i="7"/>
  <c r="C107" i="7"/>
  <c r="G48" i="7"/>
  <c r="F59" i="7"/>
  <c r="C63" i="7"/>
  <c r="D117" i="7"/>
  <c r="G73" i="7"/>
  <c r="D108" i="7"/>
  <c r="G76" i="7"/>
  <c r="D75" i="7"/>
  <c r="G79" i="7"/>
  <c r="F80" i="7"/>
  <c r="F83" i="7"/>
  <c r="G89" i="7"/>
  <c r="F95" i="7"/>
  <c r="E107" i="7"/>
  <c r="E27" i="8"/>
  <c r="E33" i="8" s="1"/>
  <c r="G29" i="8"/>
  <c r="D28" i="8"/>
  <c r="G28" i="8" s="1"/>
  <c r="D110" i="8"/>
  <c r="E109" i="8"/>
  <c r="E107" i="8"/>
  <c r="G46" i="8"/>
  <c r="G59" i="8"/>
  <c r="F59" i="8"/>
  <c r="D63" i="8"/>
  <c r="F78" i="8"/>
  <c r="C75" i="8"/>
  <c r="F81" i="8"/>
  <c r="C80" i="8"/>
  <c r="E112" i="8"/>
  <c r="B116" i="8"/>
  <c r="B119" i="8" s="1"/>
  <c r="C27" i="9"/>
  <c r="G24" i="9"/>
  <c r="F24" i="9"/>
  <c r="D27" i="9"/>
  <c r="G30" i="9"/>
  <c r="F30" i="9"/>
  <c r="E28" i="9"/>
  <c r="E112" i="9" s="1"/>
  <c r="E110" i="9"/>
  <c r="B38" i="9"/>
  <c r="E106" i="9"/>
  <c r="G39" i="9"/>
  <c r="G59" i="9"/>
  <c r="E63" i="9"/>
  <c r="E66" i="9" s="1"/>
  <c r="C75" i="9"/>
  <c r="G78" i="9"/>
  <c r="F78" i="9"/>
  <c r="D75" i="9"/>
  <c r="G44" i="10"/>
  <c r="D107" i="10"/>
  <c r="F44" i="10"/>
  <c r="B114" i="10"/>
  <c r="B69" i="10"/>
  <c r="B113" i="10"/>
  <c r="B74" i="10"/>
  <c r="G40" i="13"/>
  <c r="F40" i="13"/>
  <c r="B22" i="16"/>
  <c r="G3" i="31"/>
  <c r="I3" i="31"/>
  <c r="G3" i="30"/>
  <c r="J3" i="31"/>
  <c r="H3" i="19"/>
  <c r="C107" i="1"/>
  <c r="C115" i="1"/>
  <c r="C110" i="6"/>
  <c r="C109" i="6"/>
  <c r="F62" i="6"/>
  <c r="C63" i="6"/>
  <c r="G64" i="6"/>
  <c r="F68" i="6"/>
  <c r="C108" i="6"/>
  <c r="F76" i="6"/>
  <c r="C75" i="6"/>
  <c r="B111" i="6"/>
  <c r="F82" i="6"/>
  <c r="B120" i="6"/>
  <c r="B119" i="6"/>
  <c r="C112" i="6"/>
  <c r="F90" i="6"/>
  <c r="F95" i="6"/>
  <c r="G97" i="6"/>
  <c r="E118" i="6"/>
  <c r="H6" i="30"/>
  <c r="G21" i="7"/>
  <c r="G25" i="7"/>
  <c r="G31" i="7"/>
  <c r="D110" i="7"/>
  <c r="G32" i="7"/>
  <c r="C109" i="7"/>
  <c r="D107" i="7"/>
  <c r="F62" i="7"/>
  <c r="D111" i="7"/>
  <c r="E80" i="7"/>
  <c r="G82" i="7"/>
  <c r="F19" i="8"/>
  <c r="G52" i="8"/>
  <c r="F52" i="8"/>
  <c r="E63" i="8"/>
  <c r="G62" i="8"/>
  <c r="E66" i="8"/>
  <c r="G65" i="8"/>
  <c r="F72" i="8"/>
  <c r="F88" i="8"/>
  <c r="C86" i="8"/>
  <c r="B113" i="8"/>
  <c r="C63" i="9"/>
  <c r="F63" i="9" s="1"/>
  <c r="G77" i="9"/>
  <c r="E75" i="9"/>
  <c r="B119" i="9"/>
  <c r="B120" i="9"/>
  <c r="E109" i="9"/>
  <c r="G36" i="10"/>
  <c r="F36" i="10"/>
  <c r="G71" i="10"/>
  <c r="F71" i="10"/>
  <c r="G93" i="10"/>
  <c r="F93" i="10"/>
  <c r="D109" i="10"/>
  <c r="F22" i="12"/>
  <c r="C108" i="12"/>
  <c r="C27" i="12"/>
  <c r="B106" i="7"/>
  <c r="B113" i="7"/>
  <c r="B119" i="7"/>
  <c r="C106" i="8"/>
  <c r="C107" i="8"/>
  <c r="C115" i="8"/>
  <c r="C110" i="9"/>
  <c r="C109" i="9"/>
  <c r="D117" i="9"/>
  <c r="D115" i="9"/>
  <c r="C108" i="9"/>
  <c r="F87" i="9"/>
  <c r="C86" i="9"/>
  <c r="F86" i="9" s="1"/>
  <c r="C112" i="9"/>
  <c r="B91" i="9"/>
  <c r="B96" i="9" s="1"/>
  <c r="B98" i="9" s="1"/>
  <c r="B99" i="9" s="1"/>
  <c r="D108" i="10"/>
  <c r="G22" i="10"/>
  <c r="F22" i="10"/>
  <c r="H9" i="19"/>
  <c r="J9" i="31"/>
  <c r="F27" i="10"/>
  <c r="E110" i="10"/>
  <c r="G32" i="10"/>
  <c r="E109" i="10"/>
  <c r="G35" i="10"/>
  <c r="E107" i="10"/>
  <c r="G59" i="10"/>
  <c r="F59" i="10"/>
  <c r="D63" i="10"/>
  <c r="F78" i="10"/>
  <c r="C75" i="10"/>
  <c r="F81" i="10"/>
  <c r="C80" i="10"/>
  <c r="C110" i="46"/>
  <c r="F32" i="46"/>
  <c r="E66" i="46"/>
  <c r="F80" i="46"/>
  <c r="G90" i="46"/>
  <c r="D86" i="46"/>
  <c r="G86" i="46" s="1"/>
  <c r="G15" i="12"/>
  <c r="D27" i="12"/>
  <c r="F15" i="12"/>
  <c r="F28" i="12"/>
  <c r="E63" i="12"/>
  <c r="F17" i="13"/>
  <c r="C109" i="13"/>
  <c r="C107" i="13"/>
  <c r="C110" i="13"/>
  <c r="C108" i="13"/>
  <c r="B101" i="13"/>
  <c r="B38" i="13"/>
  <c r="F82" i="13"/>
  <c r="C80" i="13"/>
  <c r="B120" i="13"/>
  <c r="F67" i="6"/>
  <c r="D80" i="6"/>
  <c r="B106" i="6"/>
  <c r="F21" i="7"/>
  <c r="F32" i="7"/>
  <c r="F35" i="7"/>
  <c r="G67" i="7"/>
  <c r="C75" i="7"/>
  <c r="F76" i="7"/>
  <c r="C115" i="7"/>
  <c r="G21" i="8"/>
  <c r="G32" i="8"/>
  <c r="G35" i="8"/>
  <c r="F44" i="8"/>
  <c r="D115" i="8"/>
  <c r="D110" i="9"/>
  <c r="D109" i="9"/>
  <c r="C106" i="9"/>
  <c r="I8" i="31"/>
  <c r="C107" i="9"/>
  <c r="D108" i="9"/>
  <c r="F80" i="9"/>
  <c r="G86" i="9"/>
  <c r="D112" i="9"/>
  <c r="G95" i="9"/>
  <c r="F95" i="9"/>
  <c r="E27" i="10"/>
  <c r="E33" i="10" s="1"/>
  <c r="G15" i="10"/>
  <c r="C28" i="10"/>
  <c r="C33" i="10" s="1"/>
  <c r="G39" i="10"/>
  <c r="D106" i="10"/>
  <c r="F39" i="10"/>
  <c r="G52" i="10"/>
  <c r="F52" i="10"/>
  <c r="E63" i="10"/>
  <c r="E66" i="10" s="1"/>
  <c r="G62" i="10"/>
  <c r="G65" i="10"/>
  <c r="F72" i="10"/>
  <c r="C106" i="10"/>
  <c r="E86" i="10"/>
  <c r="F88" i="10"/>
  <c r="C86" i="10"/>
  <c r="C118" i="10"/>
  <c r="F29" i="46"/>
  <c r="C28" i="46"/>
  <c r="F28" i="46" s="1"/>
  <c r="D110" i="46"/>
  <c r="D63" i="46"/>
  <c r="G63" i="46" s="1"/>
  <c r="G62" i="46"/>
  <c r="B116" i="46"/>
  <c r="B91" i="46"/>
  <c r="B96" i="46" s="1"/>
  <c r="B98" i="46" s="1"/>
  <c r="G76" i="46"/>
  <c r="D108" i="46"/>
  <c r="D75" i="46"/>
  <c r="B38" i="12"/>
  <c r="B101" i="12"/>
  <c r="G29" i="12"/>
  <c r="D28" i="12"/>
  <c r="G28" i="12" s="1"/>
  <c r="G46" i="12"/>
  <c r="F46" i="12"/>
  <c r="B114" i="12"/>
  <c r="B69" i="12"/>
  <c r="B111" i="12"/>
  <c r="B119" i="13"/>
  <c r="C115" i="6"/>
  <c r="D115" i="7"/>
  <c r="E115" i="8"/>
  <c r="D106" i="9"/>
  <c r="D107" i="9"/>
  <c r="D111" i="9"/>
  <c r="F83" i="9"/>
  <c r="G90" i="9"/>
  <c r="F90" i="9"/>
  <c r="F93" i="9"/>
  <c r="F24" i="10"/>
  <c r="D28" i="10"/>
  <c r="G28" i="10" s="1"/>
  <c r="C110" i="10"/>
  <c r="C109" i="10"/>
  <c r="G77" i="10"/>
  <c r="F77" i="10"/>
  <c r="D75" i="10"/>
  <c r="G80" i="10"/>
  <c r="D111" i="10"/>
  <c r="G84" i="10"/>
  <c r="F84" i="10"/>
  <c r="B106" i="10"/>
  <c r="G82" i="46"/>
  <c r="F82" i="46"/>
  <c r="D80" i="46"/>
  <c r="B120" i="10"/>
  <c r="E112" i="10"/>
  <c r="D115" i="10"/>
  <c r="F15" i="46"/>
  <c r="C27" i="46"/>
  <c r="G10" i="30"/>
  <c r="I10" i="30" s="1"/>
  <c r="F21" i="46"/>
  <c r="F65" i="46"/>
  <c r="G79" i="46"/>
  <c r="F79" i="46"/>
  <c r="E80" i="46"/>
  <c r="G81" i="46"/>
  <c r="G89" i="46"/>
  <c r="F89" i="46"/>
  <c r="E109" i="46"/>
  <c r="B118" i="46"/>
  <c r="E101" i="12"/>
  <c r="E38" i="12"/>
  <c r="G18" i="12"/>
  <c r="F18" i="12"/>
  <c r="D110" i="12"/>
  <c r="G32" i="12"/>
  <c r="F32" i="12"/>
  <c r="I11" i="31"/>
  <c r="F44" i="12"/>
  <c r="C107" i="12"/>
  <c r="F59" i="12"/>
  <c r="C63" i="12"/>
  <c r="E66" i="12"/>
  <c r="G68" i="12"/>
  <c r="F68" i="12"/>
  <c r="D108" i="12"/>
  <c r="G76" i="12"/>
  <c r="D75" i="12"/>
  <c r="F76" i="12"/>
  <c r="C111" i="12"/>
  <c r="F80" i="12"/>
  <c r="B120" i="12"/>
  <c r="D27" i="46"/>
  <c r="E27" i="46"/>
  <c r="C109" i="46"/>
  <c r="F35" i="46"/>
  <c r="I10" i="31"/>
  <c r="C107" i="46"/>
  <c r="D66" i="46"/>
  <c r="E74" i="46"/>
  <c r="G88" i="46"/>
  <c r="E86" i="46"/>
  <c r="E117" i="46" s="1"/>
  <c r="D107" i="46"/>
  <c r="E108" i="46"/>
  <c r="E113" i="46"/>
  <c r="D115" i="46"/>
  <c r="D117" i="46"/>
  <c r="H11" i="30"/>
  <c r="G21" i="12"/>
  <c r="F21" i="12"/>
  <c r="G26" i="12"/>
  <c r="F26" i="12"/>
  <c r="E110" i="12"/>
  <c r="C109" i="12"/>
  <c r="E117" i="12"/>
  <c r="E115" i="12"/>
  <c r="G67" i="12"/>
  <c r="B91" i="12"/>
  <c r="B96" i="12" s="1"/>
  <c r="B98" i="12" s="1"/>
  <c r="B116" i="12"/>
  <c r="B119" i="12" s="1"/>
  <c r="G83" i="12"/>
  <c r="F83" i="12"/>
  <c r="G86" i="12"/>
  <c r="G89" i="12"/>
  <c r="E86" i="12"/>
  <c r="C106" i="12"/>
  <c r="B118" i="12"/>
  <c r="G72" i="13"/>
  <c r="F72" i="13"/>
  <c r="C106" i="13"/>
  <c r="B101" i="14"/>
  <c r="B38" i="14"/>
  <c r="G30" i="14"/>
  <c r="F30" i="14"/>
  <c r="E117" i="10"/>
  <c r="E115" i="10"/>
  <c r="B118" i="10"/>
  <c r="F17" i="46"/>
  <c r="G24" i="46"/>
  <c r="G25" i="46"/>
  <c r="E28" i="46"/>
  <c r="E112" i="46" s="1"/>
  <c r="G32" i="46"/>
  <c r="F34" i="46"/>
  <c r="F48" i="46"/>
  <c r="G50" i="46"/>
  <c r="G53" i="46"/>
  <c r="F62" i="46"/>
  <c r="C63" i="46"/>
  <c r="G64" i="46"/>
  <c r="F68" i="46"/>
  <c r="B69" i="46"/>
  <c r="C108" i="46"/>
  <c r="F76" i="46"/>
  <c r="C75" i="46"/>
  <c r="B111" i="46"/>
  <c r="B120" i="46"/>
  <c r="B119" i="46"/>
  <c r="F90" i="46"/>
  <c r="F95" i="46"/>
  <c r="G97" i="46"/>
  <c r="F97" i="46"/>
  <c r="E115" i="46"/>
  <c r="F19" i="12"/>
  <c r="F29" i="12"/>
  <c r="D109" i="12"/>
  <c r="G35" i="12"/>
  <c r="F35" i="12"/>
  <c r="G62" i="12"/>
  <c r="D63" i="12"/>
  <c r="G63" i="12" s="1"/>
  <c r="F62" i="12"/>
  <c r="E75" i="12"/>
  <c r="F77" i="12"/>
  <c r="C75" i="12"/>
  <c r="G82" i="12"/>
  <c r="E80" i="12"/>
  <c r="C112" i="12"/>
  <c r="F87" i="12"/>
  <c r="C86" i="12"/>
  <c r="F86" i="12" s="1"/>
  <c r="G53" i="13"/>
  <c r="F53" i="13"/>
  <c r="G60" i="13"/>
  <c r="F60" i="13"/>
  <c r="D63" i="13"/>
  <c r="E112" i="13"/>
  <c r="E86" i="13"/>
  <c r="E117" i="13" s="1"/>
  <c r="E109" i="12"/>
  <c r="D107" i="12"/>
  <c r="E108" i="12"/>
  <c r="D111" i="12"/>
  <c r="D112" i="12"/>
  <c r="C27" i="13"/>
  <c r="G24" i="13"/>
  <c r="F24" i="13"/>
  <c r="D27" i="13"/>
  <c r="G30" i="13"/>
  <c r="F30" i="13"/>
  <c r="E106" i="13"/>
  <c r="G39" i="13"/>
  <c r="G59" i="13"/>
  <c r="E63" i="13"/>
  <c r="E66" i="13" s="1"/>
  <c r="C113" i="13"/>
  <c r="C74" i="13"/>
  <c r="G78" i="13"/>
  <c r="D75" i="13"/>
  <c r="F89" i="13"/>
  <c r="C86" i="13"/>
  <c r="D66" i="14"/>
  <c r="F67" i="46"/>
  <c r="B106" i="46"/>
  <c r="E107" i="12"/>
  <c r="C115" i="12"/>
  <c r="E112" i="12"/>
  <c r="B113" i="12"/>
  <c r="E107" i="13"/>
  <c r="G44" i="13"/>
  <c r="C63" i="13"/>
  <c r="F63" i="13" s="1"/>
  <c r="G81" i="13"/>
  <c r="D80" i="13"/>
  <c r="G85" i="13"/>
  <c r="F85" i="13"/>
  <c r="C112" i="14"/>
  <c r="E63" i="14"/>
  <c r="E66" i="14" s="1"/>
  <c r="G62" i="14"/>
  <c r="F86" i="14"/>
  <c r="C115" i="46"/>
  <c r="C110" i="12"/>
  <c r="D117" i="12"/>
  <c r="D115" i="12"/>
  <c r="G93" i="12"/>
  <c r="F93" i="12"/>
  <c r="B106" i="12"/>
  <c r="G19" i="13"/>
  <c r="E27" i="13"/>
  <c r="E33" i="13" s="1"/>
  <c r="F31" i="13"/>
  <c r="C28" i="13"/>
  <c r="E109" i="13"/>
  <c r="G37" i="13"/>
  <c r="F37" i="13"/>
  <c r="G50" i="13"/>
  <c r="F50" i="13"/>
  <c r="B69" i="13"/>
  <c r="B114" i="13"/>
  <c r="B118" i="13" s="1"/>
  <c r="C117" i="13"/>
  <c r="F67" i="13"/>
  <c r="C115" i="13"/>
  <c r="B106" i="13"/>
  <c r="G87" i="13"/>
  <c r="G88" i="13"/>
  <c r="D86" i="13"/>
  <c r="C117" i="14"/>
  <c r="D112" i="13"/>
  <c r="C27" i="14"/>
  <c r="C113" i="14" s="1"/>
  <c r="G24" i="14"/>
  <c r="F24" i="14"/>
  <c r="D27" i="14"/>
  <c r="G50" i="14"/>
  <c r="F50" i="14"/>
  <c r="F64" i="14"/>
  <c r="C74" i="14"/>
  <c r="F75" i="14"/>
  <c r="G90" i="14"/>
  <c r="E86" i="14"/>
  <c r="E115" i="13"/>
  <c r="E75" i="13"/>
  <c r="B91" i="13"/>
  <c r="B96" i="13" s="1"/>
  <c r="B98" i="13" s="1"/>
  <c r="B99" i="13" s="1"/>
  <c r="D108" i="14"/>
  <c r="E27" i="14"/>
  <c r="E33" i="14" s="1"/>
  <c r="D109" i="14"/>
  <c r="G40" i="14"/>
  <c r="F40" i="14"/>
  <c r="E107" i="14"/>
  <c r="G44" i="14"/>
  <c r="E117" i="14"/>
  <c r="D113" i="14"/>
  <c r="G84" i="14"/>
  <c r="F84" i="14"/>
  <c r="D110" i="14"/>
  <c r="H47" i="19"/>
  <c r="F25" i="14"/>
  <c r="D28" i="14"/>
  <c r="F28" i="14" s="1"/>
  <c r="G37" i="14"/>
  <c r="F37" i="14"/>
  <c r="E106" i="14"/>
  <c r="G39" i="14"/>
  <c r="C63" i="14"/>
  <c r="F63" i="14" s="1"/>
  <c r="F76" i="14"/>
  <c r="C108" i="14"/>
  <c r="D91" i="14"/>
  <c r="B106" i="14"/>
  <c r="F72" i="14"/>
  <c r="E108" i="14"/>
  <c r="E75" i="14"/>
  <c r="B111" i="14"/>
  <c r="F81" i="14"/>
  <c r="C80" i="14"/>
  <c r="G87" i="14"/>
  <c r="D86" i="14"/>
  <c r="G93" i="14"/>
  <c r="E110" i="14"/>
  <c r="E109" i="14"/>
  <c r="F53" i="14"/>
  <c r="B114" i="14"/>
  <c r="B120" i="14" s="1"/>
  <c r="B69" i="14"/>
  <c r="G71" i="14"/>
  <c r="B74" i="14"/>
  <c r="B113" i="14"/>
  <c r="G80" i="14"/>
  <c r="E112" i="14"/>
  <c r="C107" i="14"/>
  <c r="D111" i="14"/>
  <c r="C115" i="14"/>
  <c r="E115" i="14"/>
  <c r="K13" i="19"/>
  <c r="L9" i="31"/>
  <c r="J13" i="30"/>
  <c r="D21" i="18" l="1"/>
  <c r="I14" i="51"/>
  <c r="I11" i="51"/>
  <c r="I12" i="51"/>
  <c r="O24" i="51"/>
  <c r="G87" i="17"/>
  <c r="U16" i="17"/>
  <c r="U17" i="17" s="1"/>
  <c r="U40" i="17"/>
  <c r="G110" i="17"/>
  <c r="I7" i="51"/>
  <c r="G133" i="17"/>
  <c r="I8" i="51"/>
  <c r="G248" i="17"/>
  <c r="I13" i="51"/>
  <c r="I17" i="51"/>
  <c r="P16" i="17"/>
  <c r="P17" i="17" s="1"/>
  <c r="G363" i="17"/>
  <c r="G156" i="17"/>
  <c r="G16" i="17"/>
  <c r="G17" i="17" s="1"/>
  <c r="I23" i="51"/>
  <c r="G409" i="17"/>
  <c r="I16" i="51"/>
  <c r="G179" i="17"/>
  <c r="D18" i="17"/>
  <c r="I21" i="51"/>
  <c r="B18" i="17"/>
  <c r="C18" i="17"/>
  <c r="N48" i="51"/>
  <c r="N39" i="48"/>
  <c r="P44" i="51"/>
  <c r="N44" i="51" s="1"/>
  <c r="K2" i="19"/>
  <c r="O46" i="19" s="1"/>
  <c r="P38" i="18"/>
  <c r="G9" i="31"/>
  <c r="C38" i="10"/>
  <c r="C101" i="10"/>
  <c r="E114" i="10"/>
  <c r="E69" i="10"/>
  <c r="E69" i="7"/>
  <c r="E114" i="7"/>
  <c r="E118" i="7" s="1"/>
  <c r="D94" i="5"/>
  <c r="H4" i="16" s="1"/>
  <c r="D31" i="5"/>
  <c r="G26" i="5"/>
  <c r="E90" i="61"/>
  <c r="E69" i="61"/>
  <c r="E88" i="61" s="1"/>
  <c r="D90" i="62"/>
  <c r="G68" i="62"/>
  <c r="D96" i="14"/>
  <c r="C112" i="13"/>
  <c r="F28" i="13"/>
  <c r="E114" i="14"/>
  <c r="E69" i="14"/>
  <c r="D74" i="13"/>
  <c r="G75" i="13"/>
  <c r="D113" i="13"/>
  <c r="B105" i="13"/>
  <c r="B43" i="13"/>
  <c r="B49" i="13" s="1"/>
  <c r="B56" i="13"/>
  <c r="E114" i="46"/>
  <c r="E120" i="46" s="1"/>
  <c r="E69" i="46"/>
  <c r="E114" i="8"/>
  <c r="E120" i="8" s="1"/>
  <c r="E69" i="8"/>
  <c r="B105" i="9"/>
  <c r="B43" i="9"/>
  <c r="B49" i="9" s="1"/>
  <c r="B56" i="9"/>
  <c r="J8" i="31"/>
  <c r="H8" i="19"/>
  <c r="C33" i="9"/>
  <c r="F27" i="9"/>
  <c r="E8" i="48"/>
  <c r="E101" i="8"/>
  <c r="E38" i="8"/>
  <c r="G63" i="9"/>
  <c r="D66" i="9"/>
  <c r="G7" i="31"/>
  <c r="C38" i="8"/>
  <c r="C101" i="8"/>
  <c r="E120" i="7"/>
  <c r="K6" i="31"/>
  <c r="I6" i="19"/>
  <c r="D33" i="7"/>
  <c r="G27" i="7"/>
  <c r="E74" i="1"/>
  <c r="E113" i="1"/>
  <c r="C117" i="9"/>
  <c r="E99" i="7"/>
  <c r="G90" i="5"/>
  <c r="D14" i="15"/>
  <c r="F90" i="5"/>
  <c r="D94" i="43"/>
  <c r="G57" i="5"/>
  <c r="F57" i="5"/>
  <c r="D31" i="43"/>
  <c r="D59" i="5"/>
  <c r="G84" i="65"/>
  <c r="C125" i="65"/>
  <c r="K5" i="31"/>
  <c r="I5" i="19"/>
  <c r="D33" i="6"/>
  <c r="G27" i="6"/>
  <c r="G82" i="5"/>
  <c r="F82" i="5"/>
  <c r="D79" i="5"/>
  <c r="D21" i="43"/>
  <c r="C113" i="1"/>
  <c r="F75" i="1"/>
  <c r="C74" i="1"/>
  <c r="D22" i="15"/>
  <c r="D16" i="16"/>
  <c r="C81" i="43"/>
  <c r="K4" i="31"/>
  <c r="I4" i="19"/>
  <c r="D33" i="1"/>
  <c r="G27" i="1"/>
  <c r="B62" i="5"/>
  <c r="B107" i="5"/>
  <c r="B125" i="65"/>
  <c r="F84" i="65"/>
  <c r="F23" i="65"/>
  <c r="C99" i="65"/>
  <c r="C95" i="65"/>
  <c r="D117" i="8"/>
  <c r="H6" i="19"/>
  <c r="J6" i="19" s="1"/>
  <c r="J6" i="31"/>
  <c r="C33" i="7"/>
  <c r="F27" i="7"/>
  <c r="E6" i="48"/>
  <c r="C114" i="1"/>
  <c r="C69" i="1"/>
  <c r="B31" i="5"/>
  <c r="B94" i="5"/>
  <c r="C101" i="64"/>
  <c r="C100" i="64"/>
  <c r="C96" i="64"/>
  <c r="E56" i="6"/>
  <c r="E43" i="6"/>
  <c r="E49" i="6" s="1"/>
  <c r="E105" i="6"/>
  <c r="C126" i="65"/>
  <c r="F67" i="65"/>
  <c r="B126" i="65"/>
  <c r="C123" i="64"/>
  <c r="D97" i="64"/>
  <c r="G80" i="64"/>
  <c r="G54" i="64"/>
  <c r="C104" i="62"/>
  <c r="C103" i="62"/>
  <c r="C93" i="62"/>
  <c r="C92" i="62"/>
  <c r="C30" i="62"/>
  <c r="C125" i="61"/>
  <c r="G84" i="61"/>
  <c r="C105" i="65"/>
  <c r="C28" i="65"/>
  <c r="B104" i="63"/>
  <c r="B103" i="63"/>
  <c r="B93" i="63"/>
  <c r="B92" i="63"/>
  <c r="B30" i="63"/>
  <c r="C108" i="63"/>
  <c r="C98" i="63"/>
  <c r="C94" i="63"/>
  <c r="C19" i="63"/>
  <c r="F17" i="63"/>
  <c r="C123" i="61"/>
  <c r="D97" i="61"/>
  <c r="G80" i="61"/>
  <c r="B91" i="61"/>
  <c r="B32" i="61"/>
  <c r="B35" i="61" s="1"/>
  <c r="B37" i="61" s="1"/>
  <c r="G75" i="1"/>
  <c r="E94" i="5"/>
  <c r="I4" i="16" s="1"/>
  <c r="E31" i="5"/>
  <c r="F54" i="64"/>
  <c r="F84" i="63"/>
  <c r="B125" i="63"/>
  <c r="B127" i="63" s="1"/>
  <c r="F84" i="62"/>
  <c r="C77" i="62"/>
  <c r="B125" i="62"/>
  <c r="B127" i="62" s="1"/>
  <c r="D126" i="61"/>
  <c r="G67" i="61"/>
  <c r="D90" i="63"/>
  <c r="C69" i="63"/>
  <c r="F54" i="63"/>
  <c r="D125" i="61"/>
  <c r="D30" i="61"/>
  <c r="G28" i="61"/>
  <c r="D104" i="61"/>
  <c r="D103" i="61"/>
  <c r="D93" i="61"/>
  <c r="D92" i="61"/>
  <c r="D69" i="63"/>
  <c r="G54" i="63"/>
  <c r="C102" i="63"/>
  <c r="E69" i="62"/>
  <c r="C120" i="66"/>
  <c r="F61" i="66"/>
  <c r="E105" i="61"/>
  <c r="E28" i="61"/>
  <c r="D93" i="66"/>
  <c r="G17" i="66"/>
  <c r="E99" i="66"/>
  <c r="E22" i="66"/>
  <c r="H22" i="51"/>
  <c r="V454" i="17"/>
  <c r="H19" i="51"/>
  <c r="V385" i="17"/>
  <c r="V316" i="17"/>
  <c r="H16" i="51"/>
  <c r="H11" i="51"/>
  <c r="V201" i="17"/>
  <c r="V132" i="17"/>
  <c r="H8" i="51"/>
  <c r="N24" i="51"/>
  <c r="B4" i="52"/>
  <c r="C4" i="59"/>
  <c r="N44" i="19"/>
  <c r="N42" i="31"/>
  <c r="N42" i="30"/>
  <c r="M40" i="18"/>
  <c r="M46" i="51"/>
  <c r="O46" i="51" s="1"/>
  <c r="M37" i="48"/>
  <c r="O37" i="48" s="1"/>
  <c r="E113" i="14"/>
  <c r="E74" i="14"/>
  <c r="G63" i="13"/>
  <c r="D66" i="13"/>
  <c r="E101" i="10"/>
  <c r="E38" i="10"/>
  <c r="D66" i="10"/>
  <c r="G63" i="10"/>
  <c r="E114" i="9"/>
  <c r="E118" i="9" s="1"/>
  <c r="E69" i="9"/>
  <c r="D69" i="6"/>
  <c r="G69" i="6" s="1"/>
  <c r="G66" i="6"/>
  <c r="D114" i="6"/>
  <c r="D118" i="6" s="1"/>
  <c r="E113" i="8"/>
  <c r="E74" i="8"/>
  <c r="B116" i="14"/>
  <c r="B119" i="14" s="1"/>
  <c r="B91" i="14"/>
  <c r="B96" i="14" s="1"/>
  <c r="B98" i="14" s="1"/>
  <c r="B99" i="14" s="1"/>
  <c r="B118" i="14"/>
  <c r="C111" i="14"/>
  <c r="F80" i="14"/>
  <c r="C66" i="13"/>
  <c r="E111" i="12"/>
  <c r="G80" i="12"/>
  <c r="E113" i="12"/>
  <c r="E74" i="12"/>
  <c r="F63" i="46"/>
  <c r="G28" i="46"/>
  <c r="B99" i="12"/>
  <c r="E33" i="46"/>
  <c r="E114" i="12"/>
  <c r="E69" i="12"/>
  <c r="E111" i="10"/>
  <c r="E118" i="8"/>
  <c r="B56" i="12"/>
  <c r="B43" i="12"/>
  <c r="B49" i="12" s="1"/>
  <c r="B105" i="12"/>
  <c r="B99" i="46"/>
  <c r="C111" i="9"/>
  <c r="F80" i="13"/>
  <c r="C111" i="13"/>
  <c r="C113" i="10"/>
  <c r="C74" i="10"/>
  <c r="F75" i="10"/>
  <c r="J11" i="31"/>
  <c r="H11" i="19"/>
  <c r="F27" i="12"/>
  <c r="C33" i="12"/>
  <c r="E11" i="48"/>
  <c r="F63" i="6"/>
  <c r="C118" i="1"/>
  <c r="C113" i="9"/>
  <c r="F75" i="9"/>
  <c r="C74" i="9"/>
  <c r="K8" i="31"/>
  <c r="I8" i="19"/>
  <c r="G27" i="9"/>
  <c r="D33" i="9"/>
  <c r="C74" i="8"/>
  <c r="C113" i="8"/>
  <c r="F75" i="8"/>
  <c r="C111" i="7"/>
  <c r="B38" i="7"/>
  <c r="B101" i="7"/>
  <c r="C66" i="6"/>
  <c r="J5" i="31"/>
  <c r="H5" i="19"/>
  <c r="J5" i="19" s="1"/>
  <c r="C33" i="6"/>
  <c r="F27" i="6"/>
  <c r="E5" i="48"/>
  <c r="D66" i="12"/>
  <c r="B56" i="46"/>
  <c r="B43" i="46"/>
  <c r="B49" i="46" s="1"/>
  <c r="B105" i="46"/>
  <c r="E33" i="9"/>
  <c r="E111" i="9"/>
  <c r="G63" i="7"/>
  <c r="C18" i="16"/>
  <c r="G56" i="5"/>
  <c r="B56" i="8"/>
  <c r="B43" i="8"/>
  <c r="B49" i="8" s="1"/>
  <c r="B105" i="8"/>
  <c r="G72" i="5"/>
  <c r="F72" i="5"/>
  <c r="D65" i="43"/>
  <c r="E56" i="1"/>
  <c r="E105" i="1"/>
  <c r="E43" i="1"/>
  <c r="E49" i="1" s="1"/>
  <c r="E102" i="5"/>
  <c r="C14" i="44"/>
  <c r="G2" i="16"/>
  <c r="K2" i="16"/>
  <c r="E99" i="5"/>
  <c r="D77" i="64"/>
  <c r="F63" i="8"/>
  <c r="C66" i="8"/>
  <c r="B123" i="65"/>
  <c r="B127" i="65" s="1"/>
  <c r="C97" i="65"/>
  <c r="F80" i="65"/>
  <c r="D126" i="65"/>
  <c r="G67" i="65"/>
  <c r="E116" i="7"/>
  <c r="E119" i="7" s="1"/>
  <c r="F76" i="5"/>
  <c r="C13" i="15"/>
  <c r="E72" i="43"/>
  <c r="D6" i="15"/>
  <c r="D30" i="15" s="1"/>
  <c r="D100" i="5"/>
  <c r="C8" i="16"/>
  <c r="G37" i="5"/>
  <c r="L30" i="5"/>
  <c r="F37" i="5"/>
  <c r="L23" i="5"/>
  <c r="D24" i="44"/>
  <c r="G29" i="5"/>
  <c r="F29" i="5"/>
  <c r="E13" i="15"/>
  <c r="D18" i="16"/>
  <c r="D26" i="16" s="1"/>
  <c r="E59" i="5"/>
  <c r="F60" i="65"/>
  <c r="C68" i="65"/>
  <c r="C102" i="65"/>
  <c r="E105" i="65"/>
  <c r="E28" i="65"/>
  <c r="G84" i="64"/>
  <c r="C125" i="64"/>
  <c r="B105" i="64"/>
  <c r="B28" i="64"/>
  <c r="D126" i="63"/>
  <c r="G67" i="63"/>
  <c r="B69" i="65"/>
  <c r="B88" i="65" s="1"/>
  <c r="C90" i="64"/>
  <c r="F21" i="5"/>
  <c r="B125" i="64"/>
  <c r="F84" i="64"/>
  <c r="D68" i="64"/>
  <c r="D102" i="64"/>
  <c r="G60" i="64"/>
  <c r="C125" i="63"/>
  <c r="G84" i="63"/>
  <c r="C125" i="62"/>
  <c r="G84" i="62"/>
  <c r="B119" i="66"/>
  <c r="F78" i="66"/>
  <c r="C71" i="66"/>
  <c r="D123" i="64"/>
  <c r="C69" i="64"/>
  <c r="D97" i="63"/>
  <c r="G80" i="63"/>
  <c r="F80" i="63"/>
  <c r="C123" i="63"/>
  <c r="C127" i="63" s="1"/>
  <c r="D97" i="62"/>
  <c r="G80" i="62"/>
  <c r="C123" i="62"/>
  <c r="C101" i="61"/>
  <c r="C100" i="61"/>
  <c r="C96" i="61"/>
  <c r="E105" i="63"/>
  <c r="E28" i="63"/>
  <c r="F67" i="62"/>
  <c r="E96" i="61"/>
  <c r="F68" i="62"/>
  <c r="C90" i="62"/>
  <c r="D69" i="62"/>
  <c r="G54" i="62"/>
  <c r="D95" i="66"/>
  <c r="D94" i="66"/>
  <c r="D90" i="66"/>
  <c r="G71" i="66"/>
  <c r="C105" i="64"/>
  <c r="F19" i="64"/>
  <c r="C28" i="64"/>
  <c r="E96" i="63"/>
  <c r="D105" i="63"/>
  <c r="D28" i="63"/>
  <c r="G19" i="63"/>
  <c r="E105" i="62"/>
  <c r="E28" i="62"/>
  <c r="C126" i="63"/>
  <c r="C119" i="66"/>
  <c r="C121" i="66" s="1"/>
  <c r="E105" i="64"/>
  <c r="E28" i="64"/>
  <c r="D81" i="66"/>
  <c r="J27" i="19"/>
  <c r="L25" i="31"/>
  <c r="I25" i="30"/>
  <c r="B23" i="18"/>
  <c r="C22" i="48"/>
  <c r="C25" i="48" s="1"/>
  <c r="C31" i="51"/>
  <c r="C33" i="51" s="1"/>
  <c r="H23" i="51"/>
  <c r="V477" i="17"/>
  <c r="V339" i="17"/>
  <c r="H17" i="51"/>
  <c r="H14" i="51"/>
  <c r="V270" i="17"/>
  <c r="V155" i="17"/>
  <c r="H9" i="51"/>
  <c r="H6" i="51"/>
  <c r="V86" i="17"/>
  <c r="D25" i="52"/>
  <c r="D26" i="52" s="1"/>
  <c r="F26" i="52" s="1"/>
  <c r="F45" i="52" s="1"/>
  <c r="G23" i="53"/>
  <c r="C3" i="59"/>
  <c r="B3" i="52"/>
  <c r="N43" i="19"/>
  <c r="N41" i="31"/>
  <c r="N41" i="30"/>
  <c r="M39" i="18"/>
  <c r="M36" i="48"/>
  <c r="O36" i="48" s="1"/>
  <c r="M45" i="51"/>
  <c r="O45" i="51" s="1"/>
  <c r="N45" i="19"/>
  <c r="N43" i="31"/>
  <c r="N43" i="30"/>
  <c r="M41" i="18"/>
  <c r="M38" i="48"/>
  <c r="O38" i="48" s="1"/>
  <c r="M47" i="51"/>
  <c r="D2" i="18"/>
  <c r="M2" i="31"/>
  <c r="E63" i="66"/>
  <c r="E82" i="66" s="1"/>
  <c r="C99" i="66"/>
  <c r="C22" i="66"/>
  <c r="F13" i="66"/>
  <c r="C61" i="50"/>
  <c r="F64" i="50" s="1"/>
  <c r="G22" i="51"/>
  <c r="U454" i="17"/>
  <c r="G20" i="51"/>
  <c r="U408" i="17"/>
  <c r="G18" i="51"/>
  <c r="U362" i="17"/>
  <c r="G16" i="51"/>
  <c r="U316" i="17"/>
  <c r="G14" i="51"/>
  <c r="U270" i="17"/>
  <c r="G12" i="51"/>
  <c r="U224" i="17"/>
  <c r="G10" i="51"/>
  <c r="U178" i="17"/>
  <c r="G8" i="51"/>
  <c r="U132" i="17"/>
  <c r="G6" i="51"/>
  <c r="U86" i="17"/>
  <c r="C113" i="7"/>
  <c r="F75" i="7"/>
  <c r="C74" i="7"/>
  <c r="D113" i="7"/>
  <c r="G75" i="7"/>
  <c r="D74" i="7"/>
  <c r="E118" i="14"/>
  <c r="E120" i="14"/>
  <c r="E38" i="13"/>
  <c r="E101" i="13"/>
  <c r="G80" i="13"/>
  <c r="D111" i="13"/>
  <c r="C91" i="13"/>
  <c r="F74" i="13"/>
  <c r="B105" i="14"/>
  <c r="B56" i="14"/>
  <c r="B43" i="14"/>
  <c r="B49" i="14" s="1"/>
  <c r="K10" i="31"/>
  <c r="I10" i="19"/>
  <c r="D33" i="46"/>
  <c r="G27" i="46"/>
  <c r="C66" i="12"/>
  <c r="F63" i="12"/>
  <c r="F86" i="46"/>
  <c r="G75" i="46"/>
  <c r="D74" i="46"/>
  <c r="D113" i="46"/>
  <c r="C112" i="10"/>
  <c r="F28" i="10"/>
  <c r="G80" i="6"/>
  <c r="D111" i="6"/>
  <c r="I11" i="19"/>
  <c r="K11" i="31"/>
  <c r="D33" i="12"/>
  <c r="G27" i="12"/>
  <c r="E113" i="9"/>
  <c r="E74" i="9"/>
  <c r="F86" i="8"/>
  <c r="C117" i="8"/>
  <c r="E116" i="6"/>
  <c r="D113" i="9"/>
  <c r="D74" i="9"/>
  <c r="G75" i="9"/>
  <c r="C66" i="7"/>
  <c r="F63" i="7"/>
  <c r="E120" i="9"/>
  <c r="E111" i="8"/>
  <c r="J7" i="19"/>
  <c r="D114" i="7"/>
  <c r="D118" i="7" s="1"/>
  <c r="D69" i="7"/>
  <c r="G69" i="7" s="1"/>
  <c r="G66" i="7"/>
  <c r="D120" i="6"/>
  <c r="D112" i="10"/>
  <c r="B56" i="10"/>
  <c r="B105" i="10"/>
  <c r="B43" i="10"/>
  <c r="B49" i="10" s="1"/>
  <c r="D66" i="1"/>
  <c r="G63" i="1"/>
  <c r="C24" i="15"/>
  <c r="C26" i="16"/>
  <c r="I7" i="19"/>
  <c r="K7" i="31"/>
  <c r="D33" i="8"/>
  <c r="G27" i="8"/>
  <c r="C112" i="1"/>
  <c r="C120" i="1"/>
  <c r="B111" i="5"/>
  <c r="D77" i="65"/>
  <c r="B21" i="16"/>
  <c r="B23" i="16" s="1"/>
  <c r="C31" i="15"/>
  <c r="F61" i="5"/>
  <c r="E30" i="43"/>
  <c r="G65" i="5"/>
  <c r="C77" i="65"/>
  <c r="D68" i="65"/>
  <c r="D102" i="65"/>
  <c r="G60" i="65"/>
  <c r="B105" i="65"/>
  <c r="B28" i="65"/>
  <c r="C79" i="5"/>
  <c r="F83" i="5"/>
  <c r="E16" i="43"/>
  <c r="C14" i="15"/>
  <c r="C56" i="5"/>
  <c r="F55" i="5"/>
  <c r="E93" i="43"/>
  <c r="B113" i="5"/>
  <c r="B112" i="5"/>
  <c r="D68" i="5"/>
  <c r="L2" i="16"/>
  <c r="H2" i="16"/>
  <c r="D19" i="65"/>
  <c r="G17" i="65"/>
  <c r="D108" i="65"/>
  <c r="D94" i="65"/>
  <c r="E68" i="64"/>
  <c r="B69" i="64"/>
  <c r="B88" i="64" s="1"/>
  <c r="D126" i="62"/>
  <c r="G67" i="62"/>
  <c r="C126" i="61"/>
  <c r="F67" i="61"/>
  <c r="E69" i="65"/>
  <c r="B105" i="6"/>
  <c r="B43" i="6"/>
  <c r="B49" i="6" s="1"/>
  <c r="B56" i="6"/>
  <c r="C108" i="65"/>
  <c r="D77" i="61"/>
  <c r="C105" i="61"/>
  <c r="C28" i="61"/>
  <c r="F19" i="61"/>
  <c r="D113" i="1"/>
  <c r="E96" i="64"/>
  <c r="C99" i="64"/>
  <c r="F23" i="64"/>
  <c r="C95" i="64"/>
  <c r="D105" i="62"/>
  <c r="D28" i="62"/>
  <c r="G19" i="62"/>
  <c r="G60" i="61"/>
  <c r="D68" i="61"/>
  <c r="D102" i="61"/>
  <c r="D102" i="63"/>
  <c r="E101" i="62"/>
  <c r="E100" i="62"/>
  <c r="E96" i="62"/>
  <c r="C126" i="62"/>
  <c r="C69" i="62"/>
  <c r="F54" i="62"/>
  <c r="E100" i="61"/>
  <c r="G19" i="61"/>
  <c r="E68" i="63"/>
  <c r="B104" i="62"/>
  <c r="B103" i="62"/>
  <c r="B93" i="62"/>
  <c r="B92" i="62"/>
  <c r="B30" i="62"/>
  <c r="C68" i="61"/>
  <c r="C69" i="61"/>
  <c r="C88" i="61" s="1"/>
  <c r="F54" i="61"/>
  <c r="D125" i="63"/>
  <c r="F68" i="63"/>
  <c r="C90" i="63"/>
  <c r="D125" i="62"/>
  <c r="B69" i="61"/>
  <c r="B88" i="61" s="1"/>
  <c r="G62" i="66"/>
  <c r="D99" i="66"/>
  <c r="D22" i="66"/>
  <c r="G13" i="66"/>
  <c r="C15" i="59"/>
  <c r="B15" i="52"/>
  <c r="V408" i="17"/>
  <c r="H20" i="51"/>
  <c r="H15" i="51"/>
  <c r="V293" i="17"/>
  <c r="V224" i="17"/>
  <c r="H12" i="51"/>
  <c r="H7" i="51"/>
  <c r="V109" i="17"/>
  <c r="B11" i="52"/>
  <c r="B56" i="52" s="1"/>
  <c r="B64" i="52" s="1"/>
  <c r="B57" i="52"/>
  <c r="C60" i="59"/>
  <c r="C55" i="59"/>
  <c r="P35" i="48"/>
  <c r="N35" i="48" s="1"/>
  <c r="N42" i="19"/>
  <c r="N40" i="31"/>
  <c r="N40" i="30"/>
  <c r="M38" i="18"/>
  <c r="M35" i="48"/>
  <c r="M44" i="51"/>
  <c r="N39" i="4"/>
  <c r="J40" i="4" s="1"/>
  <c r="C27" i="48"/>
  <c r="Q40" i="31"/>
  <c r="B99" i="66"/>
  <c r="B22" i="66"/>
  <c r="D23" i="44"/>
  <c r="E23" i="44"/>
  <c r="E101" i="14"/>
  <c r="E38" i="14"/>
  <c r="G66" i="14"/>
  <c r="D114" i="14"/>
  <c r="D118" i="14" s="1"/>
  <c r="D69" i="14"/>
  <c r="G69" i="14" s="1"/>
  <c r="I12" i="19"/>
  <c r="K12" i="31"/>
  <c r="G27" i="13"/>
  <c r="D33" i="13"/>
  <c r="E120" i="12"/>
  <c r="D69" i="46"/>
  <c r="G69" i="46" s="1"/>
  <c r="G66" i="46"/>
  <c r="D114" i="46"/>
  <c r="D120" i="46" s="1"/>
  <c r="D113" i="12"/>
  <c r="G75" i="12"/>
  <c r="D74" i="12"/>
  <c r="E105" i="12"/>
  <c r="E56" i="12"/>
  <c r="E43" i="12"/>
  <c r="E49" i="12" s="1"/>
  <c r="E111" i="14"/>
  <c r="C91" i="14"/>
  <c r="F74" i="14"/>
  <c r="C116" i="14"/>
  <c r="C119" i="14" s="1"/>
  <c r="H13" i="19"/>
  <c r="J13" i="19" s="1"/>
  <c r="J13" i="31"/>
  <c r="C33" i="14"/>
  <c r="F27" i="14"/>
  <c r="E13" i="48"/>
  <c r="G86" i="13"/>
  <c r="D117" i="13"/>
  <c r="F86" i="13"/>
  <c r="E114" i="13"/>
  <c r="E120" i="13" s="1"/>
  <c r="E69" i="13"/>
  <c r="E118" i="46"/>
  <c r="E118" i="10"/>
  <c r="D117" i="14"/>
  <c r="G86" i="14"/>
  <c r="G28" i="14"/>
  <c r="D112" i="14"/>
  <c r="G75" i="14"/>
  <c r="E113" i="13"/>
  <c r="E74" i="13"/>
  <c r="C66" i="14"/>
  <c r="K13" i="31"/>
  <c r="I13" i="19"/>
  <c r="G27" i="14"/>
  <c r="D33" i="14"/>
  <c r="C116" i="13"/>
  <c r="C119" i="13" s="1"/>
  <c r="C117" i="12"/>
  <c r="G63" i="14"/>
  <c r="F75" i="13"/>
  <c r="J12" i="31"/>
  <c r="H12" i="19"/>
  <c r="J12" i="19" s="1"/>
  <c r="C33" i="13"/>
  <c r="F27" i="13"/>
  <c r="E12" i="48"/>
  <c r="C113" i="12"/>
  <c r="F75" i="12"/>
  <c r="C74" i="12"/>
  <c r="C112" i="46"/>
  <c r="C113" i="46"/>
  <c r="F75" i="46"/>
  <c r="C74" i="46"/>
  <c r="E120" i="10"/>
  <c r="E118" i="12"/>
  <c r="E116" i="46"/>
  <c r="E119" i="46" s="1"/>
  <c r="E91" i="46"/>
  <c r="E96" i="46" s="1"/>
  <c r="E98" i="46" s="1"/>
  <c r="E99" i="46" s="1"/>
  <c r="E111" i="46"/>
  <c r="C66" i="46"/>
  <c r="H10" i="19"/>
  <c r="J10" i="19" s="1"/>
  <c r="J10" i="31"/>
  <c r="C33" i="46"/>
  <c r="F27" i="46"/>
  <c r="E10" i="48"/>
  <c r="G80" i="46"/>
  <c r="D111" i="46"/>
  <c r="G75" i="10"/>
  <c r="D74" i="10"/>
  <c r="D113" i="10"/>
  <c r="D117" i="10"/>
  <c r="F86" i="10"/>
  <c r="C117" i="10"/>
  <c r="E111" i="13"/>
  <c r="C111" i="46"/>
  <c r="F80" i="10"/>
  <c r="C111" i="10"/>
  <c r="F63" i="10"/>
  <c r="E111" i="7"/>
  <c r="G80" i="7"/>
  <c r="C113" i="6"/>
  <c r="F75" i="6"/>
  <c r="C74" i="6"/>
  <c r="B116" i="10"/>
  <c r="B119" i="10" s="1"/>
  <c r="B91" i="10"/>
  <c r="B96" i="10" s="1"/>
  <c r="B98" i="10" s="1"/>
  <c r="B99" i="10" s="1"/>
  <c r="C66" i="9"/>
  <c r="F80" i="8"/>
  <c r="C111" i="8"/>
  <c r="D66" i="8"/>
  <c r="G63" i="8"/>
  <c r="E38" i="7"/>
  <c r="E101" i="7"/>
  <c r="E120" i="6"/>
  <c r="E119" i="6"/>
  <c r="E113" i="10"/>
  <c r="E74" i="10"/>
  <c r="K9" i="31"/>
  <c r="I9" i="19"/>
  <c r="J9" i="19" s="1"/>
  <c r="G27" i="10"/>
  <c r="D33" i="10"/>
  <c r="G28" i="9"/>
  <c r="D112" i="8"/>
  <c r="C111" i="1"/>
  <c r="F80" i="1"/>
  <c r="D113" i="8"/>
  <c r="G75" i="8"/>
  <c r="D74" i="8"/>
  <c r="E113" i="7"/>
  <c r="G75" i="6"/>
  <c r="D74" i="6"/>
  <c r="D113" i="6"/>
  <c r="B56" i="1"/>
  <c r="B105" i="1"/>
  <c r="B43" i="1"/>
  <c r="B49" i="1" s="1"/>
  <c r="G73" i="5"/>
  <c r="D12" i="15"/>
  <c r="D104" i="5"/>
  <c r="C38" i="16" s="1"/>
  <c r="D117" i="1"/>
  <c r="G80" i="1"/>
  <c r="D111" i="1"/>
  <c r="F69" i="5"/>
  <c r="C101" i="5"/>
  <c r="C68" i="5"/>
  <c r="E62" i="43"/>
  <c r="B116" i="1"/>
  <c r="B119" i="1" s="1"/>
  <c r="B91" i="1"/>
  <c r="B96" i="1" s="1"/>
  <c r="B98" i="1" s="1"/>
  <c r="B99" i="1" s="1"/>
  <c r="F33" i="5"/>
  <c r="E42" i="44"/>
  <c r="I14" i="30"/>
  <c r="B104" i="5"/>
  <c r="E31" i="15"/>
  <c r="E14" i="15"/>
  <c r="C123" i="65"/>
  <c r="C127" i="65" s="1"/>
  <c r="D97" i="65"/>
  <c r="G80" i="65"/>
  <c r="C112" i="8"/>
  <c r="F28" i="8"/>
  <c r="F80" i="6"/>
  <c r="F88" i="5"/>
  <c r="E8" i="43"/>
  <c r="G28" i="1"/>
  <c r="D112" i="1"/>
  <c r="G21" i="5"/>
  <c r="D18" i="44"/>
  <c r="B123" i="64"/>
  <c r="B127" i="64" s="1"/>
  <c r="C97" i="64"/>
  <c r="F80" i="64"/>
  <c r="E73" i="5"/>
  <c r="C59" i="43"/>
  <c r="G66" i="5"/>
  <c r="F66" i="5"/>
  <c r="D21" i="15"/>
  <c r="D24" i="15" s="1"/>
  <c r="D58" i="43"/>
  <c r="F63" i="1"/>
  <c r="D99" i="5"/>
  <c r="D5" i="15"/>
  <c r="C9" i="16"/>
  <c r="C5" i="18"/>
  <c r="E23" i="59" s="1"/>
  <c r="J23" i="59" s="1"/>
  <c r="G32" i="5"/>
  <c r="D16" i="44"/>
  <c r="J4" i="31"/>
  <c r="H4" i="19"/>
  <c r="J4" i="19" s="1"/>
  <c r="J14" i="19" s="1"/>
  <c r="F27" i="1"/>
  <c r="C33" i="1"/>
  <c r="E4" i="48"/>
  <c r="E14" i="48" s="1"/>
  <c r="E28" i="15"/>
  <c r="E110" i="5"/>
  <c r="E88" i="65"/>
  <c r="B106" i="5"/>
  <c r="C94" i="5"/>
  <c r="G4" i="16" s="1"/>
  <c r="C31" i="5"/>
  <c r="F26" i="5"/>
  <c r="D126" i="64"/>
  <c r="G67" i="64"/>
  <c r="C87" i="64"/>
  <c r="C88" i="64" s="1"/>
  <c r="F19" i="62"/>
  <c r="D125" i="65"/>
  <c r="D127" i="65" s="1"/>
  <c r="D69" i="65"/>
  <c r="G54" i="65"/>
  <c r="F17" i="65"/>
  <c r="D125" i="64"/>
  <c r="C126" i="64"/>
  <c r="F67" i="64"/>
  <c r="B125" i="61"/>
  <c r="F84" i="61"/>
  <c r="D74" i="1"/>
  <c r="F54" i="65"/>
  <c r="C69" i="65"/>
  <c r="D77" i="63"/>
  <c r="D77" i="62"/>
  <c r="C97" i="61"/>
  <c r="F80" i="61"/>
  <c r="B123" i="61"/>
  <c r="B127" i="61" s="1"/>
  <c r="D105" i="64"/>
  <c r="D28" i="64"/>
  <c r="G19" i="64"/>
  <c r="D123" i="63"/>
  <c r="D127" i="63" s="1"/>
  <c r="E87" i="62"/>
  <c r="E88" i="62" s="1"/>
  <c r="G54" i="61"/>
  <c r="D69" i="61"/>
  <c r="C102" i="62"/>
  <c r="G44" i="66"/>
  <c r="D48" i="66"/>
  <c r="D84" i="66" s="1"/>
  <c r="B108" i="63"/>
  <c r="D123" i="61"/>
  <c r="D127" i="61" s="1"/>
  <c r="F60" i="61"/>
  <c r="D102" i="62"/>
  <c r="C77" i="63"/>
  <c r="D123" i="62"/>
  <c r="D127" i="62" s="1"/>
  <c r="F17" i="66"/>
  <c r="V431" i="17"/>
  <c r="H21" i="51"/>
  <c r="H18" i="51"/>
  <c r="V362" i="17"/>
  <c r="V247" i="17"/>
  <c r="H13" i="51"/>
  <c r="H10" i="51"/>
  <c r="V178" i="17"/>
  <c r="V63" i="17"/>
  <c r="H5" i="51"/>
  <c r="K25" i="19"/>
  <c r="J23" i="30"/>
  <c r="C36" i="51"/>
  <c r="N47" i="51"/>
  <c r="N46" i="19"/>
  <c r="N44" i="31"/>
  <c r="N44" i="30"/>
  <c r="M42" i="18"/>
  <c r="M48" i="51"/>
  <c r="M39" i="48"/>
  <c r="O39" i="48" s="1"/>
  <c r="Q42" i="19"/>
  <c r="J2" i="30"/>
  <c r="C62" i="66"/>
  <c r="C63" i="66"/>
  <c r="F48" i="66"/>
  <c r="G23" i="51"/>
  <c r="U477" i="17"/>
  <c r="G21" i="51"/>
  <c r="U431" i="17"/>
  <c r="G19" i="51"/>
  <c r="U385" i="17"/>
  <c r="U339" i="17"/>
  <c r="G17" i="51"/>
  <c r="G15" i="51"/>
  <c r="U293" i="17"/>
  <c r="U247" i="17"/>
  <c r="G13" i="51"/>
  <c r="G11" i="51"/>
  <c r="U201" i="17"/>
  <c r="U155" i="17"/>
  <c r="G9" i="51"/>
  <c r="G7" i="51"/>
  <c r="U109" i="17"/>
  <c r="U63" i="17"/>
  <c r="G5" i="51"/>
  <c r="G24" i="51" s="1"/>
  <c r="B120" i="66"/>
  <c r="B121" i="66" s="1"/>
  <c r="O48" i="51" l="1"/>
  <c r="C34" i="51"/>
  <c r="G18" i="17"/>
  <c r="H24" i="51"/>
  <c r="I24" i="51"/>
  <c r="P46" i="19"/>
  <c r="C24" i="48"/>
  <c r="O44" i="19"/>
  <c r="P44" i="19" s="1"/>
  <c r="O45" i="19"/>
  <c r="P45" i="19" s="1"/>
  <c r="O43" i="19"/>
  <c r="P43" i="19" s="1"/>
  <c r="O42" i="19"/>
  <c r="P42" i="19" s="1"/>
  <c r="B51" i="52"/>
  <c r="B50" i="52"/>
  <c r="B53" i="52" s="1"/>
  <c r="B54" i="52" s="1"/>
  <c r="B60" i="52" s="1"/>
  <c r="B61" i="52" s="1"/>
  <c r="D101" i="62"/>
  <c r="D100" i="62"/>
  <c r="D96" i="62"/>
  <c r="G77" i="62"/>
  <c r="D87" i="62"/>
  <c r="D91" i="1"/>
  <c r="G74" i="1"/>
  <c r="D116" i="1"/>
  <c r="B122" i="1"/>
  <c r="B121" i="1"/>
  <c r="D114" i="8"/>
  <c r="D118" i="8" s="1"/>
  <c r="D69" i="8"/>
  <c r="G69" i="8" s="1"/>
  <c r="G66" i="8"/>
  <c r="C114" i="46"/>
  <c r="C69" i="46"/>
  <c r="F69" i="46" s="1"/>
  <c r="F66" i="46"/>
  <c r="G12" i="31"/>
  <c r="F33" i="13"/>
  <c r="C38" i="13"/>
  <c r="C101" i="13"/>
  <c r="H13" i="31"/>
  <c r="G33" i="14"/>
  <c r="D38" i="14"/>
  <c r="D101" i="14"/>
  <c r="F66" i="14"/>
  <c r="C114" i="14"/>
  <c r="C69" i="14"/>
  <c r="F69" i="14" s="1"/>
  <c r="D91" i="12"/>
  <c r="G74" i="12"/>
  <c r="D116" i="12"/>
  <c r="D119" i="12" s="1"/>
  <c r="G33" i="13"/>
  <c r="H12" i="31"/>
  <c r="D38" i="13"/>
  <c r="D101" i="13"/>
  <c r="M40" i="48"/>
  <c r="O35" i="48"/>
  <c r="O40" i="48" s="1"/>
  <c r="C31" i="48" s="1"/>
  <c r="C32" i="48" s="1"/>
  <c r="N47" i="19"/>
  <c r="E90" i="63"/>
  <c r="E69" i="63"/>
  <c r="E88" i="63" s="1"/>
  <c r="B102" i="6"/>
  <c r="B51" i="6"/>
  <c r="E90" i="64"/>
  <c r="E69" i="64"/>
  <c r="E88" i="64" s="1"/>
  <c r="G19" i="65"/>
  <c r="D105" i="65"/>
  <c r="D28" i="65"/>
  <c r="D11" i="15"/>
  <c r="D106" i="5"/>
  <c r="C39" i="16" s="1"/>
  <c r="G68" i="5"/>
  <c r="D67" i="5"/>
  <c r="H7" i="31"/>
  <c r="D38" i="8"/>
  <c r="D101" i="8"/>
  <c r="G33" i="8"/>
  <c r="B122" i="10"/>
  <c r="B121" i="10"/>
  <c r="C114" i="7"/>
  <c r="C69" i="7"/>
  <c r="F69" i="7" s="1"/>
  <c r="F66" i="7"/>
  <c r="D91" i="46"/>
  <c r="G74" i="46"/>
  <c r="D116" i="46"/>
  <c r="D119" i="46" s="1"/>
  <c r="D91" i="7"/>
  <c r="G74" i="7"/>
  <c r="D116" i="7"/>
  <c r="D119" i="7" s="1"/>
  <c r="C95" i="66"/>
  <c r="C94" i="66"/>
  <c r="C90" i="66"/>
  <c r="F71" i="66"/>
  <c r="F81" i="66" s="1"/>
  <c r="C81" i="66"/>
  <c r="C82" i="66" s="1"/>
  <c r="D101" i="64"/>
  <c r="D100" i="64"/>
  <c r="D96" i="64"/>
  <c r="G77" i="64"/>
  <c r="D87" i="64"/>
  <c r="E38" i="9"/>
  <c r="E101" i="9"/>
  <c r="D114" i="12"/>
  <c r="D69" i="12"/>
  <c r="G69" i="12" s="1"/>
  <c r="G66" i="12"/>
  <c r="B56" i="7"/>
  <c r="B43" i="7"/>
  <c r="B49" i="7" s="1"/>
  <c r="B105" i="7"/>
  <c r="H8" i="31"/>
  <c r="D101" i="9"/>
  <c r="G33" i="9"/>
  <c r="D38" i="9"/>
  <c r="C91" i="9"/>
  <c r="F74" i="9"/>
  <c r="C116" i="9"/>
  <c r="J11" i="19"/>
  <c r="B122" i="12"/>
  <c r="B121" i="12"/>
  <c r="D114" i="10"/>
  <c r="D118" i="10" s="1"/>
  <c r="D69" i="10"/>
  <c r="G66" i="10"/>
  <c r="F66" i="10"/>
  <c r="E98" i="5"/>
  <c r="D7" i="16"/>
  <c r="E36" i="5"/>
  <c r="E42" i="5" s="1"/>
  <c r="D6" i="16"/>
  <c r="D35" i="16" s="1"/>
  <c r="E49" i="5"/>
  <c r="F19" i="65"/>
  <c r="C91" i="62"/>
  <c r="C32" i="62"/>
  <c r="F77" i="64"/>
  <c r="F87" i="64" s="1"/>
  <c r="G6" i="31"/>
  <c r="C38" i="7"/>
  <c r="C101" i="7"/>
  <c r="F33" i="7"/>
  <c r="C91" i="1"/>
  <c r="F74" i="1"/>
  <c r="C116" i="1"/>
  <c r="C119" i="1" s="1"/>
  <c r="G79" i="5"/>
  <c r="D10" i="15"/>
  <c r="C30" i="16"/>
  <c r="D110" i="5"/>
  <c r="H5" i="31"/>
  <c r="D38" i="6"/>
  <c r="D101" i="6"/>
  <c r="G33" i="6"/>
  <c r="F33" i="8"/>
  <c r="B121" i="13"/>
  <c r="B122" i="13"/>
  <c r="E118" i="13"/>
  <c r="D101" i="63"/>
  <c r="D100" i="63"/>
  <c r="D96" i="63"/>
  <c r="G77" i="63"/>
  <c r="D87" i="63"/>
  <c r="E91" i="10"/>
  <c r="E96" i="10" s="1"/>
  <c r="E98" i="10" s="1"/>
  <c r="E99" i="10" s="1"/>
  <c r="E116" i="10"/>
  <c r="E119" i="10" s="1"/>
  <c r="D120" i="10"/>
  <c r="G10" i="31"/>
  <c r="C101" i="46"/>
  <c r="C38" i="46"/>
  <c r="F33" i="46"/>
  <c r="E91" i="13"/>
  <c r="E96" i="13" s="1"/>
  <c r="E98" i="13" s="1"/>
  <c r="E99" i="13" s="1"/>
  <c r="E116" i="13"/>
  <c r="E119" i="13" s="1"/>
  <c r="E102" i="12"/>
  <c r="E51" i="12"/>
  <c r="M43" i="18"/>
  <c r="D101" i="61"/>
  <c r="D100" i="61"/>
  <c r="D96" i="61"/>
  <c r="G77" i="61"/>
  <c r="D87" i="61"/>
  <c r="B18" i="16"/>
  <c r="B26" i="16" s="1"/>
  <c r="F56" i="5"/>
  <c r="C59" i="5"/>
  <c r="C10" i="15"/>
  <c r="B30" i="16"/>
  <c r="F79" i="5"/>
  <c r="E10" i="15"/>
  <c r="D101" i="65"/>
  <c r="D100" i="65"/>
  <c r="D96" i="65"/>
  <c r="G77" i="65"/>
  <c r="D87" i="65"/>
  <c r="D69" i="1"/>
  <c r="G69" i="1" s="1"/>
  <c r="G66" i="1"/>
  <c r="D114" i="1"/>
  <c r="D118" i="1" s="1"/>
  <c r="C114" i="12"/>
  <c r="C118" i="12" s="1"/>
  <c r="C69" i="12"/>
  <c r="F69" i="12" s="1"/>
  <c r="F66" i="12"/>
  <c r="C98" i="66"/>
  <c r="C97" i="66"/>
  <c r="C87" i="66"/>
  <c r="C86" i="66"/>
  <c r="C24" i="66"/>
  <c r="F22" i="66"/>
  <c r="C104" i="64"/>
  <c r="C103" i="64"/>
  <c r="C93" i="64"/>
  <c r="C92" i="64"/>
  <c r="F28" i="64"/>
  <c r="C30" i="64"/>
  <c r="F77" i="61"/>
  <c r="F87" i="61" s="1"/>
  <c r="G68" i="64"/>
  <c r="D90" i="64"/>
  <c r="F68" i="65"/>
  <c r="C90" i="65"/>
  <c r="E122" i="1"/>
  <c r="E121" i="1"/>
  <c r="E91" i="8"/>
  <c r="E96" i="8" s="1"/>
  <c r="E98" i="8" s="1"/>
  <c r="E99" i="8" s="1"/>
  <c r="E116" i="8"/>
  <c r="E119" i="8" s="1"/>
  <c r="E105" i="10"/>
  <c r="E56" i="10"/>
  <c r="E43" i="10"/>
  <c r="E49" i="10" s="1"/>
  <c r="E91" i="14"/>
  <c r="G74" i="14"/>
  <c r="E116" i="14"/>
  <c r="E119" i="14" s="1"/>
  <c r="D32" i="61"/>
  <c r="D91" i="61"/>
  <c r="G68" i="63"/>
  <c r="F19" i="63"/>
  <c r="C105" i="63"/>
  <c r="C28" i="63"/>
  <c r="B32" i="63"/>
  <c r="B35" i="63" s="1"/>
  <c r="B37" i="63" s="1"/>
  <c r="B91" i="63"/>
  <c r="C127" i="64"/>
  <c r="H4" i="31"/>
  <c r="D38" i="1"/>
  <c r="G33" i="1"/>
  <c r="D101" i="1"/>
  <c r="C19" i="16"/>
  <c r="D107" i="5"/>
  <c r="D111" i="5" s="1"/>
  <c r="G59" i="5"/>
  <c r="D62" i="5"/>
  <c r="C119" i="9"/>
  <c r="H6" i="31"/>
  <c r="D101" i="7"/>
  <c r="G33" i="7"/>
  <c r="D38" i="7"/>
  <c r="D120" i="7"/>
  <c r="B121" i="9"/>
  <c r="B122" i="9"/>
  <c r="B102" i="13"/>
  <c r="B51" i="13"/>
  <c r="D98" i="14"/>
  <c r="C56" i="10"/>
  <c r="C43" i="10"/>
  <c r="C105" i="10"/>
  <c r="F38" i="10"/>
  <c r="C11" i="15"/>
  <c r="C106" i="5"/>
  <c r="B39" i="16" s="1"/>
  <c r="F68" i="5"/>
  <c r="C67" i="5"/>
  <c r="E11" i="15"/>
  <c r="G74" i="8"/>
  <c r="D91" i="8"/>
  <c r="D116" i="8"/>
  <c r="H9" i="31"/>
  <c r="D38" i="10"/>
  <c r="D101" i="10"/>
  <c r="G33" i="10"/>
  <c r="C84" i="66"/>
  <c r="F62" i="66"/>
  <c r="C101" i="63"/>
  <c r="C100" i="63"/>
  <c r="C96" i="63"/>
  <c r="F77" i="63"/>
  <c r="F87" i="63" s="1"/>
  <c r="C87" i="63"/>
  <c r="C88" i="63" s="1"/>
  <c r="G4" i="31"/>
  <c r="C101" i="1"/>
  <c r="F33" i="1"/>
  <c r="C38" i="1"/>
  <c r="E104" i="5"/>
  <c r="D38" i="16" s="1"/>
  <c r="E67" i="5"/>
  <c r="D120" i="1"/>
  <c r="D119" i="1"/>
  <c r="B51" i="1"/>
  <c r="B102" i="1"/>
  <c r="D91" i="6"/>
  <c r="G74" i="6"/>
  <c r="D116" i="6"/>
  <c r="D119" i="6" s="1"/>
  <c r="E56" i="7"/>
  <c r="E43" i="7"/>
  <c r="E49" i="7" s="1"/>
  <c r="E105" i="7"/>
  <c r="C91" i="6"/>
  <c r="F74" i="6"/>
  <c r="C116" i="6"/>
  <c r="C119" i="6" s="1"/>
  <c r="C120" i="10"/>
  <c r="G13" i="31"/>
  <c r="F33" i="14"/>
  <c r="C101" i="14"/>
  <c r="C38" i="14"/>
  <c r="E122" i="12"/>
  <c r="E121" i="12"/>
  <c r="N45" i="30"/>
  <c r="B58" i="52"/>
  <c r="C90" i="61"/>
  <c r="F68" i="61"/>
  <c r="B104" i="65"/>
  <c r="B103" i="65"/>
  <c r="B93" i="65"/>
  <c r="B92" i="65"/>
  <c r="B30" i="65"/>
  <c r="G68" i="65"/>
  <c r="D90" i="65"/>
  <c r="B51" i="10"/>
  <c r="B102" i="10"/>
  <c r="D91" i="9"/>
  <c r="G74" i="9"/>
  <c r="D116" i="9"/>
  <c r="D119" i="9" s="1"/>
  <c r="B102" i="14"/>
  <c r="B51" i="14"/>
  <c r="C96" i="13"/>
  <c r="N39" i="18"/>
  <c r="N42" i="18"/>
  <c r="O42" i="18" s="1"/>
  <c r="N38" i="18"/>
  <c r="O38" i="18" s="1"/>
  <c r="N41" i="18"/>
  <c r="O41" i="18" s="1"/>
  <c r="N40" i="18"/>
  <c r="O40" i="18" s="1"/>
  <c r="B63" i="52"/>
  <c r="B66" i="52" s="1"/>
  <c r="G81" i="66"/>
  <c r="D104" i="63"/>
  <c r="D103" i="63"/>
  <c r="D93" i="63"/>
  <c r="D92" i="63"/>
  <c r="D30" i="63"/>
  <c r="G28" i="63"/>
  <c r="C127" i="62"/>
  <c r="F68" i="64"/>
  <c r="B104" i="64"/>
  <c r="B103" i="64"/>
  <c r="B93" i="64"/>
  <c r="B92" i="64"/>
  <c r="B30" i="64"/>
  <c r="E104" i="65"/>
  <c r="E103" i="65"/>
  <c r="E93" i="65"/>
  <c r="E92" i="65"/>
  <c r="E30" i="65"/>
  <c r="F66" i="8"/>
  <c r="C114" i="8"/>
  <c r="C118" i="8" s="1"/>
  <c r="C69" i="8"/>
  <c r="F69" i="8" s="1"/>
  <c r="B51" i="8"/>
  <c r="B102" i="8"/>
  <c r="B51" i="46"/>
  <c r="B102" i="46"/>
  <c r="C114" i="6"/>
  <c r="C69" i="6"/>
  <c r="F69" i="6" s="1"/>
  <c r="F66" i="6"/>
  <c r="G11" i="31"/>
  <c r="C38" i="12"/>
  <c r="C101" i="12"/>
  <c r="F33" i="12"/>
  <c r="E38" i="46"/>
  <c r="E101" i="46"/>
  <c r="E98" i="66"/>
  <c r="E97" i="66"/>
  <c r="E87" i="66"/>
  <c r="E86" i="66"/>
  <c r="E24" i="66"/>
  <c r="E104" i="61"/>
  <c r="E103" i="61"/>
  <c r="E93" i="61"/>
  <c r="E92" i="61"/>
  <c r="E30" i="61"/>
  <c r="G30" i="61" s="1"/>
  <c r="C101" i="62"/>
  <c r="C100" i="62"/>
  <c r="C96" i="62"/>
  <c r="F77" i="62"/>
  <c r="F87" i="62" s="1"/>
  <c r="C87" i="62"/>
  <c r="C88" i="62" s="1"/>
  <c r="C30" i="65"/>
  <c r="F28" i="65"/>
  <c r="C104" i="65"/>
  <c r="C103" i="65"/>
  <c r="C93" i="65"/>
  <c r="C92" i="65"/>
  <c r="D69" i="64"/>
  <c r="E51" i="6"/>
  <c r="E102" i="6"/>
  <c r="B36" i="5"/>
  <c r="B42" i="5" s="1"/>
  <c r="J28" i="5"/>
  <c r="J32" i="5" s="1"/>
  <c r="B49" i="5"/>
  <c r="J21" i="5"/>
  <c r="J25" i="5" s="1"/>
  <c r="B98" i="5"/>
  <c r="D114" i="9"/>
  <c r="G66" i="9"/>
  <c r="D69" i="9"/>
  <c r="G69" i="9" s="1"/>
  <c r="E105" i="8"/>
  <c r="E43" i="8"/>
  <c r="E49" i="8" s="1"/>
  <c r="E56" i="8"/>
  <c r="G8" i="31"/>
  <c r="C101" i="9"/>
  <c r="F33" i="9"/>
  <c r="C38" i="9"/>
  <c r="B102" i="9"/>
  <c r="B51" i="9"/>
  <c r="C6" i="16"/>
  <c r="C35" i="16" s="1"/>
  <c r="D98" i="5"/>
  <c r="D49" i="5"/>
  <c r="L21" i="5"/>
  <c r="L25" i="5" s="1"/>
  <c r="G31" i="5"/>
  <c r="D36" i="5"/>
  <c r="C7" i="16"/>
  <c r="L28" i="5"/>
  <c r="L32" i="5" s="1"/>
  <c r="F33" i="10"/>
  <c r="O42" i="30"/>
  <c r="P42" i="30" s="1"/>
  <c r="O41" i="30"/>
  <c r="P41" i="30" s="1"/>
  <c r="O44" i="30"/>
  <c r="P44" i="30" s="1"/>
  <c r="O40" i="30"/>
  <c r="P40" i="30" s="1"/>
  <c r="O43" i="30"/>
  <c r="P43" i="30" s="1"/>
  <c r="D63" i="66"/>
  <c r="D82" i="66" s="1"/>
  <c r="G48" i="66"/>
  <c r="D96" i="66"/>
  <c r="D104" i="64"/>
  <c r="D103" i="64"/>
  <c r="D93" i="64"/>
  <c r="D92" i="64"/>
  <c r="G28" i="64"/>
  <c r="D30" i="64"/>
  <c r="B7" i="16"/>
  <c r="B6" i="16"/>
  <c r="B35" i="16" s="1"/>
  <c r="F31" i="5"/>
  <c r="K28" i="5"/>
  <c r="K32" i="5" s="1"/>
  <c r="C98" i="5"/>
  <c r="C49" i="5"/>
  <c r="K21" i="5"/>
  <c r="K25" i="5" s="1"/>
  <c r="C36" i="5"/>
  <c r="D24" i="16"/>
  <c r="J19" i="30"/>
  <c r="I19" i="30"/>
  <c r="I21" i="30" s="1"/>
  <c r="I22" i="30" s="1"/>
  <c r="C114" i="9"/>
  <c r="C118" i="9" s="1"/>
  <c r="C69" i="9"/>
  <c r="F69" i="9" s="1"/>
  <c r="F66" i="9"/>
  <c r="G74" i="10"/>
  <c r="D91" i="10"/>
  <c r="D116" i="10"/>
  <c r="D119" i="10" s="1"/>
  <c r="C91" i="46"/>
  <c r="F74" i="46"/>
  <c r="C116" i="46"/>
  <c r="C119" i="46" s="1"/>
  <c r="F74" i="12"/>
  <c r="C91" i="12"/>
  <c r="C116" i="12"/>
  <c r="C119" i="12" s="1"/>
  <c r="D120" i="14"/>
  <c r="D119" i="14"/>
  <c r="F91" i="14"/>
  <c r="C96" i="14"/>
  <c r="E105" i="14"/>
  <c r="E43" i="14"/>
  <c r="E49" i="14" s="1"/>
  <c r="E56" i="14"/>
  <c r="B98" i="66"/>
  <c r="B97" i="66"/>
  <c r="B87" i="66"/>
  <c r="B86" i="66"/>
  <c r="B24" i="66"/>
  <c r="M49" i="51"/>
  <c r="O44" i="51"/>
  <c r="N45" i="31"/>
  <c r="D98" i="66"/>
  <c r="D97" i="66"/>
  <c r="D87" i="66"/>
  <c r="D86" i="66"/>
  <c r="G22" i="66"/>
  <c r="D24" i="66"/>
  <c r="B32" i="62"/>
  <c r="B35" i="62" s="1"/>
  <c r="B37" i="62" s="1"/>
  <c r="B91" i="62"/>
  <c r="G68" i="61"/>
  <c r="D90" i="61"/>
  <c r="D104" i="62"/>
  <c r="D103" i="62"/>
  <c r="D93" i="62"/>
  <c r="D92" i="62"/>
  <c r="D30" i="62"/>
  <c r="G28" i="62"/>
  <c r="C104" i="61"/>
  <c r="C103" i="61"/>
  <c r="C93" i="61"/>
  <c r="C92" i="61"/>
  <c r="C30" i="61"/>
  <c r="F28" i="61"/>
  <c r="B122" i="6"/>
  <c r="B121" i="6"/>
  <c r="C101" i="65"/>
  <c r="C100" i="65"/>
  <c r="C96" i="65"/>
  <c r="F77" i="65"/>
  <c r="F87" i="65" s="1"/>
  <c r="C87" i="65"/>
  <c r="C88" i="65" s="1"/>
  <c r="E91" i="9"/>
  <c r="E96" i="9" s="1"/>
  <c r="E98" i="9" s="1"/>
  <c r="E99" i="9" s="1"/>
  <c r="E116" i="9"/>
  <c r="E119" i="9" s="1"/>
  <c r="H11" i="31"/>
  <c r="D101" i="12"/>
  <c r="G33" i="12"/>
  <c r="D38" i="12"/>
  <c r="H10" i="31"/>
  <c r="G33" i="46"/>
  <c r="D101" i="46"/>
  <c r="D38" i="46"/>
  <c r="B122" i="14"/>
  <c r="B121" i="14"/>
  <c r="E56" i="13"/>
  <c r="E43" i="13"/>
  <c r="E49" i="13" s="1"/>
  <c r="E105" i="13"/>
  <c r="F74" i="7"/>
  <c r="C91" i="7"/>
  <c r="C116" i="7"/>
  <c r="C119" i="7" s="1"/>
  <c r="O41" i="31"/>
  <c r="P41" i="31" s="1"/>
  <c r="O44" i="31"/>
  <c r="P44" i="31" s="1"/>
  <c r="O40" i="31"/>
  <c r="P40" i="31" s="1"/>
  <c r="O43" i="31"/>
  <c r="P43" i="31" s="1"/>
  <c r="O42" i="31"/>
  <c r="P42" i="31" s="1"/>
  <c r="O47" i="51"/>
  <c r="O39" i="18"/>
  <c r="E104" i="64"/>
  <c r="E103" i="64"/>
  <c r="E93" i="64"/>
  <c r="E92" i="64"/>
  <c r="E30" i="64"/>
  <c r="E30" i="62"/>
  <c r="E104" i="62"/>
  <c r="E103" i="62"/>
  <c r="E93" i="62"/>
  <c r="E92" i="62"/>
  <c r="E30" i="63"/>
  <c r="E104" i="63"/>
  <c r="E103" i="63"/>
  <c r="E93" i="63"/>
  <c r="E92" i="63"/>
  <c r="D127" i="64"/>
  <c r="E107" i="5"/>
  <c r="E111" i="5" s="1"/>
  <c r="E62" i="5"/>
  <c r="D19" i="16"/>
  <c r="E51" i="1"/>
  <c r="E102" i="1"/>
  <c r="B121" i="8"/>
  <c r="B122" i="8"/>
  <c r="B122" i="46"/>
  <c r="B121" i="46"/>
  <c r="G5" i="31"/>
  <c r="L5" i="31" s="1"/>
  <c r="C101" i="6"/>
  <c r="C38" i="6"/>
  <c r="F33" i="6"/>
  <c r="F74" i="8"/>
  <c r="C91" i="8"/>
  <c r="C116" i="8"/>
  <c r="C119" i="8" s="1"/>
  <c r="F74" i="10"/>
  <c r="C91" i="10"/>
  <c r="C116" i="10"/>
  <c r="C119" i="10" s="1"/>
  <c r="B102" i="12"/>
  <c r="B51" i="12"/>
  <c r="D118" i="46"/>
  <c r="E91" i="12"/>
  <c r="E96" i="12" s="1"/>
  <c r="E98" i="12" s="1"/>
  <c r="E99" i="12" s="1"/>
  <c r="E116" i="12"/>
  <c r="E119" i="12" s="1"/>
  <c r="C69" i="13"/>
  <c r="F69" i="13" s="1"/>
  <c r="C114" i="13"/>
  <c r="F66" i="13"/>
  <c r="D114" i="13"/>
  <c r="D118" i="13" s="1"/>
  <c r="G66" i="13"/>
  <c r="D69" i="13"/>
  <c r="G69" i="13" s="1"/>
  <c r="B106" i="61"/>
  <c r="B38" i="61"/>
  <c r="B113" i="61"/>
  <c r="B122" i="61" s="1"/>
  <c r="B128" i="61" s="1"/>
  <c r="B130" i="61" s="1"/>
  <c r="B110" i="61"/>
  <c r="C127" i="61"/>
  <c r="F28" i="62"/>
  <c r="E122" i="6"/>
  <c r="E121" i="6"/>
  <c r="F66" i="1"/>
  <c r="D120" i="8"/>
  <c r="D119" i="8"/>
  <c r="E91" i="1"/>
  <c r="E96" i="1" s="1"/>
  <c r="E98" i="1" s="1"/>
  <c r="E99" i="1" s="1"/>
  <c r="E116" i="1"/>
  <c r="E119" i="1" s="1"/>
  <c r="C56" i="8"/>
  <c r="C43" i="8"/>
  <c r="C105" i="8"/>
  <c r="F38" i="8"/>
  <c r="J8" i="19"/>
  <c r="G74" i="13"/>
  <c r="D91" i="13"/>
  <c r="F91" i="13" s="1"/>
  <c r="D116" i="13"/>
  <c r="D119" i="13" s="1"/>
  <c r="C110" i="5"/>
  <c r="O43" i="18" l="1"/>
  <c r="C35" i="18" s="1"/>
  <c r="P45" i="30"/>
  <c r="B33" i="18"/>
  <c r="P45" i="31"/>
  <c r="I30" i="30"/>
  <c r="J30" i="30" s="1"/>
  <c r="I31" i="30"/>
  <c r="I28" i="30"/>
  <c r="J28" i="30" s="1"/>
  <c r="I29" i="30"/>
  <c r="C105" i="6"/>
  <c r="C56" i="6"/>
  <c r="C43" i="6"/>
  <c r="F38" i="6"/>
  <c r="E54" i="1"/>
  <c r="E103" i="1"/>
  <c r="E55" i="1"/>
  <c r="E104" i="1" s="1"/>
  <c r="C49" i="8"/>
  <c r="F91" i="8"/>
  <c r="C96" i="8"/>
  <c r="M3" i="16"/>
  <c r="D27" i="16"/>
  <c r="M4" i="16" s="1"/>
  <c r="E32" i="63"/>
  <c r="E35" i="63" s="1"/>
  <c r="E37" i="63" s="1"/>
  <c r="E91" i="63"/>
  <c r="E51" i="13"/>
  <c r="E102" i="13"/>
  <c r="D105" i="46"/>
  <c r="D56" i="46"/>
  <c r="G38" i="46"/>
  <c r="D43" i="46"/>
  <c r="D105" i="12"/>
  <c r="G38" i="12"/>
  <c r="D43" i="12"/>
  <c r="D56" i="12"/>
  <c r="D91" i="62"/>
  <c r="D32" i="62"/>
  <c r="G30" i="62"/>
  <c r="B113" i="62"/>
  <c r="B122" i="62" s="1"/>
  <c r="B128" i="62" s="1"/>
  <c r="B130" i="62" s="1"/>
  <c r="B110" i="62"/>
  <c r="B106" i="62"/>
  <c r="B38" i="62"/>
  <c r="L34" i="31"/>
  <c r="M34" i="31" s="1"/>
  <c r="L33" i="31"/>
  <c r="M33" i="31" s="1"/>
  <c r="L32" i="31"/>
  <c r="M32" i="31" s="1"/>
  <c r="E122" i="14"/>
  <c r="E121" i="14"/>
  <c r="F91" i="12"/>
  <c r="C96" i="12"/>
  <c r="C96" i="46"/>
  <c r="F91" i="46"/>
  <c r="D28" i="16"/>
  <c r="M6" i="16" s="1"/>
  <c r="D25" i="16"/>
  <c r="B34" i="16"/>
  <c r="G7" i="16"/>
  <c r="B103" i="9"/>
  <c r="B55" i="9"/>
  <c r="B104" i="9" s="1"/>
  <c r="B54" i="9"/>
  <c r="E4" i="15"/>
  <c r="E8" i="15" s="1"/>
  <c r="E17" i="15" s="1"/>
  <c r="B44" i="5"/>
  <c r="B95" i="5"/>
  <c r="E85" i="66"/>
  <c r="E26" i="66"/>
  <c r="E29" i="66" s="1"/>
  <c r="E31" i="66" s="1"/>
  <c r="B54" i="46"/>
  <c r="B103" i="46"/>
  <c r="B55" i="46"/>
  <c r="B104" i="46" s="1"/>
  <c r="B91" i="65"/>
  <c r="B32" i="65"/>
  <c r="B35" i="65" s="1"/>
  <c r="B37" i="65" s="1"/>
  <c r="C105" i="14"/>
  <c r="C56" i="14"/>
  <c r="F38" i="14"/>
  <c r="C43" i="14"/>
  <c r="D120" i="13"/>
  <c r="E51" i="7"/>
  <c r="E102" i="7"/>
  <c r="D96" i="6"/>
  <c r="G91" i="6"/>
  <c r="D96" i="8"/>
  <c r="G91" i="8"/>
  <c r="G62" i="5"/>
  <c r="C120" i="8"/>
  <c r="G87" i="65"/>
  <c r="D88" i="65"/>
  <c r="G87" i="61"/>
  <c r="D88" i="61"/>
  <c r="C120" i="12"/>
  <c r="C56" i="7"/>
  <c r="C43" i="7"/>
  <c r="C105" i="7"/>
  <c r="F38" i="7"/>
  <c r="F30" i="62"/>
  <c r="E115" i="5"/>
  <c r="D33" i="16" s="1"/>
  <c r="E114" i="5"/>
  <c r="D32" i="16" s="1"/>
  <c r="M7" i="16" s="1"/>
  <c r="D34" i="16"/>
  <c r="I7" i="16"/>
  <c r="F91" i="9"/>
  <c r="C96" i="9"/>
  <c r="E56" i="9"/>
  <c r="E43" i="9"/>
  <c r="E49" i="9" s="1"/>
  <c r="E105" i="9"/>
  <c r="D84" i="5"/>
  <c r="C29" i="16"/>
  <c r="C31" i="16" s="1"/>
  <c r="G67" i="5"/>
  <c r="D109" i="5"/>
  <c r="D104" i="65"/>
  <c r="D103" i="65"/>
  <c r="D93" i="65"/>
  <c r="D92" i="65"/>
  <c r="D30" i="65"/>
  <c r="G28" i="65"/>
  <c r="C30" i="48"/>
  <c r="C29" i="48"/>
  <c r="C28" i="48"/>
  <c r="D56" i="14"/>
  <c r="D105" i="14"/>
  <c r="D43" i="14"/>
  <c r="G38" i="14"/>
  <c r="C56" i="13"/>
  <c r="C43" i="13"/>
  <c r="F38" i="13"/>
  <c r="C105" i="13"/>
  <c r="B24" i="16"/>
  <c r="C122" i="8"/>
  <c r="C121" i="8"/>
  <c r="C120" i="13"/>
  <c r="C118" i="13"/>
  <c r="F91" i="10"/>
  <c r="C96" i="10"/>
  <c r="E32" i="62"/>
  <c r="E35" i="62" s="1"/>
  <c r="E37" i="62" s="1"/>
  <c r="E91" i="62"/>
  <c r="C96" i="7"/>
  <c r="F91" i="7"/>
  <c r="E122" i="13"/>
  <c r="E121" i="13"/>
  <c r="D85" i="66"/>
  <c r="G24" i="66"/>
  <c r="D26" i="66"/>
  <c r="O49" i="51"/>
  <c r="C40" i="51" s="1"/>
  <c r="C41" i="51" s="1"/>
  <c r="E102" i="14"/>
  <c r="E51" i="14"/>
  <c r="F36" i="5"/>
  <c r="C42" i="5"/>
  <c r="D91" i="64"/>
  <c r="G30" i="64"/>
  <c r="D32" i="64"/>
  <c r="D115" i="5"/>
  <c r="C33" i="16" s="1"/>
  <c r="D114" i="5"/>
  <c r="C32" i="16" s="1"/>
  <c r="L7" i="16" s="1"/>
  <c r="G49" i="5"/>
  <c r="C32" i="65"/>
  <c r="F30" i="65"/>
  <c r="C91" i="65"/>
  <c r="B55" i="10"/>
  <c r="B104" i="10" s="1"/>
  <c r="B54" i="10"/>
  <c r="B103" i="10"/>
  <c r="I34" i="30"/>
  <c r="J34" i="30" s="1"/>
  <c r="I33" i="30"/>
  <c r="J33" i="30" s="1"/>
  <c r="I32" i="30"/>
  <c r="J32" i="30" s="1"/>
  <c r="E122" i="7"/>
  <c r="E121" i="7"/>
  <c r="E84" i="5"/>
  <c r="E89" i="5" s="1"/>
  <c r="E91" i="5" s="1"/>
  <c r="D29" i="16"/>
  <c r="D31" i="16" s="1"/>
  <c r="E109" i="5"/>
  <c r="E112" i="5" s="1"/>
  <c r="M5" i="16" s="1"/>
  <c r="D56" i="10"/>
  <c r="D43" i="10"/>
  <c r="D105" i="10"/>
  <c r="G38" i="10"/>
  <c r="C49" i="10"/>
  <c r="F43" i="10"/>
  <c r="B103" i="13"/>
  <c r="B55" i="13"/>
  <c r="B104" i="13" s="1"/>
  <c r="B54" i="13"/>
  <c r="D35" i="61"/>
  <c r="E96" i="14"/>
  <c r="G91" i="14"/>
  <c r="B19" i="16"/>
  <c r="C107" i="5"/>
  <c r="C111" i="5" s="1"/>
  <c r="C62" i="5"/>
  <c r="F62" i="5" s="1"/>
  <c r="F59" i="5"/>
  <c r="D88" i="63"/>
  <c r="G87" i="63"/>
  <c r="D105" i="6"/>
  <c r="D43" i="6"/>
  <c r="G38" i="6"/>
  <c r="D56" i="6"/>
  <c r="C96" i="1"/>
  <c r="F91" i="1"/>
  <c r="F32" i="62"/>
  <c r="C35" i="62"/>
  <c r="G69" i="10"/>
  <c r="F69" i="10"/>
  <c r="D105" i="9"/>
  <c r="D56" i="9"/>
  <c r="D43" i="9"/>
  <c r="G38" i="9"/>
  <c r="G87" i="64"/>
  <c r="D88" i="64"/>
  <c r="C120" i="7"/>
  <c r="C118" i="7"/>
  <c r="B103" i="6"/>
  <c r="B55" i="6"/>
  <c r="B104" i="6" s="1"/>
  <c r="B54" i="6"/>
  <c r="P47" i="19"/>
  <c r="C120" i="14"/>
  <c r="C118" i="14"/>
  <c r="C120" i="46"/>
  <c r="C118" i="46"/>
  <c r="D96" i="1"/>
  <c r="G91" i="1"/>
  <c r="B107" i="61"/>
  <c r="B43" i="61"/>
  <c r="B54" i="12"/>
  <c r="B103" i="12"/>
  <c r="B55" i="12"/>
  <c r="B104" i="12" s="1"/>
  <c r="E91" i="64"/>
  <c r="E32" i="64"/>
  <c r="E35" i="64" s="1"/>
  <c r="E37" i="64" s="1"/>
  <c r="C91" i="61"/>
  <c r="C32" i="61"/>
  <c r="F30" i="61"/>
  <c r="C39" i="51"/>
  <c r="C38" i="51"/>
  <c r="C37" i="51"/>
  <c r="D96" i="10"/>
  <c r="G91" i="10"/>
  <c r="G36" i="5"/>
  <c r="D42" i="5"/>
  <c r="H7" i="16"/>
  <c r="C34" i="16"/>
  <c r="C105" i="9"/>
  <c r="C56" i="9"/>
  <c r="C43" i="9"/>
  <c r="F38" i="9"/>
  <c r="E122" i="8"/>
  <c r="E121" i="8"/>
  <c r="B115" i="5"/>
  <c r="B114" i="5"/>
  <c r="E54" i="6"/>
  <c r="E103" i="6"/>
  <c r="E55" i="6"/>
  <c r="E104" i="6" s="1"/>
  <c r="C56" i="12"/>
  <c r="C43" i="12"/>
  <c r="C105" i="12"/>
  <c r="F38" i="12"/>
  <c r="C120" i="6"/>
  <c r="C118" i="6"/>
  <c r="B55" i="8"/>
  <c r="B104" i="8" s="1"/>
  <c r="B54" i="8"/>
  <c r="B103" i="8"/>
  <c r="E91" i="65"/>
  <c r="E32" i="65"/>
  <c r="E35" i="65" s="1"/>
  <c r="E37" i="65" s="1"/>
  <c r="C98" i="13"/>
  <c r="C96" i="6"/>
  <c r="F91" i="6"/>
  <c r="B54" i="1"/>
  <c r="B103" i="1"/>
  <c r="B55" i="1"/>
  <c r="B104" i="1" s="1"/>
  <c r="L4" i="31"/>
  <c r="L14" i="31" s="1"/>
  <c r="M13" i="31"/>
  <c r="C122" i="10"/>
  <c r="F56" i="10"/>
  <c r="C121" i="10"/>
  <c r="D105" i="7"/>
  <c r="G38" i="7"/>
  <c r="D56" i="7"/>
  <c r="D43" i="7"/>
  <c r="D43" i="1"/>
  <c r="G38" i="1"/>
  <c r="D56" i="1"/>
  <c r="D105" i="1"/>
  <c r="B113" i="63"/>
  <c r="B122" i="63" s="1"/>
  <c r="B128" i="63" s="1"/>
  <c r="B130" i="63" s="1"/>
  <c r="B110" i="63"/>
  <c r="B106" i="63"/>
  <c r="B38" i="63"/>
  <c r="E102" i="10"/>
  <c r="E51" i="10"/>
  <c r="C32" i="64"/>
  <c r="F30" i="64"/>
  <c r="C91" i="64"/>
  <c r="B32" i="18"/>
  <c r="D32" i="18" s="1"/>
  <c r="B31" i="18"/>
  <c r="D31" i="18" s="1"/>
  <c r="B30" i="18"/>
  <c r="D30" i="18" s="1"/>
  <c r="C105" i="46"/>
  <c r="F38" i="46"/>
  <c r="C43" i="46"/>
  <c r="C56" i="46"/>
  <c r="F69" i="1"/>
  <c r="E95" i="5"/>
  <c r="E44" i="5"/>
  <c r="D10" i="16"/>
  <c r="B51" i="7"/>
  <c r="B102" i="7"/>
  <c r="D118" i="12"/>
  <c r="D120" i="12"/>
  <c r="D96" i="46"/>
  <c r="G91" i="46"/>
  <c r="D56" i="8"/>
  <c r="D43" i="8"/>
  <c r="D105" i="8"/>
  <c r="G38" i="8"/>
  <c r="J36" i="19"/>
  <c r="K36" i="19" s="1"/>
  <c r="J34" i="19"/>
  <c r="K34" i="19" s="1"/>
  <c r="J35" i="19"/>
  <c r="K35" i="19" s="1"/>
  <c r="D56" i="13"/>
  <c r="D43" i="13"/>
  <c r="D105" i="13"/>
  <c r="G38" i="13"/>
  <c r="D88" i="62"/>
  <c r="G87" i="62"/>
  <c r="G91" i="13"/>
  <c r="D96" i="13"/>
  <c r="B85" i="66"/>
  <c r="B26" i="66"/>
  <c r="B29" i="66" s="1"/>
  <c r="B31" i="66" s="1"/>
  <c r="C98" i="14"/>
  <c r="F96" i="14"/>
  <c r="E113" i="5"/>
  <c r="C115" i="5"/>
  <c r="B33" i="16" s="1"/>
  <c r="C114" i="5"/>
  <c r="B32" i="16" s="1"/>
  <c r="K7" i="16" s="1"/>
  <c r="F49" i="5"/>
  <c r="E102" i="8"/>
  <c r="E51" i="8"/>
  <c r="D120" i="9"/>
  <c r="D118" i="9"/>
  <c r="E32" i="61"/>
  <c r="E35" i="61" s="1"/>
  <c r="E37" i="61" s="1"/>
  <c r="E91" i="61"/>
  <c r="E56" i="46"/>
  <c r="E43" i="46"/>
  <c r="E49" i="46" s="1"/>
  <c r="E105" i="46"/>
  <c r="B91" i="64"/>
  <c r="B32" i="64"/>
  <c r="B35" i="64" s="1"/>
  <c r="B37" i="64" s="1"/>
  <c r="D91" i="63"/>
  <c r="D32" i="63"/>
  <c r="G30" i="63"/>
  <c r="B55" i="14"/>
  <c r="B104" i="14" s="1"/>
  <c r="B54" i="14"/>
  <c r="B103" i="14"/>
  <c r="D96" i="9"/>
  <c r="G91" i="9"/>
  <c r="C105" i="1"/>
  <c r="C43" i="1"/>
  <c r="F38" i="1"/>
  <c r="C56" i="1"/>
  <c r="F67" i="5"/>
  <c r="C84" i="5"/>
  <c r="B29" i="16"/>
  <c r="B31" i="16" s="1"/>
  <c r="C109" i="5"/>
  <c r="C112" i="5" s="1"/>
  <c r="K5" i="16" s="1"/>
  <c r="D99" i="14"/>
  <c r="C120" i="9"/>
  <c r="L3" i="16"/>
  <c r="C27" i="16"/>
  <c r="L4" i="16" s="1"/>
  <c r="C104" i="63"/>
  <c r="C103" i="63"/>
  <c r="C93" i="63"/>
  <c r="C92" i="63"/>
  <c r="C30" i="63"/>
  <c r="F28" i="63"/>
  <c r="E122" i="10"/>
  <c r="E121" i="10"/>
  <c r="C85" i="66"/>
  <c r="C26" i="66"/>
  <c r="F24" i="66"/>
  <c r="E103" i="12"/>
  <c r="E55" i="12"/>
  <c r="E104" i="12" s="1"/>
  <c r="E54" i="12"/>
  <c r="C24" i="16"/>
  <c r="D113" i="5"/>
  <c r="D112" i="5"/>
  <c r="L5" i="16" s="1"/>
  <c r="B122" i="7"/>
  <c r="B121" i="7"/>
  <c r="D96" i="7"/>
  <c r="G91" i="7"/>
  <c r="G91" i="12"/>
  <c r="D96" i="12"/>
  <c r="C91" i="63" l="1"/>
  <c r="C32" i="63"/>
  <c r="F30" i="63"/>
  <c r="C89" i="5"/>
  <c r="F84" i="5"/>
  <c r="D98" i="7"/>
  <c r="G96" i="7"/>
  <c r="E51" i="46"/>
  <c r="E102" i="46"/>
  <c r="F26" i="66"/>
  <c r="C29" i="66"/>
  <c r="G96" i="9"/>
  <c r="D98" i="9"/>
  <c r="E103" i="8"/>
  <c r="E55" i="8"/>
  <c r="E104" i="8" s="1"/>
  <c r="E54" i="8"/>
  <c r="B107" i="66"/>
  <c r="B116" i="66" s="1"/>
  <c r="B122" i="66" s="1"/>
  <c r="B124" i="66" s="1"/>
  <c r="B104" i="66"/>
  <c r="B100" i="66"/>
  <c r="B32" i="66"/>
  <c r="D49" i="13"/>
  <c r="G43" i="13"/>
  <c r="D122" i="8"/>
  <c r="D121" i="8"/>
  <c r="G56" i="8"/>
  <c r="E96" i="5"/>
  <c r="I5" i="16" s="1"/>
  <c r="D12" i="16"/>
  <c r="D13" i="16"/>
  <c r="E48" i="5"/>
  <c r="E47" i="5"/>
  <c r="F43" i="46"/>
  <c r="C49" i="46"/>
  <c r="C35" i="64"/>
  <c r="F32" i="64"/>
  <c r="B107" i="63"/>
  <c r="B43" i="63"/>
  <c r="G43" i="7"/>
  <c r="D49" i="7"/>
  <c r="M19" i="31"/>
  <c r="L19" i="31"/>
  <c r="L21" i="31" s="1"/>
  <c r="L22" i="31" s="1"/>
  <c r="E106" i="65"/>
  <c r="E38" i="65"/>
  <c r="E110" i="65"/>
  <c r="C122" i="9"/>
  <c r="C121" i="9"/>
  <c r="F56" i="9"/>
  <c r="C10" i="16"/>
  <c r="D95" i="5"/>
  <c r="D4" i="15"/>
  <c r="D8" i="15" s="1"/>
  <c r="D17" i="15" s="1"/>
  <c r="G42" i="5"/>
  <c r="D44" i="5"/>
  <c r="C4" i="18"/>
  <c r="C35" i="61"/>
  <c r="F32" i="61"/>
  <c r="D49" i="9"/>
  <c r="G43" i="9"/>
  <c r="C98" i="1"/>
  <c r="F96" i="1"/>
  <c r="E98" i="14"/>
  <c r="G96" i="14"/>
  <c r="B10" i="16"/>
  <c r="F42" i="5"/>
  <c r="C95" i="5"/>
  <c r="C44" i="5"/>
  <c r="B4" i="18"/>
  <c r="C4" i="15"/>
  <c r="C8" i="15" s="1"/>
  <c r="C17" i="15" s="1"/>
  <c r="D32" i="65"/>
  <c r="G30" i="65"/>
  <c r="D91" i="65"/>
  <c r="G84" i="5"/>
  <c r="D89" i="5"/>
  <c r="F96" i="9"/>
  <c r="C98" i="9"/>
  <c r="C98" i="12"/>
  <c r="F96" i="12"/>
  <c r="B107" i="62"/>
  <c r="B43" i="62"/>
  <c r="G43" i="12"/>
  <c r="D49" i="12"/>
  <c r="E54" i="13"/>
  <c r="E103" i="13"/>
  <c r="E55" i="13"/>
  <c r="E104" i="13" s="1"/>
  <c r="C51" i="8"/>
  <c r="C102" i="8"/>
  <c r="F7" i="48"/>
  <c r="J7" i="48" s="1"/>
  <c r="J29" i="30"/>
  <c r="L35" i="31"/>
  <c r="M37" i="31"/>
  <c r="E110" i="61"/>
  <c r="E106" i="61"/>
  <c r="E38" i="61"/>
  <c r="D122" i="13"/>
  <c r="G56" i="13"/>
  <c r="D121" i="13"/>
  <c r="E103" i="10"/>
  <c r="E55" i="10"/>
  <c r="E104" i="10" s="1"/>
  <c r="E54" i="10"/>
  <c r="D122" i="1"/>
  <c r="D121" i="1"/>
  <c r="G56" i="1"/>
  <c r="D122" i="7"/>
  <c r="D121" i="7"/>
  <c r="G56" i="7"/>
  <c r="C98" i="6"/>
  <c r="F96" i="6"/>
  <c r="F43" i="12"/>
  <c r="C49" i="12"/>
  <c r="D122" i="9"/>
  <c r="D121" i="9"/>
  <c r="G56" i="9"/>
  <c r="C37" i="62"/>
  <c r="F35" i="62"/>
  <c r="D122" i="6"/>
  <c r="G56" i="6"/>
  <c r="D121" i="6"/>
  <c r="G32" i="61"/>
  <c r="C35" i="65"/>
  <c r="F32" i="65"/>
  <c r="G32" i="64"/>
  <c r="D35" i="64"/>
  <c r="G26" i="66"/>
  <c r="D29" i="66"/>
  <c r="E110" i="62"/>
  <c r="E106" i="62"/>
  <c r="E38" i="62"/>
  <c r="D49" i="14"/>
  <c r="G43" i="14"/>
  <c r="F43" i="7"/>
  <c r="C49" i="7"/>
  <c r="D98" i="6"/>
  <c r="G96" i="6"/>
  <c r="C49" i="14"/>
  <c r="F43" i="14"/>
  <c r="B106" i="65"/>
  <c r="B38" i="65"/>
  <c r="B113" i="65"/>
  <c r="B122" i="65" s="1"/>
  <c r="B128" i="65" s="1"/>
  <c r="B130" i="65" s="1"/>
  <c r="B110" i="65"/>
  <c r="B48" i="5"/>
  <c r="B97" i="5" s="1"/>
  <c r="B47" i="5"/>
  <c r="B96" i="5"/>
  <c r="E27" i="15"/>
  <c r="E33" i="15" s="1"/>
  <c r="E35" i="15" s="1"/>
  <c r="E41" i="15" s="1"/>
  <c r="E43" i="15" s="1"/>
  <c r="D35" i="62"/>
  <c r="G32" i="62"/>
  <c r="D121" i="46"/>
  <c r="G56" i="46"/>
  <c r="D122" i="46"/>
  <c r="C98" i="8"/>
  <c r="F96" i="8"/>
  <c r="C49" i="6"/>
  <c r="F43" i="6"/>
  <c r="C49" i="1"/>
  <c r="F43" i="1"/>
  <c r="D98" i="13"/>
  <c r="G96" i="13"/>
  <c r="D98" i="46"/>
  <c r="G96" i="46"/>
  <c r="B54" i="7"/>
  <c r="B103" i="7"/>
  <c r="B55" i="7"/>
  <c r="B104" i="7" s="1"/>
  <c r="F96" i="13"/>
  <c r="C122" i="12"/>
  <c r="C121" i="12"/>
  <c r="F56" i="12"/>
  <c r="E106" i="64"/>
  <c r="E38" i="64"/>
  <c r="E110" i="64"/>
  <c r="D98" i="1"/>
  <c r="G96" i="1"/>
  <c r="K3" i="16"/>
  <c r="B27" i="16"/>
  <c r="K4" i="16" s="1"/>
  <c r="D37" i="61"/>
  <c r="G35" i="61"/>
  <c r="G43" i="10"/>
  <c r="D49" i="10"/>
  <c r="E103" i="14"/>
  <c r="E55" i="14"/>
  <c r="E104" i="14" s="1"/>
  <c r="E54" i="14"/>
  <c r="C98" i="10"/>
  <c r="F96" i="10"/>
  <c r="F56" i="8"/>
  <c r="C113" i="5"/>
  <c r="C49" i="13"/>
  <c r="F43" i="13"/>
  <c r="E51" i="9"/>
  <c r="E102" i="9"/>
  <c r="C122" i="7"/>
  <c r="C121" i="7"/>
  <c r="F56" i="7"/>
  <c r="E100" i="66"/>
  <c r="E104" i="66"/>
  <c r="E32" i="66"/>
  <c r="E110" i="63"/>
  <c r="E106" i="63"/>
  <c r="E38" i="63"/>
  <c r="C122" i="6"/>
  <c r="C121" i="6"/>
  <c r="F56" i="6"/>
  <c r="D35" i="63"/>
  <c r="G32" i="63"/>
  <c r="D98" i="12"/>
  <c r="G96" i="12"/>
  <c r="C28" i="16"/>
  <c r="L6" i="16" s="1"/>
  <c r="C25" i="16"/>
  <c r="C122" i="1"/>
  <c r="C121" i="1"/>
  <c r="F56" i="1"/>
  <c r="B106" i="64"/>
  <c r="B113" i="64"/>
  <c r="B122" i="64" s="1"/>
  <c r="B128" i="64" s="1"/>
  <c r="B130" i="64" s="1"/>
  <c r="B110" i="64"/>
  <c r="B38" i="64"/>
  <c r="E121" i="46"/>
  <c r="E122" i="46"/>
  <c r="C99" i="14"/>
  <c r="F98" i="14"/>
  <c r="G43" i="8"/>
  <c r="D49" i="8"/>
  <c r="C122" i="46"/>
  <c r="C121" i="46"/>
  <c r="F56" i="46"/>
  <c r="G43" i="1"/>
  <c r="D49" i="1"/>
  <c r="F98" i="13"/>
  <c r="C99" i="13"/>
  <c r="C49" i="9"/>
  <c r="F43" i="9"/>
  <c r="D98" i="10"/>
  <c r="G96" i="10"/>
  <c r="J37" i="19"/>
  <c r="K39" i="19"/>
  <c r="D49" i="6"/>
  <c r="G43" i="6"/>
  <c r="C51" i="10"/>
  <c r="F49" i="10"/>
  <c r="C102" i="10"/>
  <c r="F9" i="48"/>
  <c r="J9" i="48" s="1"/>
  <c r="D122" i="10"/>
  <c r="G56" i="10"/>
  <c r="D121" i="10"/>
  <c r="C98" i="7"/>
  <c r="F96" i="7"/>
  <c r="B28" i="16"/>
  <c r="K6" i="16" s="1"/>
  <c r="B25" i="16"/>
  <c r="C121" i="13"/>
  <c r="C122" i="13"/>
  <c r="F56" i="13"/>
  <c r="D122" i="14"/>
  <c r="D121" i="14"/>
  <c r="G56" i="14"/>
  <c r="E122" i="9"/>
  <c r="E121" i="9"/>
  <c r="G96" i="8"/>
  <c r="D98" i="8"/>
  <c r="E55" i="7"/>
  <c r="E104" i="7" s="1"/>
  <c r="E54" i="7"/>
  <c r="E103" i="7"/>
  <c r="C121" i="14"/>
  <c r="F56" i="14"/>
  <c r="C122" i="14"/>
  <c r="C98" i="46"/>
  <c r="F96" i="46"/>
  <c r="D122" i="12"/>
  <c r="D121" i="12"/>
  <c r="G56" i="12"/>
  <c r="D49" i="46"/>
  <c r="G43" i="46"/>
  <c r="F43" i="8"/>
  <c r="I35" i="30"/>
  <c r="I36" i="30" s="1"/>
  <c r="J36" i="30" s="1"/>
  <c r="J37" i="30"/>
  <c r="I37" i="30" s="1"/>
  <c r="L30" i="31" l="1"/>
  <c r="M30" i="31" s="1"/>
  <c r="L31" i="31"/>
  <c r="L36" i="31" s="1"/>
  <c r="M36" i="31" s="1"/>
  <c r="L28" i="31"/>
  <c r="M28" i="31" s="1"/>
  <c r="L29" i="31"/>
  <c r="C54" i="10"/>
  <c r="C103" i="10"/>
  <c r="C55" i="10"/>
  <c r="C102" i="14"/>
  <c r="F49" i="14"/>
  <c r="C51" i="14"/>
  <c r="F13" i="48"/>
  <c r="J13" i="48" s="1"/>
  <c r="G35" i="64"/>
  <c r="D37" i="64"/>
  <c r="C99" i="6"/>
  <c r="F98" i="6"/>
  <c r="C99" i="46"/>
  <c r="F98" i="46"/>
  <c r="F98" i="7"/>
  <c r="C99" i="7"/>
  <c r="G98" i="12"/>
  <c r="D99" i="12"/>
  <c r="C51" i="13"/>
  <c r="F49" i="13"/>
  <c r="C102" i="13"/>
  <c r="F12" i="48"/>
  <c r="J12" i="48" s="1"/>
  <c r="F98" i="10"/>
  <c r="C99" i="10"/>
  <c r="D51" i="10"/>
  <c r="F51" i="10" s="1"/>
  <c r="G49" i="10"/>
  <c r="D102" i="10"/>
  <c r="D37" i="62"/>
  <c r="G35" i="62"/>
  <c r="B107" i="65"/>
  <c r="B43" i="65"/>
  <c r="F37" i="62"/>
  <c r="C106" i="62"/>
  <c r="C38" i="62"/>
  <c r="C109" i="62"/>
  <c r="C113" i="62"/>
  <c r="C122" i="62" s="1"/>
  <c r="C128" i="62" s="1"/>
  <c r="C130" i="62" s="1"/>
  <c r="C110" i="62"/>
  <c r="B109" i="62"/>
  <c r="C51" i="12"/>
  <c r="F49" i="12"/>
  <c r="C102" i="12"/>
  <c r="F11" i="48"/>
  <c r="J11" i="48" s="1"/>
  <c r="E107" i="61"/>
  <c r="E43" i="61"/>
  <c r="F98" i="9"/>
  <c r="C99" i="9"/>
  <c r="B10" i="18"/>
  <c r="F22" i="59"/>
  <c r="C99" i="1"/>
  <c r="F98" i="1"/>
  <c r="C37" i="61"/>
  <c r="F35" i="61"/>
  <c r="E54" i="46"/>
  <c r="E103" i="46"/>
  <c r="E55" i="46"/>
  <c r="E104" i="46" s="1"/>
  <c r="C91" i="5"/>
  <c r="F89" i="5"/>
  <c r="D102" i="46"/>
  <c r="D51" i="46"/>
  <c r="G49" i="46"/>
  <c r="G98" i="8"/>
  <c r="D99" i="8"/>
  <c r="D51" i="8"/>
  <c r="G49" i="8"/>
  <c r="D102" i="8"/>
  <c r="E107" i="63"/>
  <c r="E43" i="63"/>
  <c r="F98" i="8"/>
  <c r="C99" i="8"/>
  <c r="G98" i="10"/>
  <c r="D99" i="10"/>
  <c r="B107" i="64"/>
  <c r="B43" i="64"/>
  <c r="E107" i="64"/>
  <c r="E43" i="64"/>
  <c r="G98" i="13"/>
  <c r="D99" i="13"/>
  <c r="C102" i="6"/>
  <c r="F49" i="6"/>
  <c r="C51" i="6"/>
  <c r="F5" i="48"/>
  <c r="J5" i="48" s="1"/>
  <c r="D99" i="6"/>
  <c r="G98" i="6"/>
  <c r="D51" i="14"/>
  <c r="G49" i="14"/>
  <c r="D102" i="14"/>
  <c r="D31" i="66"/>
  <c r="G29" i="66"/>
  <c r="F49" i="8"/>
  <c r="B13" i="16"/>
  <c r="F44" i="5"/>
  <c r="C96" i="5"/>
  <c r="G5" i="16" s="1"/>
  <c r="C47" i="5"/>
  <c r="C48" i="5"/>
  <c r="B12" i="16"/>
  <c r="C27" i="15"/>
  <c r="C33" i="15" s="1"/>
  <c r="C35" i="15" s="1"/>
  <c r="C41" i="15" s="1"/>
  <c r="C43" i="15" s="1"/>
  <c r="C10" i="18"/>
  <c r="E22" i="59"/>
  <c r="J22" i="59" s="1"/>
  <c r="J26" i="59" s="1"/>
  <c r="D102" i="7"/>
  <c r="G49" i="7"/>
  <c r="D51" i="7"/>
  <c r="F29" i="66"/>
  <c r="C31" i="66"/>
  <c r="C102" i="9"/>
  <c r="C51" i="9"/>
  <c r="F49" i="9"/>
  <c r="F8" i="48"/>
  <c r="J8" i="48" s="1"/>
  <c r="D109" i="61"/>
  <c r="D113" i="61"/>
  <c r="D122" i="61" s="1"/>
  <c r="D128" i="61" s="1"/>
  <c r="D130" i="61" s="1"/>
  <c r="D110" i="61"/>
  <c r="G37" i="61"/>
  <c r="D106" i="61"/>
  <c r="D38" i="61"/>
  <c r="D99" i="46"/>
  <c r="G98" i="46"/>
  <c r="D102" i="6"/>
  <c r="G49" i="6"/>
  <c r="D51" i="6"/>
  <c r="G49" i="1"/>
  <c r="D51" i="1"/>
  <c r="D102" i="1"/>
  <c r="D37" i="63"/>
  <c r="G35" i="63"/>
  <c r="E54" i="9"/>
  <c r="E55" i="9"/>
  <c r="E104" i="9" s="1"/>
  <c r="E103" i="9"/>
  <c r="C51" i="7"/>
  <c r="F49" i="7"/>
  <c r="C102" i="7"/>
  <c r="F6" i="48"/>
  <c r="J6" i="48" s="1"/>
  <c r="E107" i="62"/>
  <c r="E43" i="62"/>
  <c r="C37" i="65"/>
  <c r="C54" i="8"/>
  <c r="C103" i="8"/>
  <c r="F51" i="8"/>
  <c r="C55" i="8"/>
  <c r="D102" i="12"/>
  <c r="D51" i="12"/>
  <c r="G49" i="12"/>
  <c r="G89" i="5"/>
  <c r="D91" i="5"/>
  <c r="G91" i="5" s="1"/>
  <c r="G32" i="65"/>
  <c r="D35" i="65"/>
  <c r="F35" i="65" s="1"/>
  <c r="E99" i="14"/>
  <c r="G98" i="14"/>
  <c r="D102" i="9"/>
  <c r="D51" i="9"/>
  <c r="G49" i="9"/>
  <c r="D96" i="5"/>
  <c r="H5" i="16" s="1"/>
  <c r="D47" i="5"/>
  <c r="G47" i="5" s="1"/>
  <c r="C12" i="16"/>
  <c r="D48" i="5"/>
  <c r="C13" i="16"/>
  <c r="G44" i="5"/>
  <c r="D27" i="15"/>
  <c r="D33" i="15" s="1"/>
  <c r="D35" i="15" s="1"/>
  <c r="D41" i="15" s="1"/>
  <c r="D43" i="15" s="1"/>
  <c r="C37" i="64"/>
  <c r="F35" i="64"/>
  <c r="D15" i="16"/>
  <c r="E97" i="5"/>
  <c r="I6" i="16" s="1"/>
  <c r="D14" i="16"/>
  <c r="D36" i="16" s="1"/>
  <c r="D51" i="13"/>
  <c r="G49" i="13"/>
  <c r="D102" i="13"/>
  <c r="D99" i="7"/>
  <c r="G98" i="7"/>
  <c r="F32" i="63"/>
  <c r="C35" i="63"/>
  <c r="E101" i="66"/>
  <c r="E37" i="66"/>
  <c r="G98" i="1"/>
  <c r="D99" i="1"/>
  <c r="C102" i="1"/>
  <c r="F49" i="1"/>
  <c r="C51" i="1"/>
  <c r="F4" i="48"/>
  <c r="F98" i="12"/>
  <c r="C99" i="12"/>
  <c r="E107" i="65"/>
  <c r="E43" i="65"/>
  <c r="C102" i="46"/>
  <c r="C51" i="46"/>
  <c r="F49" i="46"/>
  <c r="F10" i="48"/>
  <c r="J10" i="48" s="1"/>
  <c r="B101" i="66"/>
  <c r="B37" i="66"/>
  <c r="D99" i="9"/>
  <c r="G98" i="9"/>
  <c r="D54" i="13" l="1"/>
  <c r="G54" i="13" s="1"/>
  <c r="D103" i="13"/>
  <c r="G51" i="13"/>
  <c r="D55" i="13"/>
  <c r="C54" i="7"/>
  <c r="C103" i="7"/>
  <c r="F51" i="7"/>
  <c r="C55" i="7"/>
  <c r="C107" i="66"/>
  <c r="C116" i="66" s="1"/>
  <c r="C122" i="66" s="1"/>
  <c r="C124" i="66" s="1"/>
  <c r="C104" i="66"/>
  <c r="C100" i="66"/>
  <c r="C103" i="66"/>
  <c r="C32" i="66"/>
  <c r="F31" i="66"/>
  <c r="B103" i="66"/>
  <c r="D100" i="66"/>
  <c r="D103" i="66"/>
  <c r="D107" i="66"/>
  <c r="D116" i="66" s="1"/>
  <c r="D122" i="66" s="1"/>
  <c r="D124" i="66" s="1"/>
  <c r="D104" i="66"/>
  <c r="D32" i="66"/>
  <c r="G31" i="66"/>
  <c r="D54" i="8"/>
  <c r="G54" i="8" s="1"/>
  <c r="D103" i="8"/>
  <c r="G51" i="8"/>
  <c r="D55" i="8"/>
  <c r="D55" i="46"/>
  <c r="D54" i="46"/>
  <c r="G54" i="46" s="1"/>
  <c r="D103" i="46"/>
  <c r="G51" i="46"/>
  <c r="C57" i="59"/>
  <c r="K22" i="59"/>
  <c r="K26" i="59" s="1"/>
  <c r="G22" i="59" s="1"/>
  <c r="G36" i="59" s="1"/>
  <c r="C41" i="59" s="1"/>
  <c r="D106" i="62"/>
  <c r="D38" i="62"/>
  <c r="D109" i="62"/>
  <c r="D113" i="62"/>
  <c r="D122" i="62" s="1"/>
  <c r="D128" i="62" s="1"/>
  <c r="D130" i="62" s="1"/>
  <c r="D110" i="62"/>
  <c r="G37" i="62"/>
  <c r="C104" i="10"/>
  <c r="L37" i="31"/>
  <c r="M29" i="31"/>
  <c r="C103" i="1"/>
  <c r="F51" i="1"/>
  <c r="C55" i="1"/>
  <c r="C54" i="1"/>
  <c r="C109" i="64"/>
  <c r="C113" i="64"/>
  <c r="C122" i="64" s="1"/>
  <c r="C128" i="64" s="1"/>
  <c r="C130" i="64" s="1"/>
  <c r="C110" i="64"/>
  <c r="C106" i="64"/>
  <c r="F37" i="64"/>
  <c r="C38" i="64"/>
  <c r="B109" i="64"/>
  <c r="C14" i="16"/>
  <c r="C36" i="16" s="1"/>
  <c r="C15" i="16"/>
  <c r="D97" i="5"/>
  <c r="H6" i="16" s="1"/>
  <c r="G48" i="5"/>
  <c r="F55" i="8"/>
  <c r="C104" i="8"/>
  <c r="D106" i="63"/>
  <c r="D38" i="63"/>
  <c r="D109" i="63"/>
  <c r="D113" i="63"/>
  <c r="D122" i="63" s="1"/>
  <c r="D128" i="63" s="1"/>
  <c r="D130" i="63" s="1"/>
  <c r="D110" i="63"/>
  <c r="G37" i="63"/>
  <c r="D55" i="6"/>
  <c r="D54" i="6"/>
  <c r="G54" i="6" s="1"/>
  <c r="G51" i="6"/>
  <c r="D103" i="6"/>
  <c r="B14" i="16"/>
  <c r="B36" i="16" s="1"/>
  <c r="F48" i="5"/>
  <c r="B15" i="16"/>
  <c r="C97" i="5"/>
  <c r="G6" i="16" s="1"/>
  <c r="C106" i="61"/>
  <c r="C38" i="61"/>
  <c r="C109" i="61"/>
  <c r="C113" i="61"/>
  <c r="C122" i="61" s="1"/>
  <c r="C128" i="61" s="1"/>
  <c r="C130" i="61" s="1"/>
  <c r="C110" i="61"/>
  <c r="F37" i="61"/>
  <c r="B109" i="61"/>
  <c r="J16" i="19"/>
  <c r="D10" i="18"/>
  <c r="B12" i="18"/>
  <c r="M14" i="31"/>
  <c r="C54" i="12"/>
  <c r="C103" i="12"/>
  <c r="F51" i="12"/>
  <c r="C55" i="12"/>
  <c r="C55" i="13"/>
  <c r="C54" i="13"/>
  <c r="F54" i="13" s="1"/>
  <c r="C103" i="13"/>
  <c r="F51" i="13"/>
  <c r="C103" i="14"/>
  <c r="C54" i="14"/>
  <c r="F51" i="14"/>
  <c r="C55" i="14"/>
  <c r="F14" i="48"/>
  <c r="J4" i="48"/>
  <c r="J14" i="48" s="1"/>
  <c r="C37" i="63"/>
  <c r="F35" i="63"/>
  <c r="D103" i="9"/>
  <c r="D54" i="9"/>
  <c r="G54" i="9" s="1"/>
  <c r="G51" i="9"/>
  <c r="D55" i="9"/>
  <c r="D37" i="65"/>
  <c r="G35" i="65"/>
  <c r="C109" i="65"/>
  <c r="C113" i="65"/>
  <c r="C122" i="65" s="1"/>
  <c r="C128" i="65" s="1"/>
  <c r="C130" i="65" s="1"/>
  <c r="C110" i="65"/>
  <c r="F37" i="65"/>
  <c r="C106" i="65"/>
  <c r="C38" i="65"/>
  <c r="B109" i="65"/>
  <c r="D107" i="61"/>
  <c r="D43" i="61"/>
  <c r="G43" i="61" s="1"/>
  <c r="C103" i="9"/>
  <c r="C55" i="9"/>
  <c r="C54" i="9"/>
  <c r="F54" i="9" s="1"/>
  <c r="F51" i="9"/>
  <c r="D103" i="7"/>
  <c r="G51" i="7"/>
  <c r="D55" i="7"/>
  <c r="D54" i="7"/>
  <c r="G54" i="7" s="1"/>
  <c r="F47" i="5"/>
  <c r="C107" i="62"/>
  <c r="C43" i="62"/>
  <c r="D113" i="64"/>
  <c r="D122" i="64" s="1"/>
  <c r="D128" i="64" s="1"/>
  <c r="D130" i="64" s="1"/>
  <c r="D110" i="64"/>
  <c r="G37" i="64"/>
  <c r="D106" i="64"/>
  <c r="D109" i="64"/>
  <c r="D38" i="64"/>
  <c r="C103" i="46"/>
  <c r="F51" i="46"/>
  <c r="C55" i="46"/>
  <c r="C54" i="46"/>
  <c r="F54" i="46" s="1"/>
  <c r="D103" i="12"/>
  <c r="G51" i="12"/>
  <c r="D55" i="12"/>
  <c r="D54" i="12"/>
  <c r="G54" i="12" s="1"/>
  <c r="D55" i="1"/>
  <c r="D54" i="1"/>
  <c r="G54" i="1" s="1"/>
  <c r="D103" i="1"/>
  <c r="G51" i="1"/>
  <c r="D54" i="14"/>
  <c r="G54" i="14" s="1"/>
  <c r="D103" i="14"/>
  <c r="G51" i="14"/>
  <c r="D55" i="14"/>
  <c r="C103" i="6"/>
  <c r="C55" i="6"/>
  <c r="C54" i="6"/>
  <c r="F54" i="6" s="1"/>
  <c r="F51" i="6"/>
  <c r="F91" i="5"/>
  <c r="D54" i="10"/>
  <c r="G54" i="10" s="1"/>
  <c r="D103" i="10"/>
  <c r="G51" i="10"/>
  <c r="D55" i="10"/>
  <c r="F55" i="10" s="1"/>
  <c r="F54" i="10"/>
  <c r="D107" i="64" l="1"/>
  <c r="D43" i="64"/>
  <c r="G43" i="64" s="1"/>
  <c r="C107" i="65"/>
  <c r="C43" i="65"/>
  <c r="F55" i="12"/>
  <c r="C104" i="12"/>
  <c r="D104" i="12"/>
  <c r="G55" i="12"/>
  <c r="C104" i="46"/>
  <c r="F55" i="46"/>
  <c r="F37" i="63"/>
  <c r="C106" i="63"/>
  <c r="C38" i="63"/>
  <c r="C109" i="63"/>
  <c r="C113" i="63"/>
  <c r="C122" i="63" s="1"/>
  <c r="C128" i="63" s="1"/>
  <c r="C130" i="63" s="1"/>
  <c r="C110" i="63"/>
  <c r="B109" i="63"/>
  <c r="D17" i="18"/>
  <c r="B17" i="18"/>
  <c r="B19" i="18" s="1"/>
  <c r="B20" i="18" s="1"/>
  <c r="C107" i="61"/>
  <c r="C43" i="61"/>
  <c r="F43" i="61" s="1"/>
  <c r="G55" i="46"/>
  <c r="D104" i="46"/>
  <c r="D104" i="9"/>
  <c r="G55" i="9"/>
  <c r="C44" i="59"/>
  <c r="C45" i="59" s="1"/>
  <c r="C51" i="59" s="1"/>
  <c r="C52" i="59" s="1"/>
  <c r="C54" i="59"/>
  <c r="C58" i="59" s="1"/>
  <c r="G55" i="13"/>
  <c r="D104" i="13"/>
  <c r="C104" i="6"/>
  <c r="F55" i="6"/>
  <c r="F54" i="14"/>
  <c r="G55" i="6"/>
  <c r="D104" i="6"/>
  <c r="F54" i="1"/>
  <c r="D107" i="62"/>
  <c r="D43" i="62"/>
  <c r="G43" i="62" s="1"/>
  <c r="D104" i="8"/>
  <c r="G55" i="8"/>
  <c r="C101" i="66"/>
  <c r="C37" i="66"/>
  <c r="F54" i="7"/>
  <c r="G55" i="14"/>
  <c r="D104" i="14"/>
  <c r="F55" i="14"/>
  <c r="C104" i="14"/>
  <c r="C107" i="64"/>
  <c r="C43" i="64"/>
  <c r="F43" i="64" s="1"/>
  <c r="F43" i="62"/>
  <c r="D104" i="7"/>
  <c r="G55" i="7"/>
  <c r="D104" i="10"/>
  <c r="G55" i="10"/>
  <c r="G55" i="1"/>
  <c r="D104" i="1"/>
  <c r="C104" i="9"/>
  <c r="F55" i="9"/>
  <c r="D113" i="65"/>
  <c r="D122" i="65" s="1"/>
  <c r="D128" i="65" s="1"/>
  <c r="D130" i="65" s="1"/>
  <c r="D110" i="65"/>
  <c r="G37" i="65"/>
  <c r="D106" i="65"/>
  <c r="D38" i="65"/>
  <c r="D109" i="65"/>
  <c r="F55" i="13"/>
  <c r="C104" i="13"/>
  <c r="F54" i="12"/>
  <c r="K21" i="19"/>
  <c r="K16" i="19"/>
  <c r="J21" i="19"/>
  <c r="J23" i="19" s="1"/>
  <c r="J24" i="19" s="1"/>
  <c r="D107" i="63"/>
  <c r="D43" i="63"/>
  <c r="G43" i="63" s="1"/>
  <c r="C104" i="1"/>
  <c r="F55" i="1"/>
  <c r="D101" i="66"/>
  <c r="D37" i="66"/>
  <c r="G37" i="66" s="1"/>
  <c r="C104" i="7"/>
  <c r="F55" i="7"/>
  <c r="F54" i="8"/>
  <c r="B28" i="18" l="1"/>
  <c r="D28" i="18" s="1"/>
  <c r="B27" i="18"/>
  <c r="D27" i="18" s="1"/>
  <c r="B26" i="18"/>
  <c r="D26" i="18" s="1"/>
  <c r="B29" i="18"/>
  <c r="B34" i="18" s="1"/>
  <c r="D34" i="18" s="1"/>
  <c r="J32" i="19"/>
  <c r="K32" i="19" s="1"/>
  <c r="J30" i="19"/>
  <c r="K30" i="19" s="1"/>
  <c r="J31" i="19"/>
  <c r="J33" i="19"/>
  <c r="J38" i="19" s="1"/>
  <c r="K38" i="19" s="1"/>
  <c r="D107" i="65"/>
  <c r="D43" i="65"/>
  <c r="G43" i="65" s="1"/>
  <c r="F37" i="66"/>
  <c r="C107" i="63"/>
  <c r="C43" i="63"/>
  <c r="F43" i="63" s="1"/>
  <c r="K31" i="19" l="1"/>
  <c r="J39" i="19"/>
  <c r="F43" i="6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<sst xmlns="http://schemas.openxmlformats.org/spreadsheetml/2006/main" count="13450" uniqueCount="2044">
  <si>
    <t>Segment (select from dropdown):</t>
  </si>
  <si>
    <t>Prime</t>
  </si>
  <si>
    <t>Customer Type (select from dropdown):</t>
  </si>
  <si>
    <t>Self-employed Non-Professional (SENP)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</si>
  <si>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</si>
  <si>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</si>
  <si>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</si>
  <si>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</si>
  <si>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</si>
  <si>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</si>
  <si>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</si>
  <si>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</si>
  <si>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</si>
  <si>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</si>
  <si>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</si>
  <si>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</si>
  <si>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SONA NAVANI</t>
  </si>
  <si>
    <t>Individual</t>
  </si>
  <si>
    <t>APPLICANT</t>
  </si>
  <si>
    <t>SELF</t>
  </si>
  <si>
    <t>Y</t>
  </si>
  <si>
    <t xml:space="preserve">NITIN </t>
  </si>
  <si>
    <t>CO 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</si>
  <si>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</si>
  <si>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</si>
  <si>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</si>
  <si>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</si>
  <si>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</si>
  <si>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</si>
  <si>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</si>
  <si>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</si>
  <si>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</si>
  <si>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</si>
  <si>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</si>
  <si>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</si>
  <si>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</si>
  <si>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</si>
  <si>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</si>
  <si>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</si>
  <si>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</si>
  <si>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</si>
  <si>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</si>
  <si>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</si>
  <si>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</si>
  <si>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</si>
  <si>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</si>
  <si>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</si>
  <si>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</si>
  <si>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</si>
  <si>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</si>
  <si>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</si>
  <si>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</si>
  <si>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</si>
  <si>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</si>
  <si>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</si>
  <si>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t>Residential House</t>
  </si>
  <si>
    <t>Self-occupation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</si>
  <si>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</si>
  <si>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</si>
  <si>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</si>
  <si>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</si>
  <si>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</si>
  <si>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</si>
  <si>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</si>
  <si>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</si>
  <si>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</si>
  <si>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</si>
  <si>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</si>
  <si>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</si>
  <si>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</si>
  <si>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</si>
  <si>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</si>
  <si>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</si>
  <si>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</si>
  <si>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</si>
  <si>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</si>
  <si>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</si>
  <si>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</si>
  <si>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</si>
  <si>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</si>
  <si>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</si>
  <si>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</si>
  <si>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</si>
  <si>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</si>
  <si>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</si>
  <si>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</si>
  <si>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</si>
  <si>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</si>
  <si>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</si>
  <si>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</si>
  <si>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</si>
  <si>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</si>
  <si>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</si>
  <si>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</si>
  <si>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</si>
  <si>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</si>
  <si>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</si>
  <si>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</si>
  <si>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</si>
  <si>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</si>
  <si>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</si>
  <si>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</si>
  <si>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</si>
  <si>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</si>
  <si>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</si>
  <si>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</si>
  <si>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</si>
  <si>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</si>
  <si>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</si>
  <si>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</si>
  <si>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</si>
  <si>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</si>
  <si>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</si>
  <si>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</si>
  <si>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</si>
  <si>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</si>
  <si>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</si>
  <si>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</si>
  <si>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</si>
  <si>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</si>
  <si>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</si>
  <si>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</si>
  <si>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</si>
  <si>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</si>
  <si>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</si>
  <si>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</si>
  <si>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</si>
  <si>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</si>
  <si>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</si>
  <si>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</si>
  <si>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</si>
  <si>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</si>
  <si>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</si>
  <si>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</si>
  <si>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</si>
  <si>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</si>
  <si>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</si>
  <si>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</si>
  <si>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</si>
  <si>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</si>
  <si>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</si>
  <si>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</si>
  <si>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</si>
  <si>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</si>
  <si>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</si>
  <si>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</si>
  <si>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</si>
  <si>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</si>
  <si>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</si>
  <si>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</si>
  <si>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</si>
  <si>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</si>
  <si>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</si>
  <si>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</si>
  <si>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</si>
  <si>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</si>
  <si>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</si>
  <si>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</si>
  <si>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</si>
  <si>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</si>
  <si>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</si>
  <si>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</si>
  <si>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</si>
  <si>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</si>
  <si>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</si>
  <si>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</si>
  <si>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</si>
  <si>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</si>
  <si>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</si>
  <si>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</si>
  <si>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</si>
  <si>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</si>
  <si>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</si>
  <si>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</si>
  <si>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</si>
  <si>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</si>
  <si>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</si>
  <si>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</si>
  <si>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</si>
  <si>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</si>
  <si>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</si>
  <si>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</si>
  <si>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</si>
  <si>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</si>
  <si>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</si>
  <si>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</si>
  <si>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</si>
  <si>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</si>
  <si>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</si>
  <si>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</si>
  <si>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</si>
  <si>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</si>
  <si>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</si>
  <si>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</si>
  <si>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</si>
  <si>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</si>
  <si>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</si>
  <si>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</si>
  <si>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</si>
  <si>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</si>
  <si>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</si>
  <si>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</si>
  <si>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</si>
  <si>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</si>
  <si>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</si>
  <si>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</si>
  <si>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</si>
  <si>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</si>
  <si>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</si>
  <si>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</si>
  <si>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</si>
  <si>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</si>
  <si>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</si>
  <si>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</si>
  <si>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</si>
  <si>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</si>
  <si>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</si>
  <si>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</si>
  <si>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</si>
  <si>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</si>
  <si>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</si>
  <si>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</si>
  <si>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</si>
  <si>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</si>
  <si>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</si>
  <si>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</si>
  <si>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</si>
  <si>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</si>
  <si>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</si>
  <si>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</si>
  <si>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</si>
  <si>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</si>
  <si>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</si>
  <si>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</si>
  <si>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</si>
  <si>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</si>
  <si>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</si>
  <si>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</si>
  <si>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</si>
  <si>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</si>
  <si>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</si>
  <si>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</si>
  <si>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</si>
  <si>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</si>
  <si>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</si>
  <si>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</si>
  <si>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</si>
  <si>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</si>
  <si>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</si>
  <si>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</si>
  <si>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</si>
  <si>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</si>
  <si>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</si>
  <si>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</si>
  <si>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</si>
  <si>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</si>
  <si>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</si>
  <si>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</si>
  <si>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</si>
  <si>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</si>
  <si>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</si>
  <si>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</si>
  <si>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</si>
  <si>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</si>
  <si>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</si>
  <si>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</si>
  <si>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</si>
  <si>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</si>
  <si>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</si>
  <si>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</si>
  <si>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</si>
  <si>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</si>
  <si>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</si>
  <si>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</si>
  <si>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</si>
  <si>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</si>
  <si>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</si>
  <si>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</si>
  <si>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</si>
  <si>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</si>
  <si>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</si>
  <si>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</si>
  <si>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</si>
  <si>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</si>
  <si>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</si>
  <si>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</si>
  <si>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</si>
  <si>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</si>
  <si>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</si>
  <si>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</si>
  <si>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</si>
  <si>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</si>
  <si>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</si>
  <si>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</si>
  <si>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</si>
  <si>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</si>
  <si>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</si>
  <si>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</si>
  <si>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</si>
  <si>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</si>
  <si>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</si>
  <si>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</si>
  <si>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</si>
  <si>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</si>
  <si>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</si>
  <si>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</si>
  <si>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</si>
  <si>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</si>
  <si>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</si>
  <si>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</si>
  <si>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</si>
  <si>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</si>
  <si>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</si>
  <si>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</si>
  <si>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</si>
  <si>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</si>
  <si>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</si>
  <si>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</si>
  <si>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</si>
  <si>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</si>
  <si>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</si>
  <si>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</si>
  <si>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</si>
  <si>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</si>
  <si>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</si>
  <si>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</si>
  <si>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</si>
  <si>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</si>
  <si>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</si>
  <si>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</si>
  <si>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</si>
  <si>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</si>
  <si>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</si>
  <si>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</si>
  <si>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</si>
  <si>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</si>
  <si>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</si>
  <si>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</si>
  <si>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</si>
  <si>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</si>
  <si>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</si>
  <si>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</si>
  <si>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</si>
  <si>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</si>
  <si>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</si>
  <si>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</si>
  <si>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</si>
  <si>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</si>
  <si>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</si>
  <si>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</si>
  <si>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</si>
  <si>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</si>
  <si>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</si>
  <si>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</si>
  <si>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</si>
  <si>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</si>
  <si>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</si>
  <si>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</si>
  <si>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</si>
  <si>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</si>
  <si>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</si>
  <si>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</si>
  <si>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</si>
  <si>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</si>
  <si>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</si>
  <si>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</si>
  <si>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</si>
  <si>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</si>
  <si>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</si>
  <si>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</si>
  <si>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</si>
  <si>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</si>
  <si>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</si>
  <si>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</si>
  <si>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</si>
  <si>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</si>
  <si>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</si>
  <si>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</si>
  <si>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</si>
  <si>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</si>
  <si>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</si>
  <si>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</si>
  <si>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</si>
  <si>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</si>
  <si>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</si>
  <si>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</si>
  <si>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</si>
  <si>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</si>
  <si>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</si>
  <si>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</si>
  <si>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</si>
  <si>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</si>
  <si>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</si>
  <si>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</si>
  <si>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</si>
  <si>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</si>
  <si>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</si>
  <si>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</si>
  <si>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</si>
  <si>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</si>
  <si>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</si>
  <si>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</si>
  <si>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</si>
  <si>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</si>
  <si>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</si>
  <si>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</si>
  <si>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</si>
  <si>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</si>
  <si>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</si>
  <si>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</si>
  <si>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</si>
  <si>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</si>
  <si>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</si>
  <si>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</si>
  <si>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</si>
  <si>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</si>
  <si>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</si>
  <si>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</si>
  <si>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</si>
  <si>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</si>
  <si>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</si>
  <si>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</si>
  <si>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</si>
  <si>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</si>
  <si>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</si>
  <si>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</si>
  <si>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</si>
  <si>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</si>
  <si>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</si>
  <si>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</si>
  <si>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</si>
  <si>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</si>
  <si>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</si>
  <si>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</si>
  <si>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</si>
  <si>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</si>
  <si>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</si>
  <si>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</si>
  <si>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</si>
  <si>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</si>
  <si>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</si>
  <si>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</si>
  <si>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</si>
  <si>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</si>
  <si>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</si>
  <si>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</si>
  <si>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</si>
  <si>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</si>
  <si>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</si>
  <si>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</si>
  <si>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</si>
  <si>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</si>
  <si>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</si>
  <si>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</si>
  <si>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</si>
  <si>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</si>
  <si>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</si>
  <si>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</si>
  <si>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</si>
  <si>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</si>
  <si>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</si>
  <si>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2020-21</t>
  </si>
  <si>
    <t>2019-20</t>
  </si>
  <si>
    <t>2018-19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</si>
  <si>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</si>
  <si>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</si>
  <si>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</si>
  <si>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</si>
  <si>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</si>
  <si>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</si>
  <si>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</si>
  <si>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</si>
  <si>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</si>
  <si>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</si>
  <si>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</si>
  <si>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</si>
  <si>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</si>
  <si>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</si>
  <si>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</si>
  <si>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</si>
  <si>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</si>
  <si>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</si>
  <si>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</si>
  <si>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</si>
  <si>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</si>
  <si>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</si>
  <si>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</si>
  <si>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</si>
  <si>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</si>
  <si>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</si>
  <si>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</si>
  <si>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</si>
  <si>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</si>
  <si>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</si>
  <si>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</si>
  <si>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</si>
  <si>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</si>
  <si>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</si>
  <si>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</si>
  <si>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</si>
  <si>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</si>
  <si>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</si>
  <si>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</si>
  <si>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</si>
  <si>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</si>
  <si>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</si>
  <si>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</si>
  <si>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</si>
  <si>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</si>
  <si>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</si>
  <si>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</si>
  <si>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</si>
  <si>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</si>
  <si>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</si>
  <si>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</si>
  <si>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</si>
  <si>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</si>
  <si>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</si>
  <si>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</si>
  <si>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</si>
  <si>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</si>
  <si>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</si>
  <si>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</si>
  <si>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</si>
  <si>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</si>
  <si>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</si>
  <si>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</si>
  <si>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Name of Bank</t>
  </si>
  <si>
    <t>Branch Name</t>
  </si>
  <si>
    <t>A/c Type (Select from Dropdown)</t>
  </si>
  <si>
    <t>A/c Number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</si>
  <si>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</si>
  <si>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</si>
  <si>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</si>
  <si>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</si>
  <si>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</si>
  <si>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</si>
  <si>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</si>
  <si>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</si>
  <si>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</si>
  <si>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</si>
  <si>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</si>
  <si>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</si>
  <si>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</si>
  <si>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</si>
  <si>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</si>
  <si>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</si>
  <si>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</si>
  <si>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</si>
  <si>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</si>
  <si>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</si>
  <si>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</si>
  <si>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</si>
  <si>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</si>
  <si>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</si>
  <si>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</si>
  <si>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</si>
  <si>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</si>
  <si>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</si>
  <si>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</si>
  <si>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</si>
  <si>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</si>
  <si>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</si>
  <si>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</si>
  <si>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</si>
  <si>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</si>
  <si>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</si>
  <si>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</si>
  <si>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</si>
  <si>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</si>
  <si>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</si>
  <si>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</si>
  <si>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</si>
  <si>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</si>
  <si>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</si>
  <si>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</si>
  <si>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</si>
  <si>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</si>
  <si>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</si>
  <si>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</si>
  <si>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</si>
  <si>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</si>
  <si>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</si>
  <si>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</si>
  <si>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</si>
  <si>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</si>
  <si>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</si>
  <si>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</si>
  <si>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</si>
  <si>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</si>
  <si>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</si>
  <si>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</si>
  <si>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</si>
  <si>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</si>
  <si>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</si>
  <si>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</si>
  <si>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</si>
  <si>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</si>
  <si>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</si>
  <si>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</si>
  <si>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</si>
  <si>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</si>
  <si>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</si>
  <si>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</si>
  <si>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</si>
  <si>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</si>
  <si>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</si>
  <si>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</si>
  <si>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</si>
  <si>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</si>
  <si>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</si>
  <si>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</si>
  <si>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</si>
  <si>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</si>
  <si>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</si>
  <si>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</si>
  <si>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</si>
  <si>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</si>
  <si>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</si>
  <si>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</si>
  <si>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</si>
  <si>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</si>
  <si>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</si>
  <si>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</si>
  <si>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</si>
  <si>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</si>
  <si>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</si>
  <si>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</si>
  <si>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</si>
  <si>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</si>
  <si>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</si>
  <si>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</si>
  <si>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</si>
  <si>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</si>
  <si>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</si>
  <si>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</si>
  <si>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</si>
  <si>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</si>
  <si>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</si>
  <si>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</si>
  <si>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</si>
  <si>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</si>
  <si>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</si>
  <si>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</si>
  <si>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</si>
  <si>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</si>
  <si>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</si>
  <si>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</si>
  <si>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</si>
  <si>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</si>
  <si>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</si>
  <si>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</si>
  <si>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</si>
  <si>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</si>
  <si>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</si>
  <si>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</si>
  <si>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</si>
  <si>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</si>
  <si>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</si>
  <si>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</si>
  <si>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</si>
  <si>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</si>
  <si>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</si>
  <si>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</si>
  <si>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</si>
  <si>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</si>
  <si>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</si>
  <si>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</si>
  <si>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</si>
  <si>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</si>
  <si>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</si>
  <si>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</si>
  <si>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</si>
  <si>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</si>
  <si>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</si>
  <si>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</si>
  <si>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</si>
  <si>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</si>
  <si>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</si>
  <si>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</si>
  <si>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</si>
  <si>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</si>
  <si>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</si>
  <si>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</si>
  <si>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</si>
  <si>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</si>
  <si>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</si>
  <si>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</si>
  <si>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</si>
  <si>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</si>
  <si>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</si>
  <si>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</si>
  <si>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</si>
  <si>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</si>
  <si>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</si>
  <si>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</si>
  <si>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</si>
  <si>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</si>
  <si>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</si>
  <si>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</si>
  <si>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</si>
  <si>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</si>
  <si>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</si>
  <si>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</si>
  <si>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</si>
  <si>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</si>
  <si>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</si>
  <si>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</si>
  <si>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</si>
  <si>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</si>
  <si>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</si>
  <si>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</si>
  <si>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</si>
  <si>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</si>
  <si>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</si>
  <si>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</si>
  <si>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</si>
  <si>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</si>
  <si>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</si>
  <si>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</si>
  <si>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</si>
  <si>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</si>
  <si>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</si>
  <si>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</si>
  <si>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</si>
  <si>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</si>
  <si>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</si>
  <si>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</si>
  <si>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</si>
  <si>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</si>
  <si>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</si>
  <si>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</si>
  <si>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</si>
  <si>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</si>
  <si>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</si>
  <si>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</si>
  <si>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</si>
  <si>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</si>
  <si>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</si>
  <si>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</si>
  <si>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</si>
  <si>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</si>
  <si>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</si>
  <si>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</si>
  <si>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</si>
  <si>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</si>
  <si>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</si>
  <si>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</si>
  <si>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</si>
  <si>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</si>
  <si>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</si>
  <si>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</si>
  <si>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</si>
  <si>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</si>
  <si>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</si>
  <si>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</si>
  <si>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</si>
  <si>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</si>
  <si>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</si>
  <si>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</si>
  <si>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</si>
  <si>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</si>
  <si>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</si>
  <si>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</si>
  <si>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</si>
  <si>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</si>
  <si>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</si>
  <si>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</si>
  <si>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</si>
  <si>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</si>
  <si>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</si>
  <si>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</si>
  <si>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</si>
  <si>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</si>
  <si>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</si>
  <si>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</si>
  <si>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</si>
  <si>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</si>
  <si>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</si>
  <si>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</si>
  <si>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</si>
  <si>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</si>
  <si>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</si>
  <si>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</si>
  <si>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</si>
  <si>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</si>
  <si>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</si>
  <si>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</si>
  <si>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</si>
  <si>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</si>
  <si>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</si>
  <si>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</si>
  <si>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</si>
  <si>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</si>
  <si>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</si>
  <si>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</si>
  <si>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</si>
  <si>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</si>
  <si>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</si>
  <si>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</si>
  <si>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</si>
  <si>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</si>
  <si>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</si>
  <si>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</si>
  <si>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</si>
  <si>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</si>
  <si>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</si>
  <si>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</si>
  <si>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</si>
  <si>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</si>
  <si>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</si>
  <si>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</si>
  <si>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</si>
  <si>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</si>
  <si>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</si>
  <si>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</si>
  <si>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</si>
  <si>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</si>
  <si>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</si>
  <si>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</si>
  <si>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</si>
  <si>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</si>
  <si>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</si>
  <si>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</si>
  <si>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</si>
  <si>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</si>
  <si>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</si>
  <si>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</si>
  <si>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</si>
  <si>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</si>
  <si>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</si>
  <si>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</si>
  <si>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</si>
  <si>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</si>
  <si>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</si>
  <si>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</si>
  <si>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</si>
  <si>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</si>
  <si>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</si>
  <si>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</si>
  <si>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</si>
  <si>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</si>
  <si>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</si>
  <si>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</si>
  <si>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</si>
  <si>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</si>
  <si>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</si>
  <si>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</si>
  <si>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</si>
  <si>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</si>
  <si>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</si>
  <si>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</si>
  <si>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</si>
  <si>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</si>
  <si>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</si>
  <si>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</si>
  <si>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</si>
  <si>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</si>
  <si>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</si>
  <si>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</si>
  <si>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</si>
  <si>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</si>
  <si>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</si>
  <si>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</si>
  <si>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</si>
  <si>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</si>
  <si>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</si>
  <si>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</si>
  <si>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</si>
  <si>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</si>
  <si>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</si>
  <si>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</si>
  <si>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</si>
  <si>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</si>
  <si>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</si>
  <si>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</si>
  <si>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</si>
  <si>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</si>
  <si>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</si>
  <si>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</si>
  <si>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</si>
  <si>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</si>
  <si>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</si>
  <si>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</si>
  <si>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</si>
  <si>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</si>
  <si>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</si>
  <si>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</si>
  <si>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</si>
  <si>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</si>
  <si>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</si>
  <si>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</si>
  <si>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</si>
  <si>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</si>
  <si>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</si>
  <si>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</si>
  <si>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</si>
  <si>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</si>
  <si>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</si>
  <si>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</si>
  <si>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</si>
  <si>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</si>
  <si>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</si>
  <si>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</si>
  <si>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</si>
  <si>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</si>
  <si>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</si>
  <si>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</si>
  <si>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</si>
  <si>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</si>
  <si>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</si>
  <si>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</si>
  <si>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</si>
  <si>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</si>
  <si>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</si>
  <si>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</si>
  <si>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</si>
  <si>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</si>
  <si>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</si>
  <si>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</si>
  <si>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</si>
  <si>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</si>
  <si>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</si>
  <si>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</si>
  <si>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</si>
  <si>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</si>
  <si>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</si>
  <si>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</si>
  <si>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</si>
  <si>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</si>
  <si>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</si>
  <si>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</si>
  <si>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</si>
  <si>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</si>
  <si>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</si>
  <si>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</si>
  <si>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</si>
  <si>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</si>
  <si>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</si>
  <si>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</si>
  <si>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</si>
  <si>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</si>
  <si>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</si>
  <si>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</si>
  <si>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</si>
  <si>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</si>
  <si>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</si>
  <si>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</si>
  <si>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</si>
  <si>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</si>
  <si>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</si>
  <si>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</si>
  <si>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</si>
  <si>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</si>
  <si>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</si>
  <si>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</si>
  <si>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</si>
  <si>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</si>
  <si>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</si>
  <si>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</si>
  <si>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</si>
  <si>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</si>
  <si>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</si>
  <si>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</si>
  <si>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</si>
  <si>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</si>
  <si>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</si>
  <si>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</si>
  <si>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</si>
  <si>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</si>
  <si>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</si>
  <si>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</si>
  <si>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</si>
  <si>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</si>
  <si>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</si>
  <si>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</si>
  <si>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</si>
  <si>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</si>
  <si>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</si>
  <si>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</si>
  <si>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</si>
  <si>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</si>
  <si>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</si>
  <si>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</si>
  <si>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</si>
  <si>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</si>
  <si>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</si>
  <si>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</si>
  <si>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</si>
  <si>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</si>
  <si>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</si>
  <si>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</si>
  <si>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</si>
  <si>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</si>
  <si>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</si>
  <si>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</si>
  <si>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</si>
  <si>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</si>
  <si>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</si>
  <si>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</si>
  <si>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</si>
  <si>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</si>
  <si>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</si>
  <si>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</si>
  <si>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</si>
  <si>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</si>
  <si>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</si>
  <si>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</si>
  <si>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</si>
  <si>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</si>
  <si>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</si>
  <si>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</si>
  <si>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</si>
  <si>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</si>
  <si>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</si>
  <si>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</si>
  <si>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</si>
  <si>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Trading</t>
  </si>
  <si>
    <t>% Margin for Gross Turnover Program (auto populated):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</si>
  <si>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</si>
  <si>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</si>
  <si>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</si>
  <si>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</si>
  <si>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</si>
  <si>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</si>
  <si>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</si>
  <si>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</si>
  <si>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</si>
  <si>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</si>
  <si>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</si>
  <si>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</si>
  <si>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</si>
  <si>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</si>
  <si>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</si>
  <si>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</si>
  <si>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</si>
  <si>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</si>
  <si>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</si>
  <si>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</si>
  <si>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</si>
  <si>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</si>
  <si>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</si>
  <si>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</si>
  <si>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</si>
  <si>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</si>
  <si>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</si>
  <si>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</si>
  <si>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</si>
  <si>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</si>
  <si>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</si>
  <si>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</si>
  <si>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</si>
  <si>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</si>
  <si>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</si>
  <si>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</si>
  <si>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</si>
  <si>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</si>
  <si>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</si>
  <si>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</si>
  <si>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</si>
  <si>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</si>
  <si>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</si>
  <si>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</si>
  <si>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</si>
  <si>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</si>
  <si>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</si>
  <si>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</si>
  <si>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</si>
  <si>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</si>
  <si>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</si>
  <si>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</si>
  <si>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</si>
  <si>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</si>
  <si>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</si>
  <si>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</si>
  <si>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</si>
  <si>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</si>
  <si>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</si>
  <si>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</si>
  <si>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</si>
  <si>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</si>
  <si>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</si>
  <si>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</si>
  <si>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</si>
  <si>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</si>
  <si>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</si>
  <si>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</si>
  <si>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</si>
  <si>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</si>
  <si>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</si>
  <si>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</si>
  <si>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</si>
  <si>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</si>
  <si>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</si>
  <si>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</si>
  <si>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</si>
  <si>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</si>
  <si>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</si>
  <si>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</si>
  <si>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</si>
  <si>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</si>
  <si>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</si>
  <si>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</si>
  <si>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</si>
  <si>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</si>
  <si>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</si>
  <si>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</si>
  <si>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</si>
  <si>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</si>
  <si>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</si>
  <si>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</si>
  <si>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</si>
  <si>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</si>
  <si>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</si>
  <si>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</si>
  <si>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</si>
  <si>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</si>
  <si>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</si>
  <si>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</si>
  <si>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</si>
  <si>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</si>
  <si>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</si>
  <si>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</si>
  <si>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</si>
  <si>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</si>
  <si>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</si>
  <si>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</si>
  <si>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</si>
  <si>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</si>
  <si>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</si>
  <si>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</si>
  <si>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</si>
  <si>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</si>
  <si>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</si>
  <si>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</si>
  <si>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</si>
  <si>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</si>
  <si>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</si>
  <si>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</si>
  <si>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</si>
  <si>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</si>
  <si>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</si>
  <si>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</si>
  <si>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</si>
  <si>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</si>
  <si>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</si>
  <si>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</si>
  <si>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</si>
  <si>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</si>
  <si>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</si>
  <si>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</si>
  <si>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</si>
  <si>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</si>
  <si>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</si>
  <si>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</si>
  <si>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</si>
  <si>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</si>
  <si>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</si>
  <si>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</si>
  <si>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</si>
  <si>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</si>
  <si>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</si>
  <si>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</si>
  <si>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</si>
  <si>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</si>
  <si>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</si>
  <si>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</si>
  <si>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</si>
  <si>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</si>
  <si>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</si>
  <si>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</si>
  <si>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</si>
  <si>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</si>
  <si>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</si>
  <si>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</si>
  <si>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</si>
  <si>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</si>
  <si>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</si>
  <si>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</si>
  <si>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</si>
  <si>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</si>
  <si>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</si>
  <si>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</si>
  <si>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</si>
  <si>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</si>
  <si>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</si>
  <si>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</si>
  <si>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</si>
  <si>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</si>
  <si>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</si>
  <si>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</si>
  <si>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</si>
  <si>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</si>
  <si>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</si>
  <si>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</si>
  <si>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</si>
  <si>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</si>
  <si>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</si>
  <si>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</si>
  <si>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</si>
  <si>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</si>
  <si>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</si>
  <si>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</si>
  <si>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</si>
  <si>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</si>
  <si>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</si>
  <si>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</si>
  <si>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</si>
  <si>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</si>
  <si>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</si>
  <si>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</si>
  <si>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</si>
  <si>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</si>
  <si>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</si>
  <si>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</si>
  <si>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</si>
  <si>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</si>
  <si>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</si>
  <si>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</si>
  <si>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</si>
  <si>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</si>
  <si>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</si>
  <si>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</si>
  <si>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</si>
  <si>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</si>
  <si>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</si>
  <si>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</si>
  <si>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</si>
  <si>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</si>
  <si>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</si>
  <si>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</si>
  <si>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</si>
  <si>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</si>
  <si>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</si>
  <si>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</si>
  <si>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</si>
  <si>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</si>
  <si>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</si>
  <si>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</si>
  <si>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</si>
  <si>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</si>
  <si>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</si>
  <si>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</si>
  <si>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</si>
  <si>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</si>
  <si>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</si>
  <si>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</si>
  <si>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</si>
  <si>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</si>
  <si>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</si>
  <si>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</si>
  <si>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</si>
  <si>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</si>
  <si>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</si>
  <si>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</si>
  <si>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</si>
  <si>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</si>
  <si>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</si>
  <si>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</si>
  <si>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</si>
  <si>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</si>
  <si>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</si>
  <si>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</si>
  <si>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</si>
  <si>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</si>
  <si>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</si>
  <si>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</si>
  <si>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</si>
  <si>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</si>
  <si>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</si>
  <si>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</si>
  <si>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</si>
  <si>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</si>
  <si>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</si>
  <si>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</si>
  <si>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</si>
  <si>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</si>
  <si>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</si>
  <si>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</si>
  <si>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</si>
  <si>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</si>
  <si>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</si>
  <si>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</si>
  <si>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</si>
  <si>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</si>
  <si>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</si>
  <si>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</si>
  <si>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</si>
  <si>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</si>
  <si>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</si>
  <si>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</si>
  <si>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</si>
  <si>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</si>
  <si>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</si>
  <si>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</si>
  <si>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</si>
  <si>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</si>
  <si>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</si>
  <si>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</si>
  <si>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</si>
  <si>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</si>
  <si>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</si>
  <si>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</si>
  <si>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</si>
  <si>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</si>
  <si>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</si>
  <si>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</si>
  <si>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</si>
  <si>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</si>
  <si>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</si>
  <si>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</si>
  <si>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</si>
  <si>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</si>
  <si>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</si>
  <si>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</si>
  <si>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</si>
  <si>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</si>
  <si>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</si>
  <si>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</si>
  <si>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</si>
  <si>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</si>
  <si>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</si>
  <si>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</si>
  <si>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</si>
  <si>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</si>
  <si>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</si>
  <si>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</si>
  <si>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</si>
  <si>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</si>
  <si>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</si>
  <si>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</si>
  <si>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</si>
  <si>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</si>
  <si>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</si>
  <si>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</si>
  <si>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</si>
  <si>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</si>
  <si>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</si>
  <si>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</si>
  <si>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</si>
  <si>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</si>
  <si>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</si>
  <si>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</si>
  <si>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</si>
  <si>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</si>
  <si>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</si>
  <si>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</si>
  <si>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</si>
  <si>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</si>
  <si>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</si>
  <si>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</si>
  <si>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</si>
  <si>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</si>
  <si>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</si>
  <si>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</si>
  <si>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</si>
  <si>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</si>
  <si>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</si>
  <si>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</si>
  <si>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</si>
  <si>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</si>
  <si>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</si>
  <si>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</si>
  <si>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</si>
  <si>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</si>
  <si>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</si>
  <si>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</si>
  <si>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</si>
  <si>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</si>
  <si>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</si>
  <si>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</si>
  <si>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</si>
  <si>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</si>
  <si>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</si>
  <si>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</si>
  <si>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</si>
  <si>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</si>
  <si>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</si>
  <si>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</si>
  <si>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</si>
  <si>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</si>
  <si>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</si>
  <si>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</si>
  <si>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</si>
  <si>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</si>
  <si>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</si>
  <si>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</si>
  <si>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</si>
  <si>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</si>
  <si>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</si>
  <si>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</si>
  <si>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</si>
  <si>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</si>
  <si>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</si>
  <si>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</si>
  <si>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</si>
  <si>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</si>
  <si>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</si>
  <si>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</si>
  <si>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</si>
  <si>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</si>
  <si>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</si>
  <si>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</si>
  <si>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</si>
  <si>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</si>
  <si>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</si>
  <si>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</si>
  <si>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</si>
  <si>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</si>
  <si>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</si>
  <si>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</si>
  <si>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</si>
  <si>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</si>
  <si>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</si>
  <si>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</si>
  <si>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</si>
  <si>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</si>
  <si>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</si>
  <si>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</si>
  <si>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</si>
  <si>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</si>
  <si>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</si>
  <si>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</si>
  <si>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</si>
  <si>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</si>
  <si>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</si>
  <si>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</si>
  <si>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</si>
  <si>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</si>
  <si>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</si>
  <si>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</si>
  <si>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</si>
  <si>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</si>
  <si>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</si>
  <si>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</si>
  <si>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</si>
  <si>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</si>
  <si>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</si>
  <si>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</si>
  <si>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</si>
  <si>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</si>
  <si>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</si>
  <si>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</si>
  <si>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</si>
  <si>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</si>
  <si>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</si>
  <si>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</si>
  <si>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</si>
  <si>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</si>
  <si>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</si>
  <si>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</si>
  <si>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</si>
  <si>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</si>
  <si>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</si>
  <si>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</si>
  <si>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</si>
  <si>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</si>
  <si>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</si>
  <si>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</si>
  <si>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</si>
  <si>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</si>
  <si>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</si>
  <si>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</si>
  <si>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</si>
  <si>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</si>
  <si>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</si>
  <si>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</si>
  <si>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</si>
  <si>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</si>
  <si>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</si>
  <si>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</si>
  <si>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</si>
  <si>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</si>
  <si>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</si>
  <si>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</si>
  <si>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</si>
  <si>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</si>
  <si>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</si>
  <si>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</si>
  <si>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</si>
  <si>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</si>
  <si>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</si>
  <si>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</si>
  <si>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</si>
  <si>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</si>
  <si>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</si>
  <si>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</si>
  <si>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</si>
  <si>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</si>
  <si>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</si>
  <si>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</si>
  <si>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</si>
  <si>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</si>
  <si>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</si>
  <si>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</si>
  <si>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</si>
  <si>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</si>
  <si>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</si>
  <si>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</si>
  <si>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</si>
  <si>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</si>
  <si>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</si>
  <si>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</si>
  <si>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</si>
  <si>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</si>
  <si>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</si>
  <si>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</si>
  <si>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</si>
  <si>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</si>
  <si>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</si>
  <si>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</si>
  <si>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</si>
  <si>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</si>
  <si>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</si>
  <si>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</si>
  <si>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</si>
  <si>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</si>
  <si>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</si>
  <si>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</si>
  <si>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</si>
  <si>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</si>
  <si>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</si>
  <si>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</si>
  <si>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</si>
  <si>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</si>
  <si>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</si>
  <si>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</si>
  <si>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</si>
  <si>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</si>
  <si>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</si>
  <si>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</si>
  <si>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</si>
  <si>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</si>
  <si>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</si>
  <si>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</si>
  <si>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</si>
  <si>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</si>
  <si>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</si>
  <si>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</si>
  <si>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</si>
  <si>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</si>
  <si>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</si>
  <si>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</si>
  <si>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</si>
  <si>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</si>
  <si>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</si>
  <si>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</si>
  <si>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</si>
  <si>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</si>
  <si>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</si>
  <si>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</si>
  <si>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</si>
  <si>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</si>
  <si>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</si>
  <si>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</si>
  <si>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</si>
  <si>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</si>
  <si>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</si>
  <si>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</si>
  <si>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</si>
  <si>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</si>
  <si>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</si>
  <si>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</si>
  <si>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</si>
  <si>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</si>
  <si>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</si>
  <si>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</si>
  <si>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</si>
  <si>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</si>
  <si>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</si>
  <si>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</si>
  <si>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</si>
  <si>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</si>
  <si>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</si>
  <si>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</si>
  <si>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</si>
  <si>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</si>
  <si>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</si>
  <si>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</si>
  <si>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</si>
  <si>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</si>
  <si>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</si>
  <si>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</si>
  <si>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</si>
  <si>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</si>
  <si>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</si>
  <si>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</si>
  <si>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</si>
  <si>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</si>
  <si>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</si>
  <si>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</si>
  <si>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</si>
  <si>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</si>
  <si>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</si>
  <si>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</si>
  <si>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</si>
  <si>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</si>
  <si>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</si>
  <si>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</si>
  <si>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</si>
  <si>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</si>
  <si>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</si>
  <si>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</si>
  <si>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</si>
  <si>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</si>
  <si>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</si>
  <si>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</si>
  <si>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</si>
  <si>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</si>
  <si>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</si>
  <si>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</si>
  <si>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</si>
  <si>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</si>
  <si>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</si>
  <si>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</si>
  <si>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</si>
  <si>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</si>
  <si>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</si>
  <si>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</si>
  <si>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</si>
  <si>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</si>
  <si>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</si>
  <si>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</si>
  <si>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</si>
  <si>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</si>
  <si>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</si>
  <si>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</si>
  <si>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</si>
  <si>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</si>
  <si>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</si>
  <si>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</si>
  <si>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</si>
  <si>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</si>
  <si>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</si>
  <si>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</si>
  <si>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</si>
  <si>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</si>
  <si>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</si>
  <si>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</si>
  <si>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</si>
  <si>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</si>
  <si>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</si>
  <si>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</si>
  <si>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</si>
  <si>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</si>
  <si>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</si>
  <si>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</si>
  <si>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</si>
  <si>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</si>
  <si>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</si>
  <si>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</si>
  <si>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</si>
  <si>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</si>
  <si>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</si>
  <si>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</si>
  <si>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</si>
  <si>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</si>
  <si>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</si>
  <si>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</si>
  <si>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</si>
  <si>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</si>
  <si>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</si>
  <si>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</si>
  <si>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</si>
  <si>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</si>
  <si>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</si>
  <si>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</si>
  <si>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</si>
  <si>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</si>
  <si>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</si>
  <si>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</si>
  <si>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</si>
  <si>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</si>
  <si>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</si>
  <si>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</si>
  <si>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</si>
  <si>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</si>
  <si>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</si>
  <si>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</si>
  <si>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</si>
  <si>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</si>
  <si>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</si>
  <si>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</si>
  <si>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</si>
  <si>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</si>
  <si>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</si>
  <si>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</si>
  <si>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</si>
  <si>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</si>
  <si>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</si>
  <si>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</si>
  <si>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</si>
  <si>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</si>
  <si>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</si>
  <si>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</si>
  <si>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</si>
  <si>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</si>
  <si>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</si>
  <si>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</si>
  <si>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</si>
  <si>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</si>
  <si>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</si>
  <si>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</si>
  <si>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</si>
  <si>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</si>
  <si>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</si>
  <si>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</si>
  <si>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</si>
  <si>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</si>
  <si>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</si>
  <si>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</si>
  <si>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</si>
  <si>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</si>
  <si>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</si>
  <si>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</si>
  <si>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</si>
  <si>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</si>
  <si>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</si>
  <si>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</si>
  <si>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</si>
  <si>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</si>
  <si>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</si>
  <si>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</si>
  <si>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</si>
  <si>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</si>
  <si>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</si>
  <si>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</si>
  <si>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</si>
  <si>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</si>
  <si>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</si>
  <si>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</si>
  <si>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</si>
  <si>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</si>
  <si>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</si>
  <si>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</si>
  <si>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</si>
  <si>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</si>
  <si>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</si>
  <si>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</si>
  <si>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</si>
  <si>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</si>
  <si>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</si>
  <si>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</si>
  <si>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</si>
  <si>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</si>
  <si>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</si>
  <si>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</si>
  <si>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</si>
  <si>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</si>
  <si>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</si>
  <si>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</si>
  <si>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</si>
  <si>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</si>
  <si>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</si>
  <si>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</si>
  <si>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</si>
  <si>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</si>
  <si>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</si>
  <si>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</si>
  <si>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</si>
  <si>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</si>
  <si>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</si>
  <si>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</si>
  <si>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</si>
  <si>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</si>
  <si>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</si>
  <si>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</si>
  <si>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</si>
  <si>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</si>
  <si>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</si>
  <si>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</si>
  <si>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</si>
  <si>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</si>
  <si>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</si>
  <si>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</si>
  <si>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</si>
  <si>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</si>
  <si>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</si>
  <si>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</si>
  <si>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</si>
  <si>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</si>
  <si>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</si>
  <si>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</si>
  <si>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</si>
  <si>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</si>
  <si>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</si>
  <si>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</si>
  <si>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</si>
  <si>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</si>
  <si>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</si>
  <si>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</si>
  <si>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</si>
  <si>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</si>
  <si>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</si>
  <si>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</si>
  <si>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</si>
  <si>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</si>
  <si>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</si>
  <si>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</si>
  <si>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</si>
  <si>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</si>
  <si>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</si>
  <si>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</si>
  <si>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</si>
  <si>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</si>
  <si>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</si>
  <si>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</si>
  <si>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</si>
  <si>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</si>
  <si>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</si>
  <si>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</si>
  <si>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</si>
  <si>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</si>
  <si>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</si>
  <si>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</si>
  <si>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</si>
  <si>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</si>
  <si>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</si>
  <si>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</si>
  <si>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</si>
  <si>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</si>
  <si>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</si>
  <si>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</si>
  <si>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</si>
  <si>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</si>
  <si>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</si>
  <si>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</si>
  <si>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</si>
  <si>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</si>
  <si>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</si>
  <si>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</si>
  <si>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</si>
  <si>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</si>
  <si>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</si>
  <si>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</si>
  <si>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</si>
  <si>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</si>
  <si>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</si>
  <si>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</si>
  <si>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</si>
  <si>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</si>
  <si>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</si>
  <si>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</si>
  <si>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</si>
  <si>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</si>
  <si>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</si>
  <si>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</si>
  <si>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</si>
  <si>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</si>
  <si>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</si>
  <si>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</si>
  <si>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</si>
  <si>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</si>
  <si>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</si>
  <si>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</si>
  <si>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</si>
  <si>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</si>
  <si>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</si>
  <si>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</si>
  <si>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</si>
  <si>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</si>
  <si>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</si>
  <si>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</si>
  <si>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</si>
  <si>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</si>
  <si>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</si>
  <si>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</si>
  <si>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</si>
  <si>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</si>
  <si>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</si>
  <si>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</si>
  <si>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</si>
  <si>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</si>
  <si>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</si>
  <si>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</si>
  <si>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</si>
  <si>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</si>
  <si>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</si>
  <si>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</si>
  <si>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</si>
  <si>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</si>
  <si>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</si>
  <si>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</si>
  <si>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</si>
  <si>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</si>
  <si>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</si>
  <si>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</si>
  <si>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</si>
  <si>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</si>
  <si>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</si>
  <si>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</si>
  <si>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</si>
  <si>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</si>
  <si>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</si>
  <si>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</si>
  <si>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</si>
  <si>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</si>
  <si>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</si>
  <si>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</si>
  <si>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</si>
  <si>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</si>
  <si>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</si>
  <si>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</si>
  <si>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</si>
  <si>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</si>
  <si>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</si>
  <si>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</si>
  <si>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</si>
  <si>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</si>
  <si>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</si>
  <si>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</si>
  <si>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</si>
  <si>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</si>
  <si>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</si>
  <si>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</si>
  <si>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</si>
  <si>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</si>
  <si>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</si>
  <si>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</si>
  <si>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</si>
  <si>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</si>
  <si>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</si>
  <si>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</si>
  <si>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</si>
  <si>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</si>
  <si>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</si>
  <si>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</si>
  <si>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</si>
  <si>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</si>
  <si>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</si>
  <si>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</si>
  <si>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</si>
  <si>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</si>
  <si>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</si>
  <si>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</si>
  <si>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</si>
  <si>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</si>
  <si>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</si>
  <si>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</si>
  <si>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</si>
  <si>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</si>
  <si>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</si>
  <si>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</si>
  <si>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</si>
  <si>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</si>
  <si>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</si>
  <si>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</si>
  <si>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</si>
  <si>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</si>
  <si>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</si>
  <si>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</si>
  <si>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</si>
  <si>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</si>
  <si>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</si>
  <si>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</si>
  <si>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</si>
  <si>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</si>
  <si>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</si>
  <si>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</si>
  <si>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</si>
  <si>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</si>
  <si>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</si>
  <si>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</si>
  <si>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</si>
  <si>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</si>
  <si>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</si>
  <si>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</si>
  <si>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</si>
  <si>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</si>
  <si>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</si>
  <si>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</si>
  <si>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</si>
  <si>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</si>
  <si>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</si>
  <si>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</si>
  <si>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</si>
  <si>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</si>
  <si>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</si>
  <si>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</si>
  <si>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</si>
  <si>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</si>
  <si>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</si>
  <si>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</si>
  <si>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</si>
  <si>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</si>
  <si>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</si>
  <si>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</si>
  <si>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</si>
  <si>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</si>
  <si>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</si>
  <si>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</si>
  <si>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</si>
  <si>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</si>
  <si>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</si>
  <si>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</si>
  <si>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</si>
  <si>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</si>
  <si>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</si>
  <si>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</si>
  <si>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</si>
  <si>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</si>
  <si>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</si>
  <si>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</si>
  <si>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</si>
  <si>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</si>
  <si>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</si>
  <si>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</si>
  <si>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</si>
  <si>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</si>
  <si>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</si>
  <si>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</si>
  <si>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</si>
  <si>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</si>
  <si>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</si>
  <si>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</si>
  <si>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</si>
  <si>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</si>
  <si>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</si>
  <si>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</si>
  <si>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</si>
  <si>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</si>
  <si>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</si>
  <si>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</si>
  <si>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</si>
  <si>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</si>
  <si>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</si>
  <si>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</si>
  <si>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</si>
  <si>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</si>
  <si>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</si>
  <si>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Savings</t>
  </si>
  <si>
    <t>Current</t>
  </si>
  <si>
    <t>Overdraft (OD)</t>
  </si>
  <si>
    <t>Cash Credit (CC)</t>
  </si>
  <si>
    <t>Deal Number</t>
  </si>
  <si>
    <t>PF-0.25%</t>
  </si>
  <si>
    <t>B-54,KEDAR NAGAR, Shahganj,Agra,KEDAR NAGAR,Agra,Agra,Uttar Pradesh,282010</t>
  </si>
  <si>
    <t>PNB BANK</t>
  </si>
  <si>
    <t>0328010189576</t>
  </si>
  <si>
    <t>ATIPN6970B</t>
  </si>
  <si>
    <t>2023-24</t>
  </si>
  <si>
    <t>2022-23</t>
  </si>
  <si>
    <t>2021-22</t>
  </si>
  <si>
    <t>No Active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</si>
</sst>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&quot;$&quot;#,##0.00_);[Red]\(&quot;$&quot;#,##0.00\)"/>
    <numFmt numFmtId="166" formatCode="#,##0.00\ ;&quot; (&quot;#,##0.00\);&quot; -&quot;#\ ;@\ "/>
    <numFmt numFmtId="167" formatCode="_(* #,##0_);_(* \(#,##0\);_(* &quot;-&quot;??_);_(@_)"/>
    <numFmt numFmtId="168" formatCode="_(* #,##0.00_);_(* \(#,##0.00\);_(* &quot;-&quot;??_);_(@_)"/>
    <numFmt numFmtId="169" formatCode="[$-409]d/mmm/yy;@"/>
    <numFmt numFmtId="170" formatCode="mmm/yyyy"/>
    <numFmt numFmtId="171" formatCode="0.00_);\(0.00\)"/>
    <numFmt numFmtId="172" formatCode="[$-409]mmm/yy;@"/>
    <numFmt numFmtId="173" formatCode="0.000000"/>
    <numFmt numFmtId="174" formatCode="0.00_);[Red]\(0.00\)"/>
    <numFmt numFmtId="175" formatCode="dd\ mmm\ yyyy"/>
    <numFmt numFmtId="176" formatCode="dd/mmm/yyyy"/>
  </numFmts>
  <fonts count="3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name val="Trebuchet MS"/>
      <charset val="134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rgb="FF000000"/>
      <name val="Calibri"/>
      <charset val="1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F1F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8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168" fontId="31" fillId="0" borderId="0" applyFont="0" applyFill="0" applyBorder="0" applyAlignment="0" applyProtection="0"/>
    <xf numFmtId="166" fontId="31" fillId="0" borderId="0" applyFill="0" applyBorder="0" applyAlignment="0" applyProtection="0"/>
    <xf numFmtId="0" fontId="12" fillId="0" borderId="0"/>
  </cellStyleXfs>
  <cellXfs count="54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4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8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8" fontId="11" fillId="18" borderId="7" xfId="6" applyFont="1" applyFill="1" applyBorder="1" applyAlignment="1" applyProtection="1">
      <alignment horizontal="right" vertical="top" wrapText="1"/>
      <protection locked="0"/>
    </xf>
    <xf numFmtId="168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8" fontId="11" fillId="18" borderId="6" xfId="6" applyFont="1" applyFill="1" applyBorder="1" applyAlignment="1" applyProtection="1">
      <alignment horizontal="center" vertical="center" wrapText="1"/>
      <protection locked="0"/>
    </xf>
    <xf numFmtId="168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8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8" fontId="11" fillId="0" borderId="7" xfId="1" applyFont="1" applyBorder="1" applyAlignment="1" applyProtection="1">
      <alignment horizontal="left" vertical="top" wrapText="1"/>
      <protection locked="0"/>
    </xf>
    <xf numFmtId="168" fontId="11" fillId="0" borderId="6" xfId="1" applyFont="1" applyFill="1" applyBorder="1" applyAlignment="1" applyProtection="1">
      <alignment horizontal="left" vertical="top" wrapText="1"/>
      <protection locked="0"/>
    </xf>
    <xf numFmtId="168" fontId="11" fillId="0" borderId="6" xfId="1" applyFont="1" applyBorder="1" applyAlignment="1" applyProtection="1">
      <alignment horizontal="left" vertical="top" wrapText="1"/>
      <protection locked="0"/>
    </xf>
    <xf numFmtId="168" fontId="11" fillId="0" borderId="6" xfId="6" applyFont="1" applyFill="1" applyBorder="1" applyAlignment="1" applyProtection="1">
      <alignment horizontal="right" vertical="top" wrapText="1"/>
    </xf>
    <xf numFmtId="168" fontId="11" fillId="0" borderId="7" xfId="1" applyFont="1" applyBorder="1" applyAlignment="1" applyProtection="1">
      <alignment horizontal="right" vertical="top" wrapText="1"/>
      <protection locked="0"/>
    </xf>
    <xf numFmtId="168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8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2" fillId="5" borderId="1" xfId="8" applyNumberFormat="1" applyFill="1" applyBorder="1" applyAlignment="1" applyProtection="1">
      <alignment horizontal="center" vertical="center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1" borderId="1" xfId="3" applyFont="1" applyFill="1" applyBorder="1" applyAlignment="1">
      <alignment horizontal="center" vertical="top" wrapText="1"/>
    </xf>
    <xf numFmtId="172" fontId="10" fillId="21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4" fillId="0" borderId="1" xfId="3" applyFont="1" applyBorder="1" applyAlignment="1">
      <alignment vertical="top" wrapText="1"/>
    </xf>
    <xf numFmtId="172" fontId="11" fillId="0" borderId="1" xfId="3" applyNumberFormat="1" applyFont="1" applyBorder="1" applyAlignment="1">
      <alignment vertical="top" wrapText="1"/>
    </xf>
    <xf numFmtId="174" fontId="11" fillId="0" borderId="1" xfId="3" applyNumberFormat="1" applyFont="1" applyBorder="1" applyAlignment="1">
      <alignment vertical="top" wrapText="1"/>
    </xf>
    <xf numFmtId="174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1" borderId="1" xfId="3" applyFont="1" applyFill="1" applyBorder="1" applyAlignment="1">
      <alignment vertical="top" wrapText="1"/>
    </xf>
    <xf numFmtId="2" fontId="10" fillId="21" borderId="1" xfId="3" applyNumberFormat="1" applyFont="1" applyFill="1" applyBorder="1" applyAlignment="1">
      <alignment vertical="top" wrapText="1"/>
    </xf>
    <xf numFmtId="174" fontId="10" fillId="22" borderId="1" xfId="3" applyNumberFormat="1" applyFont="1" applyFill="1" applyBorder="1" applyAlignment="1">
      <alignment vertical="top" wrapText="1"/>
    </xf>
    <xf numFmtId="174" fontId="11" fillId="0" borderId="0" xfId="3" applyNumberFormat="1" applyFont="1" applyAlignment="1">
      <alignment vertical="top" wrapText="1"/>
    </xf>
    <xf numFmtId="0" fontId="10" fillId="23" borderId="1" xfId="5" applyFont="1" applyFill="1" applyBorder="1" applyAlignment="1">
      <alignment horizontal="center" vertical="top" wrapText="1"/>
    </xf>
    <xf numFmtId="0" fontId="10" fillId="21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8" fontId="11" fillId="0" borderId="7" xfId="6" applyFont="1" applyFill="1" applyBorder="1" applyAlignment="1" applyProtection="1">
      <alignment horizontal="right" vertical="top" wrapText="1"/>
    </xf>
    <xf numFmtId="165" fontId="1" fillId="0" borderId="0" xfId="0" applyNumberFormat="1" applyFont="1" applyAlignment="1">
      <alignment vertical="top" wrapText="1"/>
    </xf>
    <xf numFmtId="173" fontId="1" fillId="0" borderId="0" xfId="0" applyNumberFormat="1" applyFont="1" applyAlignment="1">
      <alignment vertical="top" wrapText="1"/>
    </xf>
    <xf numFmtId="168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8" fontId="11" fillId="0" borderId="6" xfId="1" applyFont="1" applyFill="1" applyBorder="1" applyAlignment="1" applyProtection="1">
      <alignment horizontal="left" vertical="top" wrapText="1"/>
    </xf>
    <xf numFmtId="168" fontId="11" fillId="0" borderId="6" xfId="1" applyFont="1" applyBorder="1" applyAlignment="1" applyProtection="1">
      <alignment horizontal="left" vertical="top" wrapText="1"/>
    </xf>
    <xf numFmtId="168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8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8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8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8" fontId="2" fillId="0" borderId="1" xfId="0" applyNumberFormat="1" applyFont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168" fontId="11" fillId="0" borderId="6" xfId="1" applyFont="1" applyBorder="1" applyAlignment="1" applyProtection="1">
      <alignment horizontal="right" vertical="top" wrapText="1"/>
    </xf>
    <xf numFmtId="168" fontId="11" fillId="0" borderId="7" xfId="1" applyFont="1" applyBorder="1" applyAlignment="1" applyProtection="1">
      <alignment horizontal="right" vertical="top" wrapText="1"/>
    </xf>
    <xf numFmtId="168" fontId="11" fillId="0" borderId="6" xfId="1" applyFont="1" applyFill="1" applyBorder="1" applyAlignment="1" applyProtection="1">
      <alignment vertical="top" wrapText="1"/>
    </xf>
    <xf numFmtId="168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4" fontId="1" fillId="3" borderId="11" xfId="0" applyNumberFormat="1" applyFont="1" applyFill="1" applyBorder="1" applyAlignment="1">
      <alignment vertical="top" wrapText="1"/>
    </xf>
    <xf numFmtId="164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6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2" fillId="5" borderId="12" xfId="8" applyNumberFormat="1" applyFill="1" applyBorder="1" applyAlignment="1" applyProtection="1">
      <alignment horizontal="center" vertical="center"/>
      <protection locked="0"/>
    </xf>
    <xf numFmtId="168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8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8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7" borderId="1" xfId="0" applyFont="1" applyFill="1" applyBorder="1" applyAlignment="1">
      <alignment vertical="top" wrapText="1"/>
    </xf>
    <xf numFmtId="0" fontId="2" fillId="27" borderId="1" xfId="0" applyFont="1" applyFill="1" applyBorder="1" applyAlignment="1">
      <alignment horizontal="center" vertical="top" wrapText="1"/>
    </xf>
    <xf numFmtId="0" fontId="2" fillId="25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8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8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5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41" fontId="2" fillId="28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28" borderId="1" xfId="0" applyFont="1" applyFill="1" applyBorder="1" applyAlignment="1">
      <alignment vertical="top" wrapText="1"/>
    </xf>
    <xf numFmtId="10" fontId="2" fillId="28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28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7" fillId="12" borderId="1" xfId="0" applyFont="1" applyFill="1" applyBorder="1" applyAlignment="1">
      <alignment vertical="center" wrapText="1"/>
    </xf>
    <xf numFmtId="0" fontId="19" fillId="30" borderId="22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15" borderId="1" xfId="0" applyFont="1" applyFill="1" applyBorder="1" applyAlignment="1">
      <alignment vertical="center" wrapText="1"/>
    </xf>
    <xf numFmtId="0" fontId="17" fillId="15" borderId="1" xfId="0" applyFont="1" applyFill="1" applyBorder="1" applyAlignment="1">
      <alignment vertical="center"/>
    </xf>
    <xf numFmtId="9" fontId="17" fillId="5" borderId="1" xfId="0" applyNumberFormat="1" applyFont="1" applyFill="1" applyBorder="1" applyAlignment="1" applyProtection="1">
      <alignment vertical="center"/>
      <protection locked="0"/>
    </xf>
    <xf numFmtId="167" fontId="17" fillId="5" borderId="1" xfId="1" applyNumberFormat="1" applyFont="1" applyFill="1" applyBorder="1" applyAlignment="1" applyProtection="1">
      <alignment vertical="center"/>
      <protection locked="0"/>
    </xf>
    <xf numFmtId="167" fontId="17" fillId="0" borderId="1" xfId="1" applyNumberFormat="1" applyFont="1" applyBorder="1" applyAlignment="1" applyProtection="1">
      <alignment vertical="center"/>
    </xf>
    <xf numFmtId="9" fontId="17" fillId="5" borderId="1" xfId="0" applyNumberFormat="1" applyFont="1" applyFill="1" applyBorder="1" applyAlignment="1" applyProtection="1">
      <alignment vertical="center" wrapText="1"/>
      <protection locked="0"/>
    </xf>
    <xf numFmtId="0" fontId="17" fillId="5" borderId="1" xfId="0" applyFont="1" applyFill="1" applyBorder="1" applyAlignment="1" applyProtection="1">
      <alignment vertical="center" wrapText="1"/>
      <protection locked="0"/>
    </xf>
    <xf numFmtId="167" fontId="17" fillId="12" borderId="1" xfId="1" applyNumberFormat="1" applyFont="1" applyFill="1" applyBorder="1" applyAlignment="1" applyProtection="1">
      <alignment vertical="center"/>
    </xf>
    <xf numFmtId="0" fontId="20" fillId="12" borderId="1" xfId="0" applyFont="1" applyFill="1" applyBorder="1" applyAlignment="1">
      <alignment vertical="center" wrapText="1"/>
    </xf>
    <xf numFmtId="10" fontId="17" fillId="0" borderId="0" xfId="2" applyNumberFormat="1" applyFont="1" applyBorder="1" applyAlignment="1" applyProtection="1">
      <alignment horizontal="right" vertical="center" indent="1"/>
    </xf>
    <xf numFmtId="0" fontId="19" fillId="32" borderId="26" xfId="0" applyFont="1" applyFill="1" applyBorder="1" applyAlignment="1">
      <alignment vertical="center" wrapText="1"/>
    </xf>
    <xf numFmtId="1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5" borderId="1" xfId="0" applyFont="1" applyFill="1" applyBorder="1" applyAlignment="1" applyProtection="1">
      <alignment vertical="center" wrapText="1"/>
      <protection locked="0"/>
    </xf>
    <xf numFmtId="167" fontId="21" fillId="5" borderId="1" xfId="1" applyNumberFormat="1" applyFont="1" applyFill="1" applyBorder="1" applyAlignment="1" applyProtection="1">
      <alignment vertical="center" wrapText="1"/>
      <protection locked="0"/>
    </xf>
    <xf numFmtId="169" fontId="21" fillId="5" borderId="1" xfId="0" applyNumberFormat="1" applyFont="1" applyFill="1" applyBorder="1" applyAlignment="1" applyProtection="1">
      <alignment vertical="center" wrapText="1"/>
      <protection locked="0"/>
    </xf>
    <xf numFmtId="0" fontId="21" fillId="5" borderId="1" xfId="0" applyFont="1" applyFill="1" applyBorder="1" applyAlignment="1" applyProtection="1">
      <alignment horizontal="center" vertical="center" wrapText="1"/>
      <protection locked="0"/>
    </xf>
    <xf numFmtId="175" fontId="21" fillId="5" borderId="1" xfId="0" applyNumberFormat="1" applyFont="1" applyFill="1" applyBorder="1" applyAlignment="1" applyProtection="1">
      <alignment vertical="center" wrapText="1"/>
      <protection locked="0"/>
    </xf>
    <xf numFmtId="164" fontId="21" fillId="5" borderId="1" xfId="0" applyNumberFormat="1" applyFont="1" applyFill="1" applyBorder="1" applyAlignment="1" applyProtection="1">
      <alignment vertical="center" wrapText="1"/>
      <protection locked="0"/>
    </xf>
    <xf numFmtId="0" fontId="21" fillId="0" borderId="1" xfId="0" applyFont="1" applyBorder="1" applyAlignment="1">
      <alignment horizontal="center" vertical="center" wrapText="1"/>
    </xf>
    <xf numFmtId="10" fontId="21" fillId="5" borderId="1" xfId="0" applyNumberFormat="1" applyFont="1" applyFill="1" applyBorder="1" applyAlignment="1" applyProtection="1">
      <alignment horizontal="center" vertical="center" wrapText="1"/>
      <protection locked="0"/>
    </xf>
    <xf numFmtId="164" fontId="21" fillId="0" borderId="1" xfId="0" applyNumberFormat="1" applyFont="1" applyBorder="1" applyAlignment="1">
      <alignment vertical="center" wrapText="1"/>
    </xf>
    <xf numFmtId="164" fontId="21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3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1" fillId="5" borderId="1" xfId="0" applyNumberFormat="1" applyFont="1" applyFill="1" applyBorder="1" applyAlignment="1" applyProtection="1">
      <alignment vertical="center" wrapText="1"/>
      <protection locked="0"/>
    </xf>
    <xf numFmtId="164" fontId="23" fillId="0" borderId="1" xfId="0" applyNumberFormat="1" applyFont="1" applyBorder="1" applyAlignment="1">
      <alignment vertical="center" wrapText="1"/>
    </xf>
    <xf numFmtId="3" fontId="23" fillId="0" borderId="0" xfId="0" applyNumberFormat="1" applyFont="1" applyAlignment="1">
      <alignment vertical="center" wrapText="1"/>
    </xf>
    <xf numFmtId="0" fontId="2" fillId="34" borderId="1" xfId="0" applyFont="1" applyFill="1" applyBorder="1" applyAlignment="1">
      <alignment horizontal="center" vertical="top" wrapText="1"/>
    </xf>
    <xf numFmtId="0" fontId="2" fillId="35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8" fontId="1" fillId="0" borderId="1" xfId="1" applyFont="1" applyFill="1" applyBorder="1" applyAlignment="1" applyProtection="1">
      <alignment horizontal="right" vertical="top" wrapText="1"/>
    </xf>
    <xf numFmtId="168" fontId="1" fillId="36" borderId="1" xfId="1" applyFont="1" applyFill="1" applyBorder="1" applyAlignment="1" applyProtection="1">
      <alignment horizontal="right" vertical="top" wrapText="1"/>
    </xf>
    <xf numFmtId="168" fontId="1" fillId="34" borderId="1" xfId="1" applyFont="1" applyFill="1" applyBorder="1" applyAlignment="1" applyProtection="1">
      <alignment horizontal="right" vertical="top" wrapText="1"/>
    </xf>
    <xf numFmtId="0" fontId="2" fillId="34" borderId="1" xfId="0" applyFont="1" applyFill="1" applyBorder="1" applyAlignment="1">
      <alignment horizontal="left" vertical="top" wrapText="1"/>
    </xf>
    <xf numFmtId="168" fontId="2" fillId="34" borderId="1" xfId="1" applyFont="1" applyFill="1" applyBorder="1" applyAlignment="1" applyProtection="1">
      <alignment horizontal="right" vertical="top" wrapText="1"/>
    </xf>
    <xf numFmtId="0" fontId="2" fillId="37" borderId="1" xfId="1" applyNumberFormat="1" applyFont="1" applyFill="1" applyBorder="1" applyAlignment="1" applyProtection="1">
      <alignment vertical="top" wrapText="1"/>
      <protection locked="0"/>
    </xf>
    <xf numFmtId="0" fontId="2" fillId="33" borderId="1" xfId="1" applyNumberFormat="1" applyFont="1" applyFill="1" applyBorder="1" applyAlignment="1" applyProtection="1">
      <alignment horizontal="center" vertical="top" wrapText="1"/>
    </xf>
    <xf numFmtId="0" fontId="2" fillId="33" borderId="1" xfId="1" applyNumberFormat="1" applyFont="1" applyFill="1" applyBorder="1" applyAlignment="1" applyProtection="1">
      <alignment vertical="top" wrapText="1"/>
    </xf>
    <xf numFmtId="17" fontId="1" fillId="38" borderId="1" xfId="0" applyNumberFormat="1" applyFont="1" applyFill="1" applyBorder="1" applyAlignment="1" applyProtection="1">
      <alignment horizontal="left" vertical="top" wrapText="1"/>
      <protection locked="0"/>
    </xf>
    <xf numFmtId="167" fontId="1" fillId="39" borderId="1" xfId="1" applyNumberFormat="1" applyFont="1" applyFill="1" applyBorder="1" applyAlignment="1" applyProtection="1">
      <alignment horizontal="right" vertical="top" wrapText="1"/>
      <protection locked="0"/>
    </xf>
    <xf numFmtId="167" fontId="1" fillId="34" borderId="1" xfId="1" applyNumberFormat="1" applyFont="1" applyFill="1" applyBorder="1" applyAlignment="1" applyProtection="1">
      <alignment horizontal="right" vertical="top" wrapText="1"/>
    </xf>
    <xf numFmtId="167" fontId="2" fillId="34" borderId="1" xfId="1" applyNumberFormat="1" applyFont="1" applyFill="1" applyBorder="1" applyAlignment="1" applyProtection="1">
      <alignment horizontal="right" vertical="top" wrapText="1"/>
    </xf>
    <xf numFmtId="17" fontId="1" fillId="40" borderId="1" xfId="0" applyNumberFormat="1" applyFont="1" applyFill="1" applyBorder="1" applyAlignment="1">
      <alignment horizontal="left" vertical="top" wrapText="1"/>
    </xf>
    <xf numFmtId="167" fontId="1" fillId="41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67" fontId="1" fillId="0" borderId="1" xfId="1" applyNumberFormat="1" applyFont="1" applyFill="1" applyBorder="1" applyAlignment="1" applyProtection="1">
      <alignment horizontal="right" vertical="top" wrapText="1"/>
    </xf>
    <xf numFmtId="38" fontId="2" fillId="34" borderId="1" xfId="0" applyNumberFormat="1" applyFont="1" applyFill="1" applyBorder="1" applyAlignment="1">
      <alignment horizontal="right" vertical="top" wrapText="1"/>
    </xf>
    <xf numFmtId="38" fontId="2" fillId="34" borderId="1" xfId="0" applyNumberFormat="1" applyFont="1" applyFill="1" applyBorder="1" applyAlignment="1">
      <alignment horizontal="center" vertical="top" wrapText="1"/>
    </xf>
    <xf numFmtId="164" fontId="2" fillId="37" borderId="1" xfId="1" applyNumberFormat="1" applyFont="1" applyFill="1" applyBorder="1" applyAlignment="1" applyProtection="1">
      <alignment horizontal="center" vertical="top" wrapText="1"/>
      <protection locked="0"/>
    </xf>
    <xf numFmtId="38" fontId="1" fillId="39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7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7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2" borderId="1" xfId="0" applyNumberFormat="1" applyFont="1" applyFill="1" applyBorder="1" applyAlignment="1">
      <alignment vertical="top" wrapText="1"/>
    </xf>
    <xf numFmtId="0" fontId="1" fillId="29" borderId="1" xfId="0" applyFont="1" applyFill="1" applyBorder="1" applyAlignment="1">
      <alignment vertical="top" wrapText="1"/>
    </xf>
    <xf numFmtId="176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4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170" fontId="1" fillId="5" borderId="1" xfId="0" applyNumberFormat="1" applyFont="1" applyFill="1" applyBorder="1" applyAlignment="1" applyProtection="1">
      <alignment vertical="top" wrapText="1"/>
      <protection locked="0"/>
    </xf>
    <xf numFmtId="176" fontId="1" fillId="5" borderId="1" xfId="0" applyNumberFormat="1" applyFont="1" applyFill="1" applyBorder="1" applyAlignment="1" applyProtection="1">
      <alignment vertical="top" wrapText="1"/>
      <protection locked="0"/>
    </xf>
    <xf numFmtId="17" fontId="2" fillId="5" borderId="1" xfId="0" applyNumberFormat="1" applyFont="1" applyFill="1" applyBorder="1" applyAlignment="1" applyProtection="1">
      <alignment horizontal="center" vertical="top" wrapText="1"/>
      <protection locked="0"/>
    </xf>
    <xf numFmtId="0" fontId="25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26" fillId="30" borderId="1" xfId="0" applyFont="1" applyFill="1" applyBorder="1" applyAlignment="1">
      <alignment vertical="center" wrapText="1"/>
    </xf>
    <xf numFmtId="167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27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67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7" borderId="1" xfId="1" applyNumberFormat="1" applyFont="1" applyFill="1" applyBorder="1" applyAlignment="1" applyProtection="1">
      <alignment vertical="center"/>
    </xf>
    <xf numFmtId="167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67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25" fillId="0" borderId="0" xfId="0" applyNumberFormat="1" applyFont="1" applyAlignment="1" applyProtection="1">
      <alignment vertical="center"/>
      <protection hidden="1"/>
    </xf>
    <xf numFmtId="0" fontId="26" fillId="3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8" fillId="44" borderId="1" xfId="0" applyFont="1" applyFill="1" applyBorder="1" applyAlignment="1" applyProtection="1">
      <alignment horizontal="center" vertical="top" wrapText="1"/>
      <protection locked="0"/>
    </xf>
    <xf numFmtId="164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26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4" fontId="2" fillId="12" borderId="1" xfId="0" applyNumberFormat="1" applyFont="1" applyFill="1" applyBorder="1" applyAlignment="1">
      <alignment vertical="top" wrapText="1"/>
    </xf>
    <xf numFmtId="1" fontId="29" fillId="12" borderId="1" xfId="0" applyNumberFormat="1" applyFont="1" applyFill="1" applyBorder="1" applyAlignment="1">
      <alignment horizontal="center" vertical="top" wrapText="1"/>
    </xf>
    <xf numFmtId="10" fontId="30" fillId="12" borderId="1" xfId="0" applyNumberFormat="1" applyFont="1" applyFill="1" applyBorder="1" applyAlignment="1">
      <alignment horizontal="center" vertical="top" wrapText="1"/>
    </xf>
    <xf numFmtId="164" fontId="2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2" fillId="45" borderId="1" xfId="0" applyFont="1" applyFill="1" applyBorder="1" applyAlignment="1">
      <alignment horizontal="center" vertical="top" wrapText="1"/>
    </xf>
    <xf numFmtId="0" fontId="28" fillId="44" borderId="1" xfId="0" applyFont="1" applyFill="1" applyBorder="1" applyAlignment="1" applyProtection="1">
      <alignment vertical="top" wrapText="1"/>
      <protection locked="0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15" fillId="2" borderId="0" xfId="0" applyFont="1" applyFill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" fillId="0" borderId="9" xfId="0" applyFont="1" applyBorder="1" applyAlignment="1">
      <alignment horizontal="center" vertical="top" wrapText="1"/>
    </xf>
    <xf numFmtId="0" fontId="27" fillId="0" borderId="21" xfId="0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15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67" fontId="1" fillId="5" borderId="1" xfId="1" applyNumberFormat="1" applyFont="1" applyFill="1" applyBorder="1" applyAlignment="1" applyProtection="1">
      <alignment horizontal="left" vertical="center"/>
      <protection locked="0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7" fontId="1" fillId="5" borderId="1" xfId="1" applyNumberFormat="1" applyFont="1" applyFill="1" applyBorder="1" applyAlignment="1" applyProtection="1">
      <alignment horizontal="center" vertical="center"/>
      <protection locked="0"/>
    </xf>
    <xf numFmtId="0" fontId="26" fillId="30" borderId="1" xfId="0" applyFont="1" applyFill="1" applyBorder="1" applyAlignment="1">
      <alignment horizontal="center" vertical="center"/>
    </xf>
    <xf numFmtId="167" fontId="2" fillId="0" borderId="1" xfId="1" applyNumberFormat="1" applyFont="1" applyBorder="1" applyAlignment="1" applyProtection="1">
      <alignment horizontal="right" vertical="center"/>
    </xf>
    <xf numFmtId="0" fontId="26" fillId="3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1" borderId="1" xfId="0" applyFont="1" applyFill="1" applyBorder="1" applyAlignment="1" applyProtection="1">
      <alignment horizontal="center" vertical="center" wrapText="1"/>
      <protection hidden="1"/>
    </xf>
    <xf numFmtId="43" fontId="1" fillId="0" borderId="1" xfId="1" applyNumberFormat="1" applyFont="1" applyBorder="1" applyAlignment="1" applyProtection="1">
      <alignment horizontal="left" vertical="center" indent="1"/>
    </xf>
    <xf numFmtId="167" fontId="1" fillId="0" borderId="1" xfId="1" applyNumberFormat="1" applyFont="1" applyBorder="1" applyAlignment="1" applyProtection="1">
      <alignment horizontal="left" vertical="center" indent="1"/>
    </xf>
    <xf numFmtId="10" fontId="1" fillId="0" borderId="1" xfId="2" applyNumberFormat="1" applyFont="1" applyBorder="1" applyAlignment="1" applyProtection="1">
      <alignment horizontal="right" vertical="center" indent="1"/>
    </xf>
    <xf numFmtId="167" fontId="2" fillId="12" borderId="1" xfId="1" applyNumberFormat="1" applyFont="1" applyFill="1" applyBorder="1" applyAlignment="1" applyProtection="1">
      <alignment horizontal="right" vertical="center" indent="1"/>
    </xf>
    <xf numFmtId="167" fontId="1" fillId="0" borderId="1" xfId="1" applyNumberFormat="1" applyFont="1" applyBorder="1" applyAlignment="1" applyProtection="1">
      <alignment horizontal="righ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6" fillId="3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top" wrapText="1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43" borderId="9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2" borderId="2" xfId="0" applyFont="1" applyFill="1" applyBorder="1" applyAlignment="1">
      <alignment horizontal="center" vertical="top" wrapText="1"/>
    </xf>
    <xf numFmtId="0" fontId="2" fillId="42" borderId="3" xfId="0" applyFont="1" applyFill="1" applyBorder="1" applyAlignment="1">
      <alignment horizontal="center" vertical="top" wrapText="1"/>
    </xf>
    <xf numFmtId="0" fontId="2" fillId="42" borderId="4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" fillId="34" borderId="1" xfId="0" applyFont="1" applyFill="1" applyBorder="1" applyAlignment="1">
      <alignment horizontal="center" vertical="top" wrapText="1"/>
    </xf>
    <xf numFmtId="0" fontId="2" fillId="35" borderId="2" xfId="0" applyFont="1" applyFill="1" applyBorder="1" applyAlignment="1">
      <alignment horizontal="center" vertical="top" wrapText="1"/>
    </xf>
    <xf numFmtId="0" fontId="2" fillId="35" borderId="4" xfId="0" applyFont="1" applyFill="1" applyBorder="1" applyAlignment="1">
      <alignment horizontal="center" vertical="top" wrapText="1"/>
    </xf>
    <xf numFmtId="0" fontId="2" fillId="37" borderId="2" xfId="1" applyNumberFormat="1" applyFont="1" applyFill="1" applyBorder="1" applyAlignment="1" applyProtection="1">
      <alignment vertical="top" wrapText="1"/>
      <protection locked="0"/>
    </xf>
    <xf numFmtId="0" fontId="2" fillId="37" borderId="3" xfId="1" applyNumberFormat="1" applyFont="1" applyFill="1" applyBorder="1" applyAlignment="1" applyProtection="1">
      <alignment vertical="top" wrapText="1"/>
      <protection locked="0"/>
    </xf>
    <xf numFmtId="0" fontId="2" fillId="37" borderId="4" xfId="1" applyNumberFormat="1" applyFont="1" applyFill="1" applyBorder="1" applyAlignment="1" applyProtection="1">
      <alignment vertical="top" wrapText="1"/>
      <protection locked="0"/>
    </xf>
    <xf numFmtId="0" fontId="2" fillId="37" borderId="1" xfId="1" applyNumberFormat="1" applyFont="1" applyFill="1" applyBorder="1" applyAlignment="1" applyProtection="1">
      <alignment vertical="top" wrapText="1"/>
      <protection locked="0"/>
    </xf>
    <xf numFmtId="0" fontId="2" fillId="33" borderId="1" xfId="1" applyNumberFormat="1" applyFont="1" applyFill="1" applyBorder="1" applyAlignment="1" applyProtection="1">
      <alignment horizontal="center" vertical="top" wrapText="1"/>
    </xf>
    <xf numFmtId="49" fontId="2" fillId="37" borderId="2" xfId="1" applyNumberFormat="1" applyFont="1" applyFill="1" applyBorder="1" applyAlignment="1" applyProtection="1">
      <alignment vertical="top" wrapText="1"/>
      <protection locked="0"/>
    </xf>
    <xf numFmtId="49" fontId="2" fillId="37" borderId="3" xfId="1" applyNumberFormat="1" applyFont="1" applyFill="1" applyBorder="1" applyAlignment="1" applyProtection="1">
      <alignment vertical="top" wrapText="1"/>
      <protection locked="0"/>
    </xf>
    <xf numFmtId="49" fontId="2" fillId="37" borderId="4" xfId="1" applyNumberFormat="1" applyFont="1" applyFill="1" applyBorder="1" applyAlignment="1" applyProtection="1">
      <alignment vertical="top" wrapText="1"/>
      <protection locked="0"/>
    </xf>
    <xf numFmtId="164" fontId="2" fillId="37" borderId="2" xfId="1" applyNumberFormat="1" applyFont="1" applyFill="1" applyBorder="1" applyAlignment="1" applyProtection="1">
      <alignment horizontal="center" vertical="top" wrapText="1"/>
      <protection locked="0"/>
    </xf>
    <xf numFmtId="164" fontId="2" fillId="37" borderId="3" xfId="1" applyNumberFormat="1" applyFont="1" applyFill="1" applyBorder="1" applyAlignment="1" applyProtection="1">
      <alignment horizontal="center" vertical="top" wrapText="1"/>
      <protection locked="0"/>
    </xf>
    <xf numFmtId="164" fontId="2" fillId="37" borderId="4" xfId="1" applyNumberFormat="1" applyFont="1" applyFill="1" applyBorder="1" applyAlignment="1" applyProtection="1">
      <alignment horizontal="center" vertical="top" wrapText="1"/>
      <protection locked="0"/>
    </xf>
    <xf numFmtId="0" fontId="23" fillId="0" borderId="2" xfId="0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2" fillId="0" borderId="10" xfId="4" applyFont="1" applyBorder="1" applyAlignment="1">
      <alignment horizontal="center" vertical="center" wrapText="1"/>
    </xf>
    <xf numFmtId="0" fontId="22" fillId="0" borderId="11" xfId="4" applyFont="1" applyBorder="1" applyAlignment="1">
      <alignment horizontal="center" vertical="center" wrapText="1"/>
    </xf>
    <xf numFmtId="2" fontId="22" fillId="0" borderId="10" xfId="4" applyNumberFormat="1" applyFont="1" applyBorder="1" applyAlignment="1">
      <alignment horizontal="center" vertical="center" wrapText="1"/>
    </xf>
    <xf numFmtId="2" fontId="22" fillId="0" borderId="11" xfId="4" applyNumberFormat="1" applyFont="1" applyBorder="1" applyAlignment="1">
      <alignment horizontal="center" vertical="center" wrapText="1"/>
    </xf>
    <xf numFmtId="169" fontId="22" fillId="0" borderId="10" xfId="4" applyNumberFormat="1" applyFont="1" applyBorder="1" applyAlignment="1">
      <alignment horizontal="center" vertical="center" wrapText="1"/>
    </xf>
    <xf numFmtId="169" fontId="22" fillId="0" borderId="11" xfId="4" applyNumberFormat="1" applyFont="1" applyBorder="1" applyAlignment="1">
      <alignment horizontal="center" vertical="center" wrapText="1"/>
    </xf>
    <xf numFmtId="167" fontId="17" fillId="5" borderId="1" xfId="1" applyNumberFormat="1" applyFont="1" applyFill="1" applyBorder="1" applyAlignment="1" applyProtection="1">
      <alignment horizontal="left" vertical="center"/>
      <protection locked="0"/>
    </xf>
    <xf numFmtId="10" fontId="17" fillId="5" borderId="1" xfId="0" applyNumberFormat="1" applyFont="1" applyFill="1" applyBorder="1" applyAlignment="1" applyProtection="1">
      <alignment horizontal="right" vertical="center"/>
      <protection locked="0"/>
    </xf>
    <xf numFmtId="0" fontId="17" fillId="5" borderId="1" xfId="0" applyFont="1" applyFill="1" applyBorder="1" applyAlignment="1" applyProtection="1">
      <alignment horizontal="right" vertical="center"/>
      <protection locked="0"/>
    </xf>
    <xf numFmtId="1" fontId="17" fillId="5" borderId="1" xfId="0" applyNumberFormat="1" applyFont="1" applyFill="1" applyBorder="1" applyAlignment="1" applyProtection="1">
      <alignment horizontal="right" vertical="center"/>
      <protection locked="0"/>
    </xf>
    <xf numFmtId="167" fontId="17" fillId="5" borderId="2" xfId="1" applyNumberFormat="1" applyFont="1" applyFill="1" applyBorder="1" applyAlignment="1" applyProtection="1">
      <alignment horizontal="center" vertical="center"/>
      <protection locked="0"/>
    </xf>
    <xf numFmtId="167" fontId="17" fillId="5" borderId="3" xfId="1" applyNumberFormat="1" applyFont="1" applyFill="1" applyBorder="1" applyAlignment="1" applyProtection="1">
      <alignment horizontal="center" vertical="center"/>
      <protection locked="0"/>
    </xf>
    <xf numFmtId="167" fontId="17" fillId="5" borderId="4" xfId="1" applyNumberFormat="1" applyFont="1" applyFill="1" applyBorder="1" applyAlignment="1" applyProtection="1">
      <alignment horizontal="center" vertical="center"/>
      <protection locked="0"/>
    </xf>
    <xf numFmtId="0" fontId="19" fillId="30" borderId="23" xfId="0" applyFont="1" applyFill="1" applyBorder="1" applyAlignment="1">
      <alignment horizontal="center" vertical="center"/>
    </xf>
    <xf numFmtId="0" fontId="19" fillId="30" borderId="24" xfId="0" applyFont="1" applyFill="1" applyBorder="1" applyAlignment="1">
      <alignment horizontal="center" vertical="center"/>
    </xf>
    <xf numFmtId="0" fontId="19" fillId="30" borderId="25" xfId="0" applyFont="1" applyFill="1" applyBorder="1" applyAlignment="1">
      <alignment horizontal="center" vertical="center"/>
    </xf>
    <xf numFmtId="167" fontId="17" fillId="5" borderId="2" xfId="1" applyNumberFormat="1" applyFont="1" applyFill="1" applyBorder="1" applyAlignment="1" applyProtection="1">
      <alignment horizontal="left" vertical="center"/>
      <protection locked="0"/>
    </xf>
    <xf numFmtId="167" fontId="17" fillId="5" borderId="3" xfId="1" applyNumberFormat="1" applyFont="1" applyFill="1" applyBorder="1" applyAlignment="1" applyProtection="1">
      <alignment horizontal="left" vertical="center"/>
      <protection locked="0"/>
    </xf>
    <xf numFmtId="167" fontId="17" fillId="5" borderId="4" xfId="1" applyNumberFormat="1" applyFont="1" applyFill="1" applyBorder="1" applyAlignment="1" applyProtection="1">
      <alignment horizontal="left" vertical="center"/>
      <protection locked="0"/>
    </xf>
    <xf numFmtId="167" fontId="17" fillId="0" borderId="2" xfId="1" applyNumberFormat="1" applyFont="1" applyBorder="1" applyAlignment="1" applyProtection="1">
      <alignment horizontal="right" vertical="center"/>
    </xf>
    <xf numFmtId="167" fontId="17" fillId="0" borderId="3" xfId="1" applyNumberFormat="1" applyFont="1" applyBorder="1" applyAlignment="1" applyProtection="1">
      <alignment horizontal="right" vertical="center"/>
    </xf>
    <xf numFmtId="167" fontId="17" fillId="0" borderId="4" xfId="1" applyNumberFormat="1" applyFont="1" applyBorder="1" applyAlignment="1" applyProtection="1">
      <alignment horizontal="right" vertical="center"/>
    </xf>
    <xf numFmtId="0" fontId="19" fillId="30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31" borderId="2" xfId="0" applyFont="1" applyFill="1" applyBorder="1" applyAlignment="1">
      <alignment horizontal="center" vertical="center" wrapText="1"/>
    </xf>
    <xf numFmtId="0" fontId="17" fillId="31" borderId="3" xfId="0" applyFont="1" applyFill="1" applyBorder="1" applyAlignment="1">
      <alignment horizontal="center" vertical="center" wrapText="1"/>
    </xf>
    <xf numFmtId="0" fontId="17" fillId="31" borderId="4" xfId="0" applyFont="1" applyFill="1" applyBorder="1" applyAlignment="1">
      <alignment horizontal="center" vertical="center" wrapText="1"/>
    </xf>
    <xf numFmtId="168" fontId="17" fillId="0" borderId="1" xfId="1" applyFont="1" applyBorder="1" applyAlignment="1" applyProtection="1">
      <alignment horizontal="left" vertical="center" indent="1"/>
    </xf>
    <xf numFmtId="167" fontId="17" fillId="0" borderId="1" xfId="1" applyNumberFormat="1" applyFont="1" applyBorder="1" applyAlignment="1" applyProtection="1">
      <alignment horizontal="left" vertical="center" indent="1"/>
    </xf>
    <xf numFmtId="10" fontId="17" fillId="0" borderId="1" xfId="2" applyNumberFormat="1" applyFont="1" applyBorder="1" applyAlignment="1" applyProtection="1">
      <alignment horizontal="right" vertical="center" indent="1"/>
    </xf>
    <xf numFmtId="167" fontId="20" fillId="12" borderId="1" xfId="1" applyNumberFormat="1" applyFont="1" applyFill="1" applyBorder="1" applyAlignment="1" applyProtection="1">
      <alignment horizontal="right" vertical="center" indent="1"/>
    </xf>
    <xf numFmtId="167" fontId="17" fillId="0" borderId="1" xfId="1" applyNumberFormat="1" applyFont="1" applyBorder="1" applyAlignment="1" applyProtection="1">
      <alignment horizontal="right" vertical="center" indent="1"/>
    </xf>
    <xf numFmtId="0" fontId="19" fillId="32" borderId="26" xfId="0" applyFont="1" applyFill="1" applyBorder="1" applyAlignment="1">
      <alignment horizontal="center" vertical="center" wrapText="1"/>
    </xf>
    <xf numFmtId="0" fontId="19" fillId="32" borderId="27" xfId="0" applyFont="1" applyFill="1" applyBorder="1" applyAlignment="1">
      <alignment horizontal="center" vertical="center"/>
    </xf>
    <xf numFmtId="0" fontId="19" fillId="32" borderId="28" xfId="0" applyFont="1" applyFill="1" applyBorder="1" applyAlignment="1">
      <alignment horizontal="center" vertical="center"/>
    </xf>
    <xf numFmtId="0" fontId="19" fillId="32" borderId="29" xfId="0" applyFont="1" applyFill="1" applyBorder="1" applyAlignment="1">
      <alignment horizontal="center" vertical="center"/>
    </xf>
    <xf numFmtId="167" fontId="17" fillId="0" borderId="10" xfId="1" applyNumberFormat="1" applyFont="1" applyBorder="1" applyAlignment="1" applyProtection="1">
      <alignment horizontal="center" vertical="center"/>
    </xf>
    <xf numFmtId="167" fontId="17" fillId="0" borderId="12" xfId="1" applyNumberFormat="1" applyFont="1" applyBorder="1" applyAlignment="1" applyProtection="1">
      <alignment horizontal="center" vertical="center"/>
    </xf>
    <xf numFmtId="167" fontId="17" fillId="0" borderId="11" xfId="1" applyNumberFormat="1" applyFont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vertical="top" wrapText="1"/>
    </xf>
    <xf numFmtId="169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vertical="top" wrapText="1"/>
    </xf>
    <xf numFmtId="3" fontId="2" fillId="29" borderId="1" xfId="0" applyNumberFormat="1" applyFont="1" applyFill="1" applyBorder="1" applyAlignment="1">
      <alignment horizontal="center" vertical="top" wrapText="1"/>
    </xf>
    <xf numFmtId="10" fontId="2" fillId="29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28" borderId="1" xfId="0" applyFont="1" applyFill="1" applyBorder="1" applyAlignment="1">
      <alignment horizontal="center" vertical="top" wrapText="1"/>
    </xf>
    <xf numFmtId="164" fontId="2" fillId="3" borderId="2" xfId="0" applyNumberFormat="1" applyFont="1" applyFill="1" applyBorder="1" applyAlignment="1">
      <alignment horizontal="center" vertical="top" wrapText="1"/>
    </xf>
    <xf numFmtId="164" fontId="2" fillId="3" borderId="4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6" fillId="24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26" borderId="2" xfId="1" applyNumberFormat="1" applyFont="1" applyFill="1" applyBorder="1" applyAlignment="1" applyProtection="1">
      <alignment vertical="top" wrapText="1"/>
    </xf>
    <xf numFmtId="0" fontId="10" fillId="26" borderId="3" xfId="1" applyNumberFormat="1" applyFont="1" applyFill="1" applyBorder="1" applyAlignment="1" applyProtection="1">
      <alignment vertical="top" wrapText="1"/>
    </xf>
    <xf numFmtId="0" fontId="10" fillId="26" borderId="4" xfId="1" applyNumberFormat="1" applyFont="1" applyFill="1" applyBorder="1" applyAlignment="1" applyProtection="1">
      <alignment vertical="top" wrapText="1"/>
    </xf>
    <xf numFmtId="164" fontId="1" fillId="3" borderId="10" xfId="0" applyNumberFormat="1" applyFont="1" applyFill="1" applyBorder="1" applyAlignment="1">
      <alignment vertical="top" wrapText="1"/>
    </xf>
    <xf numFmtId="164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6" fillId="24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top" wrapText="1"/>
    </xf>
    <xf numFmtId="0" fontId="13" fillId="0" borderId="2" xfId="3" applyFont="1" applyBorder="1" applyAlignment="1">
      <alignment horizontal="center" vertical="top" wrapText="1"/>
    </xf>
    <xf numFmtId="0" fontId="13" fillId="0" borderId="3" xfId="3" applyFont="1" applyBorder="1" applyAlignment="1">
      <alignment horizontal="center" vertical="top" wrapText="1"/>
    </xf>
    <xf numFmtId="0" fontId="13" fillId="0" borderId="4" xfId="3" applyFont="1" applyBorder="1" applyAlignment="1">
      <alignment horizontal="center" vertical="top" wrapText="1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69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  <xf numFmtId="0" fontId="1" fillId="4" borderId="0" xfId="0" applyFont="1" applyFill="1" applyAlignment="1" applyProtection="1">
      <alignment vertical="top" wrapText="1"/>
      <protection locked="0"/>
    </xf>
    <xf numFmtId="4" fontId="37" fillId="46" borderId="1" xfId="0" applyNumberFormat="1" applyFont="1" applyFill="1" applyBorder="1" applyAlignment="1" applyProtection="1">
      <alignment vertical="center" wrapText="1"/>
      <protection locked="0"/>
    </xf>
    <xf numFmtId="4" fontId="38" fillId="46" borderId="1" xfId="0" applyNumberFormat="1" applyFont="1" applyFill="1" applyBorder="1" applyAlignment="1" applyProtection="1">
      <alignment horizontal="right" vertical="center"/>
      <protection locked="0"/>
    </xf>
  </cellXfs>
  <cellStyles count="9">
    <cellStyle name="Comma" xfId="1" builtinId="3"/>
    <cellStyle name="Comma 2" xfId="6" xr:uid="{00000000-0005-0000-0000-000034000000}"/>
    <cellStyle name="Comma 3" xfId="7" xr:uid="{00000000-0005-0000-0000-000035000000}"/>
    <cellStyle name="Nor}al_Prateek Jain_Banking" xfId="4" xr:uid="{00000000-0005-0000-0000-00001C000000}"/>
    <cellStyle name="Normal" xfId="0" builtinId="0"/>
    <cellStyle name="Normal 2" xfId="5" xr:uid="{00000000-0005-0000-0000-000022000000}"/>
    <cellStyle name="Normal_Financials and Banking - P J Enterprises - July 2011" xfId="8" xr:uid="{00000000-0005-0000-0000-000036000000}"/>
    <cellStyle name="Normal_SVG Final Excel" xfId="3" xr:uid="{00000000-0005-0000-0000-00000D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topLeftCell="A21" workbookViewId="0">
      <selection activeCell="G40" sqref="G40"/>
    </sheetView>
  </sheetViews>
  <sheetFormatPr defaultColWidth="0" defaultRowHeight="12.75" zeroHeight="1"/>
  <cols>
    <col min="1" max="1" width="6.140625" style="1" customWidth="1"/>
    <col min="2" max="2" width="20.57031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5" t="s">
        <v>0</v>
      </c>
      <c r="C1" s="192" t="s">
        <v>1</v>
      </c>
      <c r="D1" s="44"/>
      <c r="E1" s="332" t="s">
        <v>2</v>
      </c>
      <c r="F1" s="333"/>
      <c r="G1" s="334"/>
      <c r="H1" s="335" t="s">
        <v>3</v>
      </c>
      <c r="I1" s="336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541" t="s">
        <v>2034</v>
      </c>
      <c r="C2" s="541">
        <v>3000023573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37" t="s">
        <v>4</v>
      </c>
      <c r="B4" s="337"/>
      <c r="C4" s="337"/>
      <c r="D4" s="337"/>
      <c r="E4" s="337"/>
      <c r="F4" s="337"/>
      <c r="G4" s="337"/>
      <c r="H4" s="337"/>
      <c r="I4" s="337"/>
      <c r="J4" s="3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38" t="s">
        <v>5</v>
      </c>
      <c r="B5" s="338" t="s">
        <v>6</v>
      </c>
      <c r="C5" s="338" t="s">
        <v>7</v>
      </c>
      <c r="D5" s="338" t="s">
        <v>8</v>
      </c>
      <c r="E5" s="338" t="s">
        <v>9</v>
      </c>
      <c r="F5" s="338"/>
      <c r="G5" s="338" t="s">
        <v>10</v>
      </c>
      <c r="H5" s="338" t="s">
        <v>11</v>
      </c>
      <c r="I5" s="338" t="s">
        <v>12</v>
      </c>
      <c r="J5" s="338" t="s">
        <v>13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38"/>
      <c r="B6" s="338"/>
      <c r="C6" s="338"/>
      <c r="D6" s="338"/>
      <c r="E6" s="2" t="s">
        <v>14</v>
      </c>
      <c r="F6" s="2" t="s">
        <v>15</v>
      </c>
      <c r="G6" s="338"/>
      <c r="H6" s="338"/>
      <c r="I6" s="338"/>
      <c r="J6" s="3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192" t="s">
        <v>16</v>
      </c>
      <c r="C7" s="309" t="s">
        <v>17</v>
      </c>
      <c r="D7" s="309" t="s">
        <v>18</v>
      </c>
      <c r="E7" s="309">
        <f>2024-1976</f>
        <v>48</v>
      </c>
      <c r="F7" s="309">
        <f>E7+20</f>
        <v>68</v>
      </c>
      <c r="G7" s="309" t="s">
        <v>19</v>
      </c>
      <c r="H7" s="309">
        <v>761</v>
      </c>
      <c r="I7" s="309" t="s">
        <v>20</v>
      </c>
      <c r="J7" s="309" t="s">
        <v>20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192" t="s">
        <v>21</v>
      </c>
      <c r="C8" s="309" t="s">
        <v>17</v>
      </c>
      <c r="D8" s="309" t="s">
        <v>22</v>
      </c>
      <c r="E8" s="309">
        <f>2024-1974</f>
        <v>50</v>
      </c>
      <c r="F8" s="309">
        <f>E8+20</f>
        <v>70</v>
      </c>
      <c r="G8" s="309" t="s">
        <v>23</v>
      </c>
      <c r="H8" s="309">
        <v>734</v>
      </c>
      <c r="I8" s="309" t="s">
        <v>24</v>
      </c>
      <c r="J8" s="309" t="s">
        <v>24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 hidden="1">
      <c r="A9" s="7">
        <v>3</v>
      </c>
      <c r="B9" s="192"/>
      <c r="C9" s="181"/>
      <c r="D9" s="181"/>
      <c r="E9" s="181"/>
      <c r="F9" s="181"/>
      <c r="G9" s="181"/>
      <c r="H9" s="181"/>
      <c r="I9" s="181"/>
      <c r="J9" s="181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 hidden="1">
      <c r="A10" s="7">
        <v>4</v>
      </c>
      <c r="B10" s="192"/>
      <c r="C10" s="181"/>
      <c r="D10" s="181"/>
      <c r="E10" s="181"/>
      <c r="F10" s="181"/>
      <c r="G10" s="181"/>
      <c r="H10" s="181"/>
      <c r="I10" s="181"/>
      <c r="J10" s="181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 hidden="1">
      <c r="A11" s="7">
        <v>5</v>
      </c>
      <c r="B11" s="192"/>
      <c r="C11" s="181"/>
      <c r="D11" s="181"/>
      <c r="E11" s="181"/>
      <c r="F11" s="181"/>
      <c r="G11" s="181"/>
      <c r="H11" s="181"/>
      <c r="I11" s="181"/>
      <c r="J11" s="181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 hidden="1">
      <c r="A12" s="7">
        <v>6</v>
      </c>
      <c r="B12" s="192"/>
      <c r="C12" s="181"/>
      <c r="D12" s="181"/>
      <c r="E12" s="181"/>
      <c r="F12" s="181"/>
      <c r="G12" s="181"/>
      <c r="H12" s="181"/>
      <c r="I12" s="181"/>
      <c r="J12" s="181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 hidden="1">
      <c r="A13" s="7">
        <v>7</v>
      </c>
      <c r="B13" s="192"/>
      <c r="C13" s="181"/>
      <c r="D13" s="181"/>
      <c r="E13" s="181"/>
      <c r="F13" s="181"/>
      <c r="G13" s="181"/>
      <c r="H13" s="181"/>
      <c r="I13" s="181"/>
      <c r="J13" s="181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 hidden="1">
      <c r="A14" s="7">
        <v>8</v>
      </c>
      <c r="B14" s="192"/>
      <c r="C14" s="181"/>
      <c r="D14" s="181"/>
      <c r="E14" s="181"/>
      <c r="F14" s="181"/>
      <c r="G14" s="181"/>
      <c r="H14" s="181"/>
      <c r="I14" s="181"/>
      <c r="J14" s="181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 hidden="1">
      <c r="A15" s="7">
        <v>9</v>
      </c>
      <c r="B15" s="192"/>
      <c r="C15" s="181"/>
      <c r="D15" s="181"/>
      <c r="E15" s="181"/>
      <c r="F15" s="181"/>
      <c r="G15" s="181"/>
      <c r="H15" s="181"/>
      <c r="I15" s="181"/>
      <c r="J15" s="181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 hidden="1">
      <c r="A16" s="7">
        <v>10</v>
      </c>
      <c r="B16" s="192"/>
      <c r="C16" s="181"/>
      <c r="D16" s="181"/>
      <c r="E16" s="181"/>
      <c r="F16" s="181"/>
      <c r="G16" s="181"/>
      <c r="H16" s="181"/>
      <c r="I16" s="181"/>
      <c r="J16" s="181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37" t="s">
        <v>25</v>
      </c>
      <c r="B19" s="337"/>
      <c r="C19" s="337"/>
      <c r="D19" s="337"/>
      <c r="E19" s="337"/>
      <c r="F19" s="337"/>
      <c r="G19" s="337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39"/>
      <c r="B20" s="339"/>
      <c r="C20" s="339"/>
      <c r="D20" s="339"/>
      <c r="E20" s="339"/>
      <c r="F20" s="339"/>
      <c r="G20" s="339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541" t="s">
        <v>2035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2" t="s">
        <v>32</v>
      </c>
      <c r="C22" s="192" t="s">
        <v>1929</v>
      </c>
      <c r="D22" s="310">
        <v>1500000</v>
      </c>
      <c r="E22" s="311">
        <v>240</v>
      </c>
      <c r="F22" s="312">
        <v>0.105</v>
      </c>
      <c r="G22" s="12">
        <f>IFERROR(CEILING(PMT(F22/12,E22,-D22),1),0)</f>
        <v>14976</v>
      </c>
      <c r="H22" s="313" t="s">
        <v>34</v>
      </c>
      <c r="I22" s="313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2"/>
      <c r="C23" s="192"/>
      <c r="D23" s="310"/>
      <c r="E23" s="311"/>
      <c r="F23" s="312"/>
      <c r="G23" s="12">
        <f t="shared" ref="G23:G26" si="0">IFERROR(CEILING(PMT(F23/12,E23,-D23),1),0)</f>
        <v>0</v>
      </c>
      <c r="H23" s="313" t="s">
        <v>35</v>
      </c>
      <c r="I23" s="313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 hidden="1">
      <c r="A24" s="7">
        <v>3</v>
      </c>
      <c r="B24" s="192"/>
      <c r="C24" s="192"/>
      <c r="D24" s="310"/>
      <c r="E24" s="311"/>
      <c r="F24" s="312"/>
      <c r="G24" s="12">
        <f t="shared" si="0"/>
        <v>0</v>
      </c>
      <c r="H24" s="313" t="s">
        <v>36</v>
      </c>
      <c r="I24" s="313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 hidden="1">
      <c r="A25" s="7">
        <v>4</v>
      </c>
      <c r="B25" s="192"/>
      <c r="C25" s="192"/>
      <c r="D25" s="310"/>
      <c r="E25" s="311"/>
      <c r="F25" s="312"/>
      <c r="G25" s="12">
        <f t="shared" si="0"/>
        <v>0</v>
      </c>
      <c r="H25" s="313" t="s">
        <v>37</v>
      </c>
      <c r="I25" s="313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 hidden="1">
      <c r="A26" s="7">
        <v>5</v>
      </c>
      <c r="B26" s="192"/>
      <c r="C26" s="192"/>
      <c r="D26" s="310"/>
      <c r="E26" s="311"/>
      <c r="F26" s="312"/>
      <c r="G26" s="12">
        <f t="shared" si="0"/>
        <v>0</v>
      </c>
      <c r="H26" s="313" t="s">
        <v>38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14" t="s">
        <v>39</v>
      </c>
      <c r="B27" s="340"/>
      <c r="C27" s="341"/>
      <c r="D27" s="315">
        <f>SUM(D22:D26)</f>
        <v>1500000</v>
      </c>
      <c r="E27" s="316">
        <f>IFERROR(SUMPRODUCT($D$22:$D$26,$E$22:$E$26)/$D$27,0)</f>
        <v>240</v>
      </c>
      <c r="F27" s="317">
        <f>IFERROR(SUMPRODUCT($D$22:$D$26,$F$22:$F$26)/$D$27,0)</f>
        <v>0.105</v>
      </c>
      <c r="G27" s="315">
        <f>SUM(G22:G26)</f>
        <v>14976</v>
      </c>
      <c r="H27" s="14"/>
      <c r="I27" s="14"/>
      <c r="J27" s="323"/>
      <c r="K27" s="323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40</v>
      </c>
      <c r="D28" s="318">
        <f>D27-SUMIF(B22:B26,Validation!A37,D22:D26)-SUMIF(B22:B26,Validation!A38,D22:D26)</f>
        <v>1500000</v>
      </c>
      <c r="F28" s="319">
        <f>G27/D27</f>
        <v>9.9839999999999998E-3</v>
      </c>
      <c r="G28" s="318">
        <f>G27-SUMIF(B22:B26,Validation!A37,G22:G26)-SUMIF(B22:B26,Validation!A38,G22:G26)</f>
        <v>14976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23"/>
      <c r="K28" s="323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37" t="s">
        <v>41</v>
      </c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44"/>
      <c r="P31" s="44"/>
      <c r="Q31" s="44"/>
      <c r="R31" s="44"/>
      <c r="S31" s="44"/>
      <c r="T31" s="44"/>
      <c r="U31" s="44"/>
    </row>
    <row r="32" spans="1:21">
      <c r="A32" s="342"/>
      <c r="B32" s="342"/>
      <c r="C32" s="342"/>
      <c r="D32" s="342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44"/>
      <c r="P32" s="44"/>
      <c r="Q32" s="44"/>
      <c r="R32" s="44"/>
      <c r="S32" s="44"/>
      <c r="T32" s="44"/>
      <c r="U32" s="44"/>
    </row>
    <row r="33" spans="1:21" ht="63.75">
      <c r="A33" s="2" t="s">
        <v>5</v>
      </c>
      <c r="B33" s="320" t="s">
        <v>42</v>
      </c>
      <c r="C33" s="2" t="s">
        <v>43</v>
      </c>
      <c r="D33" s="320" t="s">
        <v>44</v>
      </c>
      <c r="E33" s="320" t="s">
        <v>45</v>
      </c>
      <c r="F33" s="2" t="s">
        <v>46</v>
      </c>
      <c r="G33" s="320" t="s">
        <v>47</v>
      </c>
      <c r="H33" s="2" t="s">
        <v>48</v>
      </c>
      <c r="I33" s="2" t="s">
        <v>49</v>
      </c>
      <c r="J33" s="2" t="s">
        <v>50</v>
      </c>
      <c r="K33" s="2" t="s">
        <v>51</v>
      </c>
      <c r="L33" s="320" t="s">
        <v>52</v>
      </c>
      <c r="M33" s="2" t="s">
        <v>53</v>
      </c>
      <c r="N33" s="2" t="s">
        <v>54</v>
      </c>
      <c r="O33" s="44"/>
      <c r="P33" s="44"/>
      <c r="Q33" s="44"/>
      <c r="R33" s="44"/>
      <c r="S33" s="44"/>
      <c r="T33" s="44"/>
      <c r="U33" s="44"/>
    </row>
    <row r="34" spans="1:21" ht="79.5" customHeight="1">
      <c r="A34" s="7">
        <v>1</v>
      </c>
      <c r="B34" s="192" t="s">
        <v>2036</v>
      </c>
      <c r="C34" s="192" t="s">
        <v>55</v>
      </c>
      <c r="D34" s="192" t="s">
        <v>16</v>
      </c>
      <c r="E34" s="321">
        <f>40*9</f>
        <v>360</v>
      </c>
      <c r="F34" s="309" t="s">
        <v>56</v>
      </c>
      <c r="G34" s="181" t="s">
        <v>24</v>
      </c>
      <c r="H34" s="310">
        <v>0</v>
      </c>
      <c r="I34" s="310">
        <v>0</v>
      </c>
      <c r="J34" s="310">
        <v>0</v>
      </c>
      <c r="K34" s="310">
        <v>1900000</v>
      </c>
      <c r="L34" s="312">
        <v>1</v>
      </c>
      <c r="M34" s="11" t="e">
        <f>IF(AND(I34="",J34=""),"",IF(OR(I34="",J34=""),"N.A.",IF(I34&gt;=J34,(I34-J34)/J34,(J34-I34)/I34)))</f>
        <v>#DIV/0!</v>
      </c>
      <c r="N34" s="12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0</v>
      </c>
      <c r="O34" s="343" t="e">
        <f>IF(OR(I34="",J34=""),"",IF(M34&gt;15%,"3rd Valuation to be fired if Lowest Valuation not sufficient for Eligibility",""))</f>
        <v>#DIV/0!</v>
      </c>
      <c r="P34" s="344"/>
      <c r="Q34" s="344"/>
      <c r="R34" s="344"/>
      <c r="S34" s="344"/>
      <c r="T34" s="344"/>
      <c r="U34" s="344"/>
    </row>
    <row r="35" spans="1:21" ht="25.5" hidden="1">
      <c r="A35" s="7">
        <v>2</v>
      </c>
      <c r="B35" s="192"/>
      <c r="C35" s="192"/>
      <c r="D35" s="192"/>
      <c r="E35" s="192"/>
      <c r="F35" s="192"/>
      <c r="G35" s="181"/>
      <c r="H35" s="310"/>
      <c r="I35" s="310"/>
      <c r="J35" s="310"/>
      <c r="K35" s="310"/>
      <c r="L35" s="312"/>
      <c r="M35" s="11" t="str">
        <f t="shared" ref="M35:M38" si="1">IF(AND(I35="",J35=""),"",IF(OR(I35="",J35=""),"N.A.",IF(I35&gt;=J35,(I35-J35)/J35,(J35-I35)/I35)))</f>
        <v/>
      </c>
      <c r="N35" s="12" t="str">
        <f t="shared" ref="N35:N38" si="2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43" t="str">
        <f t="shared" ref="O35:O38" si="3">IF(OR(I35="",J35=""),"",IF(M35&gt;15%,"3rd Valuation to be fired if Lowest Valuation not sufficient for Eligibility",""))</f>
        <v/>
      </c>
      <c r="P35" s="344"/>
      <c r="Q35" s="344"/>
      <c r="R35" s="344"/>
      <c r="S35" s="344"/>
      <c r="T35" s="344"/>
      <c r="U35" s="344"/>
    </row>
    <row r="36" spans="1:21" ht="25.5" hidden="1">
      <c r="A36" s="7">
        <v>3</v>
      </c>
      <c r="B36" s="192"/>
      <c r="C36" s="192"/>
      <c r="D36" s="192"/>
      <c r="E36" s="192"/>
      <c r="F36" s="192"/>
      <c r="G36" s="181"/>
      <c r="H36" s="310"/>
      <c r="I36" s="310"/>
      <c r="J36" s="310"/>
      <c r="K36" s="310"/>
      <c r="L36" s="312"/>
      <c r="M36" s="11" t="str">
        <f t="shared" si="1"/>
        <v/>
      </c>
      <c r="N36" s="12" t="str">
        <f t="shared" si="2"/>
        <v>Agreement Value / Property Cost required</v>
      </c>
      <c r="O36" s="343" t="str">
        <f t="shared" si="3"/>
        <v/>
      </c>
      <c r="P36" s="344"/>
      <c r="Q36" s="344"/>
      <c r="R36" s="344"/>
      <c r="S36" s="344"/>
      <c r="T36" s="344"/>
      <c r="U36" s="344"/>
    </row>
    <row r="37" spans="1:21" ht="25.5" hidden="1">
      <c r="A37" s="7">
        <v>4</v>
      </c>
      <c r="B37" s="192"/>
      <c r="C37" s="192"/>
      <c r="D37" s="192"/>
      <c r="E37" s="192"/>
      <c r="F37" s="192"/>
      <c r="G37" s="181"/>
      <c r="H37" s="310"/>
      <c r="I37" s="310"/>
      <c r="J37" s="310"/>
      <c r="K37" s="310"/>
      <c r="L37" s="312"/>
      <c r="M37" s="11" t="str">
        <f t="shared" si="1"/>
        <v/>
      </c>
      <c r="N37" s="12" t="str">
        <f t="shared" si="2"/>
        <v>Agreement Value / Property Cost required</v>
      </c>
      <c r="O37" s="343" t="str">
        <f t="shared" si="3"/>
        <v/>
      </c>
      <c r="P37" s="344"/>
      <c r="Q37" s="344"/>
      <c r="R37" s="344"/>
      <c r="S37" s="344"/>
      <c r="T37" s="344"/>
      <c r="U37" s="344"/>
    </row>
    <row r="38" spans="1:21" ht="25.5" hidden="1">
      <c r="A38" s="7">
        <v>5</v>
      </c>
      <c r="B38" s="192"/>
      <c r="C38" s="192"/>
      <c r="D38" s="192"/>
      <c r="E38" s="192"/>
      <c r="F38" s="192"/>
      <c r="G38" s="181"/>
      <c r="H38" s="310"/>
      <c r="I38" s="310"/>
      <c r="J38" s="310"/>
      <c r="K38" s="310"/>
      <c r="L38" s="312"/>
      <c r="M38" s="11" t="str">
        <f t="shared" si="1"/>
        <v/>
      </c>
      <c r="N38" s="12" t="str">
        <f t="shared" si="2"/>
        <v>Agreement Value / Property Cost required</v>
      </c>
      <c r="O38" s="343" t="str">
        <f t="shared" si="3"/>
        <v/>
      </c>
      <c r="P38" s="344"/>
      <c r="Q38" s="344"/>
      <c r="R38" s="344"/>
      <c r="S38" s="344"/>
      <c r="T38" s="344"/>
      <c r="U38" s="344"/>
    </row>
    <row r="39" spans="1:21">
      <c r="A39" s="345" t="s">
        <v>39</v>
      </c>
      <c r="B39" s="346"/>
      <c r="C39" s="346"/>
      <c r="D39" s="346"/>
      <c r="E39" s="346"/>
      <c r="F39" s="347"/>
      <c r="G39" s="322"/>
      <c r="H39" s="315">
        <f t="shared" ref="H39:I39" si="4">SUM(H34:H38)</f>
        <v>0</v>
      </c>
      <c r="I39" s="315">
        <f t="shared" si="4"/>
        <v>0</v>
      </c>
      <c r="J39" s="315">
        <f t="shared" ref="J39:K39" si="5">SUM(J34:J38)</f>
        <v>0</v>
      </c>
      <c r="K39" s="315">
        <f t="shared" si="5"/>
        <v>1900000</v>
      </c>
      <c r="L39" s="324"/>
      <c r="M39" s="325"/>
      <c r="N39" s="315">
        <f t="shared" ref="N39" si="6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>Self-occupation</v>
      </c>
      <c r="G40" s="14"/>
      <c r="H40" s="14"/>
      <c r="I40" s="168" t="s">
        <v>57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48" t="s">
        <v>58</v>
      </c>
      <c r="B43" s="348"/>
      <c r="C43" s="348"/>
      <c r="D43" s="348"/>
      <c r="E43" s="348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49" t="s">
        <v>59</v>
      </c>
      <c r="E44" s="349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38" t="s">
        <v>60</v>
      </c>
      <c r="B45" s="338"/>
      <c r="C45" s="338"/>
      <c r="D45" s="2" t="str">
        <f>PrimeConsolidated!C7</f>
        <v>FY 2022-23</v>
      </c>
      <c r="E45" s="2" t="str">
        <f>PrimeConsolidated!D7</f>
        <v>FY 2021-22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50" t="s">
        <v>61</v>
      </c>
      <c r="B46" s="350"/>
      <c r="C46" s="350"/>
      <c r="D46" s="310"/>
      <c r="E46" s="310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50" t="s">
        <v>62</v>
      </c>
      <c r="B47" s="350"/>
      <c r="C47" s="350"/>
      <c r="D47" s="310"/>
      <c r="E47" s="310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50" t="s">
        <v>63</v>
      </c>
      <c r="B48" s="350"/>
      <c r="C48" s="350"/>
      <c r="D48" s="310"/>
      <c r="E48" s="310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50" t="s">
        <v>64</v>
      </c>
      <c r="B49" s="350"/>
      <c r="C49" s="350"/>
      <c r="D49" s="310"/>
      <c r="E49" s="352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51" t="s">
        <v>65</v>
      </c>
      <c r="B50" s="350"/>
      <c r="C50" s="350"/>
      <c r="D50" s="310"/>
      <c r="E50" s="353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50" t="s">
        <v>66</v>
      </c>
      <c r="B51" s="350"/>
      <c r="C51" s="350"/>
      <c r="D51" s="310"/>
      <c r="E51" s="353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50" t="s">
        <v>67</v>
      </c>
      <c r="B52" s="350"/>
      <c r="C52" s="350"/>
      <c r="D52" s="310"/>
      <c r="E52" s="353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50" t="s">
        <v>68</v>
      </c>
      <c r="B53" s="350"/>
      <c r="C53" s="350"/>
      <c r="D53" s="310"/>
      <c r="E53" s="353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50" t="s">
        <v>69</v>
      </c>
      <c r="B54" s="350"/>
      <c r="C54" s="350"/>
      <c r="D54" s="192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E49:E53"/>
    <mergeCell ref="G5:G6"/>
    <mergeCell ref="H5:H6"/>
    <mergeCell ref="I5:I6"/>
    <mergeCell ref="J5:J6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O35:U35"/>
    <mergeCell ref="O36:U36"/>
    <mergeCell ref="O37:U37"/>
    <mergeCell ref="O38:U38"/>
    <mergeCell ref="A39:F39"/>
    <mergeCell ref="A20:G20"/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7000000}">
      <formula1>1</formula1>
      <formula2>K22</formula2>
    </dataValidation>
    <dataValidation type="list" allowBlank="1" showInputMessage="1" showErrorMessage="1" sqref="G34:G38 I7:J16" xr:uid="{00000000-0002-0000-0000-000009000000}">
      <formula1>"Y,N"</formula1>
    </dataValidation>
  </dataValidations>
  <pageMargins left="0.69930555555555596" right="0.69930555555555596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3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4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8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82" customWidth="1"/>
    <col min="2" max="3" width="12.28515625" style="283" customWidth="1"/>
    <col min="4" max="4" width="20.7109375" style="283" customWidth="1"/>
    <col min="5" max="5" width="14.140625" style="283" customWidth="1"/>
    <col min="6" max="6" width="20.7109375" style="283" customWidth="1"/>
    <col min="7" max="7" width="1.140625" style="280" hidden="1" customWidth="1"/>
    <col min="8" max="35" width="9.140625" style="280" hidden="1" customWidth="1"/>
    <col min="36" max="16384" width="9.140625" style="283" hidden="1"/>
  </cols>
  <sheetData>
    <row r="1" spans="1:6" s="280" customFormat="1">
      <c r="A1" s="354" t="s">
        <v>70</v>
      </c>
      <c r="B1" s="354"/>
      <c r="C1" s="354"/>
      <c r="D1" s="354"/>
      <c r="E1" s="354"/>
      <c r="F1" s="354"/>
    </row>
    <row r="2" spans="1:6" s="280" customFormat="1">
      <c r="A2" s="284" t="s">
        <v>71</v>
      </c>
      <c r="B2" s="355">
        <f>BasicInput!$D$27</f>
        <v>1500000</v>
      </c>
      <c r="C2" s="355"/>
      <c r="D2" s="355"/>
      <c r="E2" s="355"/>
      <c r="F2" s="355"/>
    </row>
    <row r="3" spans="1:6" s="280" customFormat="1">
      <c r="A3" s="284" t="s">
        <v>72</v>
      </c>
      <c r="B3" s="356">
        <f>BasicInput!$F$27</f>
        <v>0.105</v>
      </c>
      <c r="C3" s="356"/>
      <c r="D3" s="357"/>
      <c r="E3" s="357"/>
      <c r="F3" s="357"/>
    </row>
    <row r="4" spans="1:6" s="280" customFormat="1">
      <c r="A4" s="284" t="s">
        <v>73</v>
      </c>
      <c r="B4" s="358">
        <f>BasicInput!$E$27</f>
        <v>240</v>
      </c>
      <c r="C4" s="357"/>
      <c r="D4" s="357"/>
      <c r="E4" s="357"/>
      <c r="F4" s="357"/>
    </row>
    <row r="5" spans="1:6" s="280" customFormat="1">
      <c r="A5" s="284" t="s">
        <v>74</v>
      </c>
      <c r="B5" s="358">
        <f>BasicInput!$G$27</f>
        <v>14976</v>
      </c>
      <c r="C5" s="358"/>
      <c r="D5" s="358"/>
      <c r="E5" s="358"/>
      <c r="F5" s="358"/>
    </row>
    <row r="6" spans="1:6" s="280" customFormat="1">
      <c r="A6" s="126"/>
      <c r="B6" s="359"/>
      <c r="C6" s="360"/>
      <c r="D6" s="360"/>
      <c r="E6" s="360"/>
      <c r="F6" s="361"/>
    </row>
    <row r="7" spans="1:6" s="280" customFormat="1">
      <c r="A7" s="284" t="s">
        <v>75</v>
      </c>
      <c r="B7" s="362" t="s">
        <v>32</v>
      </c>
      <c r="C7" s="362"/>
      <c r="D7" s="362"/>
      <c r="E7" s="362"/>
      <c r="F7" s="362"/>
    </row>
    <row r="8" spans="1:6" s="280" customFormat="1">
      <c r="A8" s="285" t="s">
        <v>76</v>
      </c>
      <c r="B8" s="363" t="s">
        <v>77</v>
      </c>
      <c r="C8" s="363"/>
      <c r="D8" s="363"/>
      <c r="E8" s="363"/>
      <c r="F8" s="363"/>
    </row>
    <row r="9" spans="1:6" s="280" customFormat="1">
      <c r="A9" s="126" t="s">
        <v>78</v>
      </c>
      <c r="B9" s="355">
        <f>BasicInput!$I$39</f>
        <v>0</v>
      </c>
      <c r="C9" s="355"/>
      <c r="D9" s="355"/>
      <c r="E9" s="355"/>
      <c r="F9" s="355"/>
    </row>
    <row r="10" spans="1:6" s="280" customFormat="1">
      <c r="A10" s="126" t="s">
        <v>79</v>
      </c>
      <c r="B10" s="355">
        <f>BasicInput!$J$39</f>
        <v>0</v>
      </c>
      <c r="C10" s="355"/>
      <c r="D10" s="355"/>
      <c r="E10" s="355"/>
      <c r="F10" s="355"/>
    </row>
    <row r="11" spans="1:6" s="280" customFormat="1">
      <c r="A11" s="128" t="s">
        <v>80</v>
      </c>
      <c r="B11" s="364">
        <f>IF($B$2&lt;5000000,$B$9,MIN($B$9,$B$10))</f>
        <v>0</v>
      </c>
      <c r="C11" s="364"/>
      <c r="D11" s="364"/>
      <c r="E11" s="364"/>
      <c r="F11" s="364"/>
    </row>
    <row r="12" spans="1:6" s="280" customFormat="1">
      <c r="A12" s="126"/>
      <c r="B12" s="359"/>
      <c r="C12" s="360"/>
      <c r="D12" s="360"/>
      <c r="E12" s="360"/>
      <c r="F12" s="361"/>
    </row>
    <row r="13" spans="1:6" s="280" customFormat="1">
      <c r="A13" s="285" t="s">
        <v>81</v>
      </c>
      <c r="B13" s="363" t="s">
        <v>77</v>
      </c>
      <c r="C13" s="363"/>
      <c r="D13" s="363"/>
      <c r="E13" s="363"/>
      <c r="F13" s="363"/>
    </row>
    <row r="14" spans="1:6" s="280" customFormat="1" ht="25.5">
      <c r="A14" s="126" t="s">
        <v>82</v>
      </c>
      <c r="B14" s="355">
        <f>'ExistingLoans&amp;Facilities&amp;RTR'!$N$103</f>
        <v>0</v>
      </c>
      <c r="C14" s="355"/>
      <c r="D14" s="355"/>
      <c r="E14" s="355"/>
      <c r="F14" s="355"/>
    </row>
    <row r="15" spans="1:6" s="280" customFormat="1">
      <c r="A15" s="126" t="s">
        <v>83</v>
      </c>
      <c r="B15" s="355">
        <f>'ExistingLoans&amp;Facilities&amp;RTR'!$N$105</f>
        <v>0</v>
      </c>
      <c r="C15" s="355"/>
      <c r="D15" s="355"/>
      <c r="E15" s="355"/>
      <c r="F15" s="355"/>
    </row>
    <row r="16" spans="1:6">
      <c r="A16" s="126"/>
      <c r="B16" s="359"/>
      <c r="C16" s="360"/>
      <c r="D16" s="360"/>
      <c r="E16" s="360"/>
      <c r="F16" s="361"/>
    </row>
    <row r="17" spans="1:35">
      <c r="A17" s="365" t="s">
        <v>84</v>
      </c>
      <c r="B17" s="365"/>
      <c r="C17" s="365"/>
      <c r="D17" s="365"/>
      <c r="E17" s="365"/>
      <c r="F17" s="365"/>
    </row>
    <row r="18" spans="1:35" s="281" customFormat="1">
      <c r="A18" s="287" t="s">
        <v>85</v>
      </c>
      <c r="B18" s="288" t="s">
        <v>86</v>
      </c>
      <c r="C18" s="288" t="s">
        <v>87</v>
      </c>
      <c r="D18" s="288" t="s">
        <v>88</v>
      </c>
      <c r="E18" s="288" t="s">
        <v>89</v>
      </c>
      <c r="F18" s="288" t="s">
        <v>90</v>
      </c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</row>
    <row r="19" spans="1:35">
      <c r="A19" s="366" t="s">
        <v>91</v>
      </c>
      <c r="B19" s="366"/>
      <c r="C19" s="366"/>
      <c r="D19" s="366"/>
      <c r="E19" s="366"/>
      <c r="F19" s="366"/>
    </row>
    <row r="20" spans="1:35">
      <c r="A20" s="290" t="s">
        <v>92</v>
      </c>
      <c r="B20" s="291">
        <v>1</v>
      </c>
      <c r="C20" s="255"/>
      <c r="D20" s="292">
        <f>ApplicantSalary!G8+'Co-app1Salary'!G8+'Co-app2Salary'!G8+'Co-app3Salary'!G8</f>
        <v>0</v>
      </c>
      <c r="E20" s="293" t="s">
        <v>93</v>
      </c>
      <c r="F20" s="125"/>
    </row>
    <row r="21" spans="1:35">
      <c r="A21" s="290" t="s">
        <v>94</v>
      </c>
      <c r="B21" s="291">
        <v>1</v>
      </c>
      <c r="C21" s="255"/>
      <c r="D21" s="292">
        <f>ApplicantSalary!G9+'Co-app1Salary'!G9+'Co-app2Salary'!G9+'Co-app3Salary'!G9</f>
        <v>0</v>
      </c>
      <c r="E21" s="293" t="s">
        <v>93</v>
      </c>
      <c r="F21" s="125"/>
    </row>
    <row r="22" spans="1:35">
      <c r="A22" s="290" t="s">
        <v>95</v>
      </c>
      <c r="B22" s="291">
        <v>1</v>
      </c>
      <c r="C22" s="255"/>
      <c r="D22" s="292">
        <f>ApplicantSalary!G10+'Co-app1Salary'!G10+'Co-app2Salary'!G10+'Co-app3Salary'!G10</f>
        <v>0</v>
      </c>
      <c r="E22" s="293" t="s">
        <v>93</v>
      </c>
      <c r="F22" s="125"/>
    </row>
    <row r="23" spans="1:35">
      <c r="A23" s="290" t="s">
        <v>96</v>
      </c>
      <c r="B23" s="291">
        <v>1</v>
      </c>
      <c r="C23" s="255"/>
      <c r="D23" s="292">
        <f>SUM(ApplicantSalary!$G$11:$G$14)+SUM('Co-app1Salary'!$G$11:$G$14)+SUM('Co-app2Salary'!$G$11:$G$14)+SUM('Co-app3Salary'!$G$11:$G$14)</f>
        <v>0</v>
      </c>
      <c r="E23" s="293" t="s">
        <v>93</v>
      </c>
      <c r="F23" s="125"/>
    </row>
    <row r="24" spans="1:35">
      <c r="A24" s="294" t="s">
        <v>97</v>
      </c>
      <c r="B24" s="291">
        <v>1</v>
      </c>
      <c r="C24" s="255"/>
      <c r="D24" s="295">
        <f>SUM(D20:D23)</f>
        <v>0</v>
      </c>
      <c r="E24" s="293" t="s">
        <v>93</v>
      </c>
      <c r="F24" s="125"/>
    </row>
    <row r="25" spans="1:35">
      <c r="A25" s="290" t="s">
        <v>98</v>
      </c>
      <c r="B25" s="291">
        <v>1</v>
      </c>
      <c r="C25" s="255"/>
      <c r="D25" s="292">
        <f>ApplicantSalary!G22+'Co-app1Salary'!G22+'Co-app2Salary'!G22+'Co-app3Salary'!G22</f>
        <v>0</v>
      </c>
      <c r="E25" s="293" t="s">
        <v>93</v>
      </c>
      <c r="F25" s="125"/>
    </row>
    <row r="26" spans="1:35">
      <c r="A26" s="128" t="s">
        <v>99</v>
      </c>
      <c r="B26" s="296">
        <v>1</v>
      </c>
      <c r="C26" s="297"/>
      <c r="D26" s="286">
        <f>D24-D25</f>
        <v>0</v>
      </c>
      <c r="E26" s="298" t="s">
        <v>93</v>
      </c>
      <c r="F26" s="298">
        <f t="shared" ref="F26:F30" si="0">IF(E26="Monthly",(D26*B26)*12,(D26*B26))</f>
        <v>0</v>
      </c>
    </row>
    <row r="27" spans="1:35">
      <c r="A27" s="366" t="s">
        <v>100</v>
      </c>
      <c r="B27" s="366"/>
      <c r="C27" s="366"/>
      <c r="D27" s="366"/>
      <c r="E27" s="366"/>
      <c r="F27" s="366"/>
    </row>
    <row r="28" spans="1:35">
      <c r="A28" s="126" t="s">
        <v>101</v>
      </c>
      <c r="B28" s="299">
        <v>1</v>
      </c>
      <c r="C28" s="300">
        <f>ApplicantSalary!C27+'Co-app1Salary'!C27+'Co-app2Salary'!C27+'Co-app3Salary'!C27</f>
        <v>0</v>
      </c>
      <c r="D28" s="300">
        <f>ApplicantSalary!B27+'Co-app1Salary'!B27+'Co-app2Salary'!B27+'Co-app3Salary'!B27</f>
        <v>0</v>
      </c>
      <c r="E28" s="301" t="s">
        <v>102</v>
      </c>
      <c r="F28" s="293">
        <f t="shared" si="0"/>
        <v>0</v>
      </c>
    </row>
    <row r="29" spans="1:35">
      <c r="A29" s="126" t="s">
        <v>103</v>
      </c>
      <c r="B29" s="299">
        <v>0.5</v>
      </c>
      <c r="C29" s="300">
        <f>ApplicantSalary!C28+'Co-app1Salary'!C28+'Co-app2Salary'!C28+'Co-app3Salary'!C28</f>
        <v>0</v>
      </c>
      <c r="D29" s="300">
        <f>ApplicantSalary!B28+'Co-app1Salary'!B28+'Co-app2Salary'!B28+'Co-app3Salary'!B28</f>
        <v>0</v>
      </c>
      <c r="E29" s="301" t="s">
        <v>102</v>
      </c>
      <c r="F29" s="293">
        <f t="shared" si="0"/>
        <v>0</v>
      </c>
    </row>
    <row r="30" spans="1:35">
      <c r="A30" s="126" t="s">
        <v>104</v>
      </c>
      <c r="B30" s="299">
        <v>1</v>
      </c>
      <c r="C30" s="300">
        <f>ApplicantSalary!C29+'Co-app1Salary'!C29+'Co-app2Salary'!C29+'Co-app3Salary'!C29</f>
        <v>0</v>
      </c>
      <c r="D30" s="300">
        <f>ApplicantSalary!B29+'Co-app1Salary'!B29+'Co-app2Salary'!B29+'Co-app3Salary'!B29</f>
        <v>0</v>
      </c>
      <c r="E30" s="301" t="s">
        <v>102</v>
      </c>
      <c r="F30" s="293">
        <f t="shared" si="0"/>
        <v>0</v>
      </c>
    </row>
    <row r="31" spans="1:35">
      <c r="A31" s="366" t="s">
        <v>105</v>
      </c>
      <c r="B31" s="366"/>
      <c r="C31" s="366"/>
      <c r="D31" s="366"/>
      <c r="E31" s="366"/>
      <c r="F31" s="366"/>
    </row>
    <row r="32" spans="1:35" ht="25.5">
      <c r="A32" s="126" t="s">
        <v>106</v>
      </c>
      <c r="B32" s="299">
        <v>1</v>
      </c>
      <c r="C32" s="297"/>
      <c r="D32" s="300"/>
      <c r="E32" s="293" t="s">
        <v>93</v>
      </c>
      <c r="F32" s="293"/>
    </row>
    <row r="33" spans="1:6" ht="25.5">
      <c r="A33" s="327" t="s">
        <v>107</v>
      </c>
      <c r="B33" s="299">
        <v>1</v>
      </c>
      <c r="C33" s="297"/>
      <c r="D33" s="300"/>
      <c r="E33" s="293" t="s">
        <v>93</v>
      </c>
      <c r="F33" s="293"/>
    </row>
    <row r="34" spans="1:6">
      <c r="A34" s="126" t="s">
        <v>108</v>
      </c>
      <c r="B34" s="297"/>
      <c r="C34" s="297"/>
      <c r="D34" s="300"/>
      <c r="E34" s="297"/>
      <c r="F34" s="297"/>
    </row>
    <row r="35" spans="1:6">
      <c r="A35" s="366" t="s">
        <v>109</v>
      </c>
      <c r="B35" s="366"/>
      <c r="C35" s="366"/>
      <c r="D35" s="366"/>
      <c r="E35" s="366"/>
      <c r="F35" s="366"/>
    </row>
    <row r="36" spans="1:6" s="280" customFormat="1">
      <c r="A36" s="126" t="s">
        <v>110</v>
      </c>
      <c r="B36" s="299">
        <v>0.5</v>
      </c>
      <c r="C36" s="302"/>
      <c r="D36" s="301">
        <f>BasicInput!D49</f>
        <v>0</v>
      </c>
      <c r="E36" s="301" t="s">
        <v>102</v>
      </c>
      <c r="F36" s="293">
        <f>IF(E36="Monthly",(IF(C36=0,D36*B36*12,AVERAGE(C36*B36,D36*B36)*12)),IF(C36=0,D36*B36,(AVERAGE(C36*B36,D36*B36))))</f>
        <v>0</v>
      </c>
    </row>
    <row r="37" spans="1:6" s="280" customFormat="1">
      <c r="A37" s="126" t="s">
        <v>111</v>
      </c>
      <c r="B37" s="299">
        <v>0.5</v>
      </c>
      <c r="C37" s="301"/>
      <c r="D37" s="301"/>
      <c r="E37" s="301" t="s">
        <v>102</v>
      </c>
      <c r="F37" s="293">
        <f>IF(E37="Monthly",(IF(C37=0,D37*B37*12,AVERAGE(C37*B37,D37*B37)*12)),IF(C37=0,D37*B37,(AVERAGE(C37*B37,D37*B37))))</f>
        <v>0</v>
      </c>
    </row>
    <row r="38" spans="1:6" s="280" customFormat="1">
      <c r="A38" s="126" t="s">
        <v>112</v>
      </c>
      <c r="B38" s="299">
        <v>0.5</v>
      </c>
      <c r="C38" s="301"/>
      <c r="D38" s="301">
        <f>BasicInput!D50</f>
        <v>0</v>
      </c>
      <c r="E38" s="301" t="s">
        <v>102</v>
      </c>
      <c r="F38" s="293">
        <f t="shared" ref="F38:F40" si="1">IF(E38="Monthly",AVERAGE(C38*B38,D38*B38)*12,AVERAGE(C38*B38,D38*B38))</f>
        <v>0</v>
      </c>
    </row>
    <row r="39" spans="1:6" s="280" customFormat="1">
      <c r="A39" s="126" t="s">
        <v>113</v>
      </c>
      <c r="B39" s="299">
        <v>1</v>
      </c>
      <c r="C39" s="301"/>
      <c r="D39" s="301">
        <f>BasicInput!D51</f>
        <v>0</v>
      </c>
      <c r="E39" s="301" t="s">
        <v>102</v>
      </c>
      <c r="F39" s="293">
        <f t="shared" si="1"/>
        <v>0</v>
      </c>
    </row>
    <row r="40" spans="1:6" s="280" customFormat="1">
      <c r="A40" s="126" t="s">
        <v>109</v>
      </c>
      <c r="B40" s="299">
        <v>1</v>
      </c>
      <c r="C40" s="301"/>
      <c r="D40" s="301">
        <f>BasicInput!D52</f>
        <v>0</v>
      </c>
      <c r="E40" s="301" t="s">
        <v>102</v>
      </c>
      <c r="F40" s="293">
        <f t="shared" si="1"/>
        <v>0</v>
      </c>
    </row>
    <row r="41" spans="1:6" s="280" customFormat="1">
      <c r="A41" s="367" t="s">
        <v>114</v>
      </c>
      <c r="B41" s="367"/>
      <c r="C41" s="367"/>
      <c r="D41" s="367"/>
      <c r="E41" s="367"/>
      <c r="F41" s="367"/>
    </row>
    <row r="42" spans="1:6" s="280" customFormat="1" ht="12.75" customHeight="1">
      <c r="A42" s="368" t="s">
        <v>115</v>
      </c>
      <c r="B42" s="369"/>
      <c r="C42" s="369"/>
      <c r="D42" s="369"/>
      <c r="E42" s="369"/>
      <c r="F42" s="370"/>
    </row>
    <row r="43" spans="1:6" s="280" customFormat="1">
      <c r="A43" s="126" t="s">
        <v>116</v>
      </c>
      <c r="B43" s="303">
        <v>1</v>
      </c>
      <c r="C43" s="301"/>
      <c r="D43" s="301">
        <f>BasicInput!D53</f>
        <v>0</v>
      </c>
      <c r="E43" s="301" t="s">
        <v>102</v>
      </c>
      <c r="F43" s="293">
        <f>IF(E43="Monthly",(D43*B43)*12,(D43*B43))</f>
        <v>0</v>
      </c>
    </row>
    <row r="44" spans="1:6" s="280" customFormat="1">
      <c r="A44" s="126" t="s">
        <v>117</v>
      </c>
      <c r="B44" s="303">
        <v>1</v>
      </c>
      <c r="C44" s="301"/>
      <c r="D44" s="301"/>
      <c r="E44" s="301" t="s">
        <v>102</v>
      </c>
      <c r="F44" s="293">
        <f t="shared" ref="F44" si="2">IF(E44="Monthly",AVERAGE(C44*B44,D44*B44)*12,AVERAGE(C44*B44,D44*B44))</f>
        <v>0</v>
      </c>
    </row>
    <row r="45" spans="1:6" s="280" customFormat="1">
      <c r="A45" s="366" t="s">
        <v>118</v>
      </c>
      <c r="B45" s="366"/>
      <c r="C45" s="366"/>
      <c r="D45" s="366"/>
      <c r="E45" s="366"/>
      <c r="F45" s="298">
        <f>IF(SUM(F36:F40)&lt;F26,SUM(F26,F28:F30,F36:F40,F43:F44),SUM(F26,F28:F30,F26,F43:F44))</f>
        <v>0</v>
      </c>
    </row>
    <row r="46" spans="1:6" s="280" customFormat="1">
      <c r="A46" s="371" t="s">
        <v>119</v>
      </c>
      <c r="B46" s="371"/>
      <c r="C46" s="371"/>
      <c r="D46" s="371"/>
      <c r="E46" s="371"/>
      <c r="F46" s="371"/>
    </row>
    <row r="47" spans="1:6" s="280" customFormat="1">
      <c r="A47" s="126"/>
      <c r="B47" s="359"/>
      <c r="C47" s="360"/>
      <c r="D47" s="360"/>
      <c r="E47" s="360"/>
      <c r="F47" s="361"/>
    </row>
    <row r="48" spans="1:6" s="280" customFormat="1">
      <c r="A48" s="365" t="s">
        <v>120</v>
      </c>
      <c r="B48" s="365"/>
      <c r="C48" s="365"/>
      <c r="D48" s="365"/>
      <c r="E48" s="365"/>
      <c r="F48" s="365"/>
    </row>
    <row r="49" spans="1:10" s="280" customFormat="1" ht="2.25" customHeight="1">
      <c r="A49" s="372"/>
      <c r="B49" s="372"/>
      <c r="C49" s="372"/>
      <c r="D49" s="372"/>
      <c r="E49" s="372"/>
      <c r="F49" s="372"/>
    </row>
    <row r="50" spans="1:10" s="280" customFormat="1">
      <c r="A50" s="126" t="s">
        <v>121</v>
      </c>
      <c r="B50" s="373">
        <f>F45/12</f>
        <v>0</v>
      </c>
      <c r="C50" s="374"/>
      <c r="D50" s="374"/>
      <c r="E50" s="374"/>
      <c r="F50" s="374"/>
    </row>
    <row r="51" spans="1:10" s="280" customFormat="1">
      <c r="A51" s="126" t="s">
        <v>122</v>
      </c>
      <c r="B51" s="375">
        <f>IF(F45&gt;2400000,75%,IF(F45&gt;1200000,70%,IF(F45&gt;500000,65%,60%)))</f>
        <v>0.6</v>
      </c>
      <c r="C51" s="375"/>
      <c r="D51" s="375"/>
      <c r="E51" s="375"/>
      <c r="F51" s="375"/>
      <c r="J51" s="305"/>
    </row>
    <row r="52" spans="1:10" s="280" customFormat="1" ht="25.5">
      <c r="A52" s="126" t="s">
        <v>123</v>
      </c>
      <c r="B52" s="374">
        <f>B14</f>
        <v>0</v>
      </c>
      <c r="C52" s="374"/>
      <c r="D52" s="374"/>
      <c r="E52" s="374"/>
      <c r="F52" s="374"/>
      <c r="J52" s="305"/>
    </row>
    <row r="53" spans="1:10" s="280" customFormat="1">
      <c r="A53" s="126" t="s">
        <v>124</v>
      </c>
      <c r="B53" s="374">
        <f>(B50*B51)-B52</f>
        <v>0</v>
      </c>
      <c r="C53" s="374"/>
      <c r="D53" s="374"/>
      <c r="E53" s="374"/>
      <c r="F53" s="374"/>
    </row>
    <row r="54" spans="1:10" s="280" customFormat="1" ht="25.5">
      <c r="A54" s="304" t="s">
        <v>125</v>
      </c>
      <c r="B54" s="376" t="str">
        <f>IF((B53+D32-D33)&lt;=0,"Case Not Eligible",((B53/(PMT(B3/12,B4,-100000)))+(((D32*50%)-D33)/PMT(B3/12,IF(OR(D32="",D32=0),B4,D34),-100000)))*100000)</f>
        <v>Case Not Eligible</v>
      </c>
      <c r="C54" s="376"/>
      <c r="D54" s="376"/>
      <c r="E54" s="376"/>
      <c r="F54" s="376"/>
    </row>
    <row r="55" spans="1:10" s="280" customFormat="1" ht="2.25" customHeight="1">
      <c r="A55" s="372"/>
      <c r="B55" s="372"/>
      <c r="C55" s="372"/>
      <c r="D55" s="372"/>
      <c r="E55" s="372"/>
      <c r="F55" s="372"/>
    </row>
    <row r="56" spans="1:10" s="280" customFormat="1">
      <c r="A56" s="126" t="s">
        <v>126</v>
      </c>
      <c r="B56" s="377">
        <f>B11</f>
        <v>0</v>
      </c>
      <c r="C56" s="377"/>
      <c r="D56" s="377"/>
      <c r="E56" s="377"/>
      <c r="F56" s="377"/>
    </row>
    <row r="57" spans="1:10" s="280" customFormat="1">
      <c r="A57" s="126" t="s">
        <v>127</v>
      </c>
      <c r="B57" s="375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75"/>
      <c r="D57" s="375"/>
      <c r="E57" s="375"/>
      <c r="F57" s="375"/>
    </row>
    <row r="58" spans="1:10" s="280" customFormat="1">
      <c r="A58" s="304" t="s">
        <v>128</v>
      </c>
      <c r="B58" s="376">
        <f>B56*B57</f>
        <v>0</v>
      </c>
      <c r="C58" s="376"/>
      <c r="D58" s="376"/>
      <c r="E58" s="376"/>
      <c r="F58" s="376"/>
    </row>
    <row r="59" spans="1:10" s="280" customFormat="1" ht="2.25" customHeight="1">
      <c r="A59" s="372"/>
      <c r="B59" s="372"/>
      <c r="C59" s="372"/>
      <c r="D59" s="372"/>
      <c r="E59" s="372"/>
      <c r="F59" s="372"/>
    </row>
    <row r="60" spans="1:10" s="280" customFormat="1">
      <c r="A60" s="304" t="s">
        <v>129</v>
      </c>
      <c r="B60" s="376" t="str">
        <f>IF(B54="Case Not Eligible","Case Not Eligible",IF(B58=0,MIN(B54,B2),MIN(B54,B58,B2)))</f>
        <v>Case Not Eligible</v>
      </c>
      <c r="C60" s="376"/>
      <c r="D60" s="376"/>
      <c r="E60" s="376"/>
      <c r="F60" s="376"/>
    </row>
    <row r="61" spans="1:10" s="280" customFormat="1">
      <c r="A61" s="126" t="s">
        <v>130</v>
      </c>
      <c r="B61" s="377" t="str">
        <f>IF(B60="Case Not Eligible","Case Not Eligible",PMT(B3/12,B4,-B60))</f>
        <v>Case Not Eligible</v>
      </c>
      <c r="C61" s="377"/>
      <c r="D61" s="377"/>
      <c r="E61" s="377"/>
      <c r="F61" s="377"/>
    </row>
    <row r="62" spans="1:10" s="280" customFormat="1" ht="2.25" customHeight="1">
      <c r="A62" s="372"/>
      <c r="B62" s="372"/>
      <c r="C62" s="372"/>
      <c r="D62" s="372"/>
      <c r="E62" s="372"/>
      <c r="F62" s="372"/>
    </row>
    <row r="63" spans="1:10" s="280" customFormat="1">
      <c r="A63" s="126" t="s">
        <v>131</v>
      </c>
      <c r="B63" s="375">
        <f>IFERROR(SUM(PMT(B3/12,B4,-B2),B52)/B50,0)</f>
        <v>0</v>
      </c>
      <c r="C63" s="375"/>
      <c r="D63" s="375"/>
      <c r="E63" s="375"/>
      <c r="F63" s="375"/>
    </row>
    <row r="64" spans="1:10" s="280" customFormat="1">
      <c r="A64" s="126" t="s">
        <v>132</v>
      </c>
      <c r="B64" s="375">
        <f>IFERROR(B2/B56,0)</f>
        <v>0</v>
      </c>
      <c r="C64" s="375"/>
      <c r="D64" s="375"/>
      <c r="E64" s="375"/>
      <c r="F64" s="375"/>
    </row>
    <row r="65" spans="1:6" s="280" customFormat="1" ht="9.75" customHeight="1">
      <c r="A65" s="126"/>
      <c r="B65" s="378"/>
      <c r="C65" s="379"/>
      <c r="D65" s="379"/>
      <c r="E65" s="379"/>
      <c r="F65" s="380"/>
    </row>
    <row r="66" spans="1:6" s="280" customFormat="1">
      <c r="A66" s="306" t="s">
        <v>133</v>
      </c>
      <c r="B66" s="381" t="str">
        <f>IF(B63-B51&gt;0%,"Deviation Approval Required","Within Policy Norms")</f>
        <v>Within Policy Norms</v>
      </c>
      <c r="C66" s="381"/>
      <c r="D66" s="381"/>
      <c r="E66" s="381"/>
      <c r="F66" s="381"/>
    </row>
    <row r="67" spans="1:6" s="280" customFormat="1">
      <c r="A67" s="306" t="s">
        <v>134</v>
      </c>
      <c r="B67" s="381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81"/>
      <c r="D67" s="381"/>
      <c r="E67" s="381"/>
      <c r="F67" s="381"/>
    </row>
    <row r="68" spans="1:6" s="280" customFormat="1">
      <c r="A68" s="307"/>
      <c r="B68" s="308"/>
      <c r="C68" s="308"/>
      <c r="D68" s="308"/>
      <c r="E68" s="308"/>
      <c r="F68" s="308"/>
    </row>
    <row r="69" spans="1:6" s="280" customFormat="1">
      <c r="A69" s="307"/>
      <c r="B69" s="308"/>
      <c r="C69" s="308"/>
      <c r="D69" s="308"/>
      <c r="E69" s="308"/>
      <c r="F69" s="308"/>
    </row>
    <row r="70" spans="1:6">
      <c r="A70" s="307"/>
      <c r="B70" s="308"/>
      <c r="C70" s="308"/>
      <c r="D70" s="308"/>
      <c r="E70" s="308"/>
      <c r="F70" s="308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B67:F67"/>
    <mergeCell ref="A62:F62"/>
    <mergeCell ref="B63:F63"/>
    <mergeCell ref="B64:F64"/>
    <mergeCell ref="B65:F65"/>
    <mergeCell ref="B66:F66"/>
    <mergeCell ref="B57:F57"/>
    <mergeCell ref="B58:F58"/>
    <mergeCell ref="A59:F59"/>
    <mergeCell ref="B60:F60"/>
    <mergeCell ref="B61:F61"/>
    <mergeCell ref="B52:F52"/>
    <mergeCell ref="B53:F53"/>
    <mergeCell ref="B54:F54"/>
    <mergeCell ref="A55:F55"/>
    <mergeCell ref="B56:F56"/>
    <mergeCell ref="B47:F47"/>
    <mergeCell ref="A48:F48"/>
    <mergeCell ref="A49:F49"/>
    <mergeCell ref="B50:F50"/>
    <mergeCell ref="B51:F51"/>
    <mergeCell ref="A35:F35"/>
    <mergeCell ref="A41:F41"/>
    <mergeCell ref="A42:F42"/>
    <mergeCell ref="A45:E45"/>
    <mergeCell ref="A46:F46"/>
    <mergeCell ref="B16:F16"/>
    <mergeCell ref="A17:F17"/>
    <mergeCell ref="A19:F19"/>
    <mergeCell ref="A27:F27"/>
    <mergeCell ref="A31:F31"/>
    <mergeCell ref="B11:F11"/>
    <mergeCell ref="B12:F12"/>
    <mergeCell ref="B13:F13"/>
    <mergeCell ref="B14:F14"/>
    <mergeCell ref="B15:F15"/>
    <mergeCell ref="B6:F6"/>
    <mergeCell ref="B7:F7"/>
    <mergeCell ref="B8:F8"/>
    <mergeCell ref="B9:F9"/>
    <mergeCell ref="B10:F10"/>
    <mergeCell ref="A1:F1"/>
    <mergeCell ref="B2:F2"/>
    <mergeCell ref="B3:F3"/>
    <mergeCell ref="B4:F4"/>
    <mergeCell ref="B5:F5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whole" allowBlank="1" showInputMessage="1" showErrorMessage="1" sqref="D34" xr:uid="{00000000-0002-0000-0100-000001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2000000}">
      <formula1>1</formula1>
    </dataValidation>
    <dataValidation type="list" allowBlank="1" showInputMessage="1" showErrorMessage="1" sqref="E28:E30 E36:E40 E43:E44" xr:uid="{00000000-0002-0000-0100-000003000000}">
      <formula1>"Monthly,Annual"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D42" sqref="D42:E42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68" t="s">
        <v>135</v>
      </c>
      <c r="B1" s="382"/>
      <c r="C1" s="382"/>
      <c r="D1" s="382"/>
    </row>
    <row r="2" spans="1:7">
      <c r="A2" s="168" t="s">
        <v>136</v>
      </c>
      <c r="B2" s="382"/>
      <c r="C2" s="382"/>
      <c r="D2" s="382"/>
    </row>
    <row r="3" spans="1:7">
      <c r="A3" s="168" t="s">
        <v>137</v>
      </c>
      <c r="B3" s="382"/>
      <c r="C3" s="382"/>
      <c r="D3" s="382"/>
    </row>
    <row r="4" spans="1:7">
      <c r="A4" s="168" t="s">
        <v>138</v>
      </c>
      <c r="B4" s="263"/>
      <c r="C4" s="168" t="s">
        <v>139</v>
      </c>
      <c r="D4" s="181"/>
    </row>
    <row r="6" spans="1:7">
      <c r="B6" s="383" t="s">
        <v>140</v>
      </c>
      <c r="C6" s="383"/>
      <c r="D6" s="383"/>
      <c r="E6" s="383"/>
    </row>
    <row r="7" spans="1:7" ht="25.5">
      <c r="A7" s="2" t="s">
        <v>141</v>
      </c>
      <c r="B7" s="279">
        <v>45200</v>
      </c>
      <c r="C7" s="279">
        <v>45231</v>
      </c>
      <c r="D7" s="279">
        <v>45261</v>
      </c>
      <c r="E7" s="2" t="s">
        <v>142</v>
      </c>
      <c r="F7" s="2" t="s">
        <v>143</v>
      </c>
      <c r="G7" s="2" t="s">
        <v>144</v>
      </c>
    </row>
    <row r="8" spans="1:7">
      <c r="A8" s="3" t="s">
        <v>92</v>
      </c>
      <c r="B8" s="193"/>
      <c r="C8" s="193"/>
      <c r="D8" s="193"/>
      <c r="E8" s="193"/>
      <c r="F8" s="268"/>
      <c r="G8" s="264">
        <f>E8*F8</f>
        <v>0</v>
      </c>
    </row>
    <row r="9" spans="1:7">
      <c r="A9" s="3" t="s">
        <v>94</v>
      </c>
      <c r="B9" s="193"/>
      <c r="C9" s="193"/>
      <c r="D9" s="193"/>
      <c r="E9" s="193"/>
      <c r="F9" s="268"/>
      <c r="G9" s="264">
        <f t="shared" ref="G9:G14" si="0">E9*F9</f>
        <v>0</v>
      </c>
    </row>
    <row r="10" spans="1:7">
      <c r="A10" s="3" t="s">
        <v>95</v>
      </c>
      <c r="B10" s="193"/>
      <c r="C10" s="193"/>
      <c r="D10" s="193"/>
      <c r="E10" s="193"/>
      <c r="F10" s="268"/>
      <c r="G10" s="264">
        <f t="shared" si="0"/>
        <v>0</v>
      </c>
    </row>
    <row r="11" spans="1:7">
      <c r="A11" s="3" t="s">
        <v>96</v>
      </c>
      <c r="B11" s="193"/>
      <c r="C11" s="193"/>
      <c r="D11" s="193"/>
      <c r="E11" s="193"/>
      <c r="F11" s="268"/>
      <c r="G11" s="264">
        <f t="shared" si="0"/>
        <v>0</v>
      </c>
    </row>
    <row r="12" spans="1:7">
      <c r="A12" s="3" t="s">
        <v>145</v>
      </c>
      <c r="B12" s="193"/>
      <c r="C12" s="193"/>
      <c r="D12" s="193"/>
      <c r="E12" s="193"/>
      <c r="F12" s="268"/>
      <c r="G12" s="264">
        <f t="shared" si="0"/>
        <v>0</v>
      </c>
    </row>
    <row r="13" spans="1:7">
      <c r="A13" s="3" t="s">
        <v>146</v>
      </c>
      <c r="B13" s="193"/>
      <c r="C13" s="193"/>
      <c r="D13" s="193"/>
      <c r="E13" s="193"/>
      <c r="F13" s="268"/>
      <c r="G13" s="264">
        <f t="shared" si="0"/>
        <v>0</v>
      </c>
    </row>
    <row r="14" spans="1:7">
      <c r="A14" s="3" t="s">
        <v>147</v>
      </c>
      <c r="B14" s="193"/>
      <c r="C14" s="193"/>
      <c r="D14" s="193"/>
      <c r="E14" s="193"/>
      <c r="F14" s="268"/>
      <c r="G14" s="264">
        <f t="shared" si="0"/>
        <v>0</v>
      </c>
    </row>
    <row r="15" spans="1:7">
      <c r="A15" s="140" t="s">
        <v>97</v>
      </c>
      <c r="B15" s="194">
        <f>SUM(B8:B14)</f>
        <v>0</v>
      </c>
      <c r="C15" s="194">
        <f t="shared" ref="C15:G15" si="1">SUM(C8:C14)</f>
        <v>0</v>
      </c>
      <c r="D15" s="194">
        <f t="shared" si="1"/>
        <v>0</v>
      </c>
      <c r="E15" s="194">
        <f t="shared" si="1"/>
        <v>0</v>
      </c>
      <c r="F15" s="269"/>
      <c r="G15" s="194">
        <f t="shared" si="1"/>
        <v>0</v>
      </c>
    </row>
    <row r="16" spans="1:7">
      <c r="A16" s="168" t="s">
        <v>148</v>
      </c>
      <c r="B16" s="264"/>
      <c r="C16" s="264"/>
      <c r="D16" s="264"/>
      <c r="E16" s="264"/>
      <c r="F16" s="270"/>
      <c r="G16" s="264"/>
    </row>
    <row r="17" spans="1:7">
      <c r="A17" s="326" t="s">
        <v>149</v>
      </c>
      <c r="B17" s="193"/>
      <c r="C17" s="193"/>
      <c r="D17" s="193"/>
      <c r="E17" s="193"/>
      <c r="F17" s="268"/>
      <c r="G17" s="264">
        <f t="shared" ref="G17:G21" si="2">E17*F17</f>
        <v>0</v>
      </c>
    </row>
    <row r="18" spans="1:7">
      <c r="A18" s="326" t="s">
        <v>150</v>
      </c>
      <c r="B18" s="193"/>
      <c r="C18" s="193"/>
      <c r="D18" s="193"/>
      <c r="E18" s="193"/>
      <c r="F18" s="268"/>
      <c r="G18" s="264">
        <f t="shared" si="2"/>
        <v>0</v>
      </c>
    </row>
    <row r="19" spans="1:7">
      <c r="A19" s="326" t="s">
        <v>151</v>
      </c>
      <c r="B19" s="193"/>
      <c r="C19" s="193"/>
      <c r="D19" s="193"/>
      <c r="E19" s="193"/>
      <c r="F19" s="268"/>
      <c r="G19" s="264">
        <f t="shared" si="2"/>
        <v>0</v>
      </c>
    </row>
    <row r="20" spans="1:7">
      <c r="A20" s="326" t="s">
        <v>152</v>
      </c>
      <c r="B20" s="193"/>
      <c r="C20" s="193"/>
      <c r="D20" s="193"/>
      <c r="E20" s="193"/>
      <c r="F20" s="268"/>
      <c r="G20" s="264">
        <f t="shared" si="2"/>
        <v>0</v>
      </c>
    </row>
    <row r="21" spans="1:7">
      <c r="A21" s="326" t="s">
        <v>153</v>
      </c>
      <c r="B21" s="193"/>
      <c r="C21" s="193"/>
      <c r="D21" s="193"/>
      <c r="E21" s="193"/>
      <c r="F21" s="268"/>
      <c r="G21" s="264">
        <f t="shared" si="2"/>
        <v>0</v>
      </c>
    </row>
    <row r="22" spans="1:7">
      <c r="A22" s="140" t="s">
        <v>154</v>
      </c>
      <c r="B22" s="194">
        <f>SUM(B17:B21)</f>
        <v>0</v>
      </c>
      <c r="C22" s="194">
        <f t="shared" ref="C22:G22" si="3">SUM(C17:C21)</f>
        <v>0</v>
      </c>
      <c r="D22" s="194">
        <f t="shared" si="3"/>
        <v>0</v>
      </c>
      <c r="E22" s="194">
        <f t="shared" si="3"/>
        <v>0</v>
      </c>
      <c r="F22" s="269"/>
      <c r="G22" s="194">
        <f t="shared" si="3"/>
        <v>0</v>
      </c>
    </row>
    <row r="23" spans="1:7">
      <c r="A23" s="145" t="s">
        <v>99</v>
      </c>
      <c r="B23" s="271">
        <f>B15-B22</f>
        <v>0</v>
      </c>
      <c r="C23" s="271">
        <f t="shared" ref="C23:E23" si="4">C15-C22</f>
        <v>0</v>
      </c>
      <c r="D23" s="271">
        <f t="shared" si="4"/>
        <v>0</v>
      </c>
      <c r="E23" s="271">
        <f t="shared" si="4"/>
        <v>0</v>
      </c>
      <c r="F23" s="272"/>
      <c r="G23" s="271">
        <f>G15-G22</f>
        <v>0</v>
      </c>
    </row>
    <row r="24" spans="1:7">
      <c r="A24" s="1"/>
      <c r="B24" s="273"/>
      <c r="C24" s="273"/>
      <c r="D24" s="273"/>
      <c r="E24" s="273"/>
      <c r="F24" s="273"/>
      <c r="G24" s="273"/>
    </row>
    <row r="25" spans="1:7">
      <c r="A25" s="274"/>
      <c r="B25" s="274"/>
      <c r="C25" s="274"/>
      <c r="D25" s="274"/>
      <c r="E25" s="274"/>
      <c r="F25" s="274"/>
      <c r="G25" s="274"/>
    </row>
    <row r="26" spans="1:7" ht="25.5">
      <c r="A26" s="2" t="s">
        <v>155</v>
      </c>
      <c r="B26" s="21" t="s">
        <v>156</v>
      </c>
      <c r="C26" s="21" t="s">
        <v>87</v>
      </c>
      <c r="D26" s="396"/>
      <c r="E26" s="397"/>
      <c r="F26" s="2" t="s">
        <v>143</v>
      </c>
      <c r="G26" s="2" t="s">
        <v>144</v>
      </c>
    </row>
    <row r="27" spans="1:7">
      <c r="A27" s="3" t="s">
        <v>101</v>
      </c>
      <c r="B27" s="193"/>
      <c r="C27" s="193"/>
      <c r="D27" s="398"/>
      <c r="E27" s="399"/>
      <c r="F27" s="268"/>
      <c r="G27" s="264">
        <f>B27*F27</f>
        <v>0</v>
      </c>
    </row>
    <row r="28" spans="1:7">
      <c r="A28" s="3" t="s">
        <v>103</v>
      </c>
      <c r="B28" s="193"/>
      <c r="C28" s="193"/>
      <c r="D28" s="398"/>
      <c r="E28" s="399"/>
      <c r="F28" s="268"/>
      <c r="G28" s="264">
        <f t="shared" ref="G28:G29" si="5">B28*F28</f>
        <v>0</v>
      </c>
    </row>
    <row r="29" spans="1:7">
      <c r="A29" s="3" t="s">
        <v>104</v>
      </c>
      <c r="B29" s="193"/>
      <c r="C29" s="193"/>
      <c r="D29" s="400"/>
      <c r="E29" s="401"/>
      <c r="F29" s="268"/>
      <c r="G29" s="264">
        <f t="shared" si="5"/>
        <v>0</v>
      </c>
    </row>
    <row r="32" spans="1:7">
      <c r="A32" s="384" t="s">
        <v>157</v>
      </c>
      <c r="B32" s="385"/>
      <c r="C32" s="385"/>
      <c r="D32" s="385"/>
      <c r="E32" s="385"/>
      <c r="F32" s="386"/>
      <c r="G32" s="21" t="s">
        <v>156</v>
      </c>
    </row>
    <row r="33" spans="1:7">
      <c r="A33" s="387" t="s">
        <v>158</v>
      </c>
      <c r="B33" s="388"/>
      <c r="C33" s="388"/>
      <c r="D33" s="388"/>
      <c r="E33" s="388"/>
      <c r="F33" s="389"/>
      <c r="G33" s="193"/>
    </row>
    <row r="34" spans="1:7">
      <c r="A34" s="387" t="s">
        <v>159</v>
      </c>
      <c r="B34" s="388"/>
      <c r="C34" s="388"/>
      <c r="D34" s="388"/>
      <c r="E34" s="388"/>
      <c r="F34" s="389"/>
      <c r="G34" s="193"/>
    </row>
    <row r="35" spans="1:7">
      <c r="A35" s="387" t="s">
        <v>160</v>
      </c>
      <c r="B35" s="388"/>
      <c r="C35" s="388"/>
      <c r="D35" s="388"/>
      <c r="E35" s="388"/>
      <c r="F35" s="389"/>
      <c r="G35" s="193"/>
    </row>
    <row r="36" spans="1:7">
      <c r="A36" s="390" t="s">
        <v>161</v>
      </c>
      <c r="B36" s="391"/>
      <c r="C36" s="391"/>
      <c r="D36" s="391"/>
      <c r="E36" s="391"/>
      <c r="F36" s="392"/>
      <c r="G36" s="275">
        <f>G35/12</f>
        <v>0</v>
      </c>
    </row>
    <row r="39" spans="1:7">
      <c r="A39" s="337" t="s">
        <v>162</v>
      </c>
      <c r="B39" s="337"/>
      <c r="C39" s="337"/>
      <c r="D39" s="337"/>
      <c r="E39" s="337"/>
    </row>
    <row r="40" spans="1:7">
      <c r="A40" s="1"/>
      <c r="B40" s="1"/>
      <c r="C40" s="1"/>
      <c r="D40" s="1"/>
      <c r="E40" s="1"/>
    </row>
    <row r="41" spans="1:7">
      <c r="A41" s="276" t="s">
        <v>163</v>
      </c>
      <c r="B41" s="276" t="s">
        <v>164</v>
      </c>
      <c r="C41" s="276" t="s">
        <v>165</v>
      </c>
      <c r="D41" s="393" t="s">
        <v>166</v>
      </c>
      <c r="E41" s="393"/>
    </row>
    <row r="42" spans="1:7">
      <c r="A42" s="277"/>
      <c r="B42" s="278"/>
      <c r="C42" s="193"/>
      <c r="D42" s="394"/>
      <c r="E42" s="395"/>
    </row>
    <row r="43" spans="1:7">
      <c r="A43" s="277"/>
      <c r="B43" s="278"/>
      <c r="C43" s="193"/>
      <c r="D43" s="394"/>
      <c r="E43" s="395"/>
    </row>
    <row r="44" spans="1:7">
      <c r="A44" s="277"/>
      <c r="B44" s="278"/>
      <c r="C44" s="193"/>
      <c r="D44" s="394"/>
      <c r="E44" s="395"/>
    </row>
    <row r="45" spans="1:7">
      <c r="A45" s="277"/>
      <c r="B45" s="278"/>
      <c r="C45" s="193"/>
      <c r="D45" s="394"/>
      <c r="E45" s="395"/>
    </row>
    <row r="46" spans="1:7">
      <c r="A46" s="277"/>
      <c r="B46" s="278"/>
      <c r="C46" s="193"/>
      <c r="D46" s="394"/>
      <c r="E46" s="395"/>
    </row>
    <row r="47" spans="1:7">
      <c r="A47" s="277"/>
      <c r="B47" s="278"/>
      <c r="C47" s="193"/>
      <c r="D47" s="394"/>
      <c r="E47" s="395"/>
    </row>
    <row r="48" spans="1:7">
      <c r="A48" s="277"/>
      <c r="B48" s="278"/>
      <c r="C48" s="193"/>
      <c r="D48" s="394"/>
      <c r="E48" s="395"/>
    </row>
    <row r="49" spans="1:5">
      <c r="A49" s="277"/>
      <c r="B49" s="278"/>
      <c r="C49" s="193"/>
      <c r="D49" s="394"/>
      <c r="E49" s="395"/>
    </row>
    <row r="50" spans="1:5">
      <c r="A50" s="277"/>
      <c r="B50" s="278"/>
      <c r="C50" s="193"/>
      <c r="D50" s="394"/>
      <c r="E50" s="395"/>
    </row>
    <row r="51" spans="1:5">
      <c r="A51" s="277"/>
      <c r="B51" s="278"/>
      <c r="C51" s="193"/>
      <c r="D51" s="394"/>
      <c r="E51" s="395"/>
    </row>
    <row r="52" spans="1:5">
      <c r="A52" s="277"/>
      <c r="B52" s="278"/>
      <c r="C52" s="193"/>
      <c r="D52" s="394"/>
      <c r="E52" s="395"/>
    </row>
    <row r="53" spans="1:5">
      <c r="A53" s="277"/>
      <c r="B53" s="278"/>
      <c r="C53" s="193"/>
      <c r="D53" s="394"/>
      <c r="E53" s="395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69930555555555596" right="0.69930555555555596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workbookViewId="0">
      <selection activeCell="E8" sqref="E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68" t="s">
        <v>135</v>
      </c>
      <c r="B1" s="382"/>
      <c r="C1" s="382"/>
      <c r="D1" s="382"/>
    </row>
    <row r="2" spans="1:7">
      <c r="A2" s="168" t="s">
        <v>136</v>
      </c>
      <c r="B2" s="382"/>
      <c r="C2" s="382"/>
      <c r="D2" s="382"/>
    </row>
    <row r="3" spans="1:7">
      <c r="A3" s="168" t="s">
        <v>137</v>
      </c>
      <c r="B3" s="382"/>
      <c r="C3" s="382"/>
      <c r="D3" s="382"/>
    </row>
    <row r="4" spans="1:7">
      <c r="A4" s="168" t="s">
        <v>138</v>
      </c>
      <c r="B4" s="263">
        <v>43709</v>
      </c>
      <c r="C4" s="168" t="s">
        <v>139</v>
      </c>
      <c r="D4" s="181"/>
    </row>
    <row r="6" spans="1:7">
      <c r="B6" s="383" t="s">
        <v>140</v>
      </c>
      <c r="C6" s="383"/>
      <c r="D6" s="383"/>
      <c r="E6" s="383"/>
    </row>
    <row r="7" spans="1:7" ht="25.5">
      <c r="A7" s="2" t="s">
        <v>141</v>
      </c>
      <c r="B7" s="21" t="s">
        <v>167</v>
      </c>
      <c r="C7" s="21" t="s">
        <v>168</v>
      </c>
      <c r="D7" s="21" t="s">
        <v>169</v>
      </c>
      <c r="E7" s="2" t="s">
        <v>142</v>
      </c>
      <c r="F7" s="2" t="s">
        <v>143</v>
      </c>
      <c r="G7" s="2" t="s">
        <v>144</v>
      </c>
    </row>
    <row r="8" spans="1:7">
      <c r="A8" s="3" t="s">
        <v>92</v>
      </c>
      <c r="B8" s="193">
        <v>30000</v>
      </c>
      <c r="C8" s="193">
        <v>30000</v>
      </c>
      <c r="D8" s="193">
        <v>30000</v>
      </c>
      <c r="E8" s="193"/>
      <c r="F8" s="268">
        <v>1</v>
      </c>
      <c r="G8" s="264">
        <f>E8*F8</f>
        <v>0</v>
      </c>
    </row>
    <row r="9" spans="1:7">
      <c r="A9" s="3" t="s">
        <v>94</v>
      </c>
      <c r="B9" s="193"/>
      <c r="C9" s="193"/>
      <c r="D9" s="193"/>
      <c r="E9" s="193"/>
      <c r="F9" s="268"/>
      <c r="G9" s="264">
        <f t="shared" ref="G9:G14" si="0">E9*F9</f>
        <v>0</v>
      </c>
    </row>
    <row r="10" spans="1:7">
      <c r="A10" s="3" t="s">
        <v>95</v>
      </c>
      <c r="B10" s="193"/>
      <c r="C10" s="193"/>
      <c r="D10" s="193"/>
      <c r="E10" s="193"/>
      <c r="F10" s="268"/>
      <c r="G10" s="264">
        <f t="shared" si="0"/>
        <v>0</v>
      </c>
    </row>
    <row r="11" spans="1:7">
      <c r="A11" s="3" t="s">
        <v>96</v>
      </c>
      <c r="B11" s="193"/>
      <c r="C11" s="193"/>
      <c r="D11" s="193"/>
      <c r="E11" s="193"/>
      <c r="F11" s="268"/>
      <c r="G11" s="264">
        <f t="shared" si="0"/>
        <v>0</v>
      </c>
    </row>
    <row r="12" spans="1:7">
      <c r="A12" s="3" t="s">
        <v>145</v>
      </c>
      <c r="B12" s="193"/>
      <c r="C12" s="193"/>
      <c r="D12" s="193"/>
      <c r="E12" s="193"/>
      <c r="F12" s="268"/>
      <c r="G12" s="264">
        <f t="shared" si="0"/>
        <v>0</v>
      </c>
    </row>
    <row r="13" spans="1:7">
      <c r="A13" s="3" t="s">
        <v>146</v>
      </c>
      <c r="B13" s="193"/>
      <c r="C13" s="193"/>
      <c r="D13" s="193"/>
      <c r="E13" s="193"/>
      <c r="F13" s="268"/>
      <c r="G13" s="264">
        <f t="shared" si="0"/>
        <v>0</v>
      </c>
    </row>
    <row r="14" spans="1:7">
      <c r="A14" s="3" t="s">
        <v>147</v>
      </c>
      <c r="B14" s="193"/>
      <c r="C14" s="193"/>
      <c r="D14" s="193"/>
      <c r="E14" s="193"/>
      <c r="F14" s="268"/>
      <c r="G14" s="264">
        <f t="shared" si="0"/>
        <v>0</v>
      </c>
    </row>
    <row r="15" spans="1:7">
      <c r="A15" s="140" t="s">
        <v>97</v>
      </c>
      <c r="B15" s="194">
        <f>SUM(B8:B14)</f>
        <v>30000</v>
      </c>
      <c r="C15" s="194">
        <f t="shared" ref="C15:G15" si="1">SUM(C8:C14)</f>
        <v>30000</v>
      </c>
      <c r="D15" s="194">
        <f t="shared" si="1"/>
        <v>30000</v>
      </c>
      <c r="E15" s="194">
        <f t="shared" si="1"/>
        <v>0</v>
      </c>
      <c r="F15" s="269"/>
      <c r="G15" s="194">
        <f t="shared" si="1"/>
        <v>0</v>
      </c>
    </row>
    <row r="16" spans="1:7">
      <c r="A16" s="168" t="s">
        <v>148</v>
      </c>
      <c r="B16" s="264"/>
      <c r="C16" s="264"/>
      <c r="D16" s="264"/>
      <c r="E16" s="264"/>
      <c r="F16" s="270"/>
      <c r="G16" s="264"/>
    </row>
    <row r="17" spans="1:7">
      <c r="A17" s="326" t="s">
        <v>149</v>
      </c>
      <c r="B17" s="193"/>
      <c r="C17" s="193"/>
      <c r="D17" s="193"/>
      <c r="E17" s="193"/>
      <c r="F17" s="268"/>
      <c r="G17" s="264">
        <f t="shared" ref="G17:G21" si="2">E17*F17</f>
        <v>0</v>
      </c>
    </row>
    <row r="18" spans="1:7">
      <c r="A18" s="326" t="s">
        <v>150</v>
      </c>
      <c r="B18" s="193"/>
      <c r="C18" s="193"/>
      <c r="D18" s="193"/>
      <c r="E18" s="193"/>
      <c r="F18" s="268"/>
      <c r="G18" s="264">
        <f t="shared" si="2"/>
        <v>0</v>
      </c>
    </row>
    <row r="19" spans="1:7">
      <c r="A19" s="326" t="s">
        <v>151</v>
      </c>
      <c r="B19" s="193"/>
      <c r="C19" s="193"/>
      <c r="D19" s="193"/>
      <c r="E19" s="193"/>
      <c r="F19" s="268"/>
      <c r="G19" s="264">
        <f t="shared" si="2"/>
        <v>0</v>
      </c>
    </row>
    <row r="20" spans="1:7">
      <c r="A20" s="326" t="s">
        <v>152</v>
      </c>
      <c r="B20" s="193"/>
      <c r="C20" s="193"/>
      <c r="D20" s="193"/>
      <c r="E20" s="193"/>
      <c r="F20" s="268"/>
      <c r="G20" s="264">
        <f t="shared" si="2"/>
        <v>0</v>
      </c>
    </row>
    <row r="21" spans="1:7">
      <c r="A21" s="326" t="s">
        <v>153</v>
      </c>
      <c r="B21" s="193"/>
      <c r="C21" s="193"/>
      <c r="D21" s="193"/>
      <c r="E21" s="193"/>
      <c r="F21" s="268"/>
      <c r="G21" s="264">
        <f t="shared" si="2"/>
        <v>0</v>
      </c>
    </row>
    <row r="22" spans="1:7">
      <c r="A22" s="140" t="s">
        <v>154</v>
      </c>
      <c r="B22" s="194">
        <f>SUM(B17:B21)</f>
        <v>0</v>
      </c>
      <c r="C22" s="194">
        <f t="shared" ref="C22:G22" si="3">SUM(C17:C21)</f>
        <v>0</v>
      </c>
      <c r="D22" s="194">
        <f t="shared" si="3"/>
        <v>0</v>
      </c>
      <c r="E22" s="194">
        <f t="shared" si="3"/>
        <v>0</v>
      </c>
      <c r="F22" s="269"/>
      <c r="G22" s="194">
        <f t="shared" si="3"/>
        <v>0</v>
      </c>
    </row>
    <row r="23" spans="1:7">
      <c r="A23" s="145" t="s">
        <v>99</v>
      </c>
      <c r="B23" s="271">
        <f>B15-B22</f>
        <v>30000</v>
      </c>
      <c r="C23" s="271">
        <f t="shared" ref="C23:E23" si="4">C15-C22</f>
        <v>30000</v>
      </c>
      <c r="D23" s="271">
        <f t="shared" si="4"/>
        <v>30000</v>
      </c>
      <c r="E23" s="271">
        <f t="shared" si="4"/>
        <v>0</v>
      </c>
      <c r="F23" s="272"/>
      <c r="G23" s="271">
        <f>G15-G22</f>
        <v>0</v>
      </c>
    </row>
    <row r="24" spans="1:7">
      <c r="A24" s="1"/>
      <c r="B24" s="273"/>
      <c r="C24" s="273"/>
      <c r="D24" s="273"/>
      <c r="E24" s="273"/>
      <c r="F24" s="273"/>
      <c r="G24" s="273"/>
    </row>
    <row r="25" spans="1:7">
      <c r="A25" s="274"/>
      <c r="B25" s="274"/>
      <c r="C25" s="274"/>
      <c r="D25" s="274"/>
      <c r="E25" s="274"/>
      <c r="F25" s="274"/>
      <c r="G25" s="274"/>
    </row>
    <row r="26" spans="1:7" ht="25.5">
      <c r="A26" s="2" t="s">
        <v>155</v>
      </c>
      <c r="B26" s="21" t="s">
        <v>156</v>
      </c>
      <c r="C26" s="21" t="s">
        <v>87</v>
      </c>
      <c r="D26" s="396"/>
      <c r="E26" s="397"/>
      <c r="F26" s="2" t="s">
        <v>143</v>
      </c>
      <c r="G26" s="2" t="s">
        <v>144</v>
      </c>
    </row>
    <row r="27" spans="1:7">
      <c r="A27" s="3" t="s">
        <v>101</v>
      </c>
      <c r="B27" s="193"/>
      <c r="C27" s="193"/>
      <c r="D27" s="398"/>
      <c r="E27" s="399"/>
      <c r="F27" s="268"/>
      <c r="G27" s="264">
        <f>B27*F27</f>
        <v>0</v>
      </c>
    </row>
    <row r="28" spans="1:7">
      <c r="A28" s="3" t="s">
        <v>103</v>
      </c>
      <c r="B28" s="193"/>
      <c r="C28" s="193"/>
      <c r="D28" s="398"/>
      <c r="E28" s="399"/>
      <c r="F28" s="268"/>
      <c r="G28" s="264">
        <f t="shared" ref="G28:G29" si="5">B28*F28</f>
        <v>0</v>
      </c>
    </row>
    <row r="29" spans="1:7">
      <c r="A29" s="3" t="s">
        <v>104</v>
      </c>
      <c r="B29" s="193"/>
      <c r="C29" s="193"/>
      <c r="D29" s="400"/>
      <c r="E29" s="401"/>
      <c r="F29" s="268"/>
      <c r="G29" s="264">
        <f t="shared" si="5"/>
        <v>0</v>
      </c>
    </row>
    <row r="32" spans="1:7">
      <c r="A32" s="384" t="s">
        <v>157</v>
      </c>
      <c r="B32" s="385"/>
      <c r="C32" s="385"/>
      <c r="D32" s="385"/>
      <c r="E32" s="385"/>
      <c r="F32" s="386"/>
      <c r="G32" s="21" t="s">
        <v>156</v>
      </c>
    </row>
    <row r="33" spans="1:7">
      <c r="A33" s="387" t="s">
        <v>158</v>
      </c>
      <c r="B33" s="388"/>
      <c r="C33" s="388"/>
      <c r="D33" s="388"/>
      <c r="E33" s="388"/>
      <c r="F33" s="389"/>
      <c r="G33" s="193"/>
    </row>
    <row r="34" spans="1:7">
      <c r="A34" s="387" t="s">
        <v>159</v>
      </c>
      <c r="B34" s="388"/>
      <c r="C34" s="388"/>
      <c r="D34" s="388"/>
      <c r="E34" s="388"/>
      <c r="F34" s="389"/>
      <c r="G34" s="193"/>
    </row>
    <row r="35" spans="1:7">
      <c r="A35" s="387" t="s">
        <v>160</v>
      </c>
      <c r="B35" s="388"/>
      <c r="C35" s="388"/>
      <c r="D35" s="388"/>
      <c r="E35" s="388"/>
      <c r="F35" s="389"/>
      <c r="G35" s="193"/>
    </row>
    <row r="36" spans="1:7">
      <c r="A36" s="390" t="s">
        <v>161</v>
      </c>
      <c r="B36" s="391"/>
      <c r="C36" s="391"/>
      <c r="D36" s="391"/>
      <c r="E36" s="391"/>
      <c r="F36" s="392"/>
      <c r="G36" s="275">
        <f>G35/12</f>
        <v>0</v>
      </c>
    </row>
    <row r="39" spans="1:7">
      <c r="A39" s="337" t="s">
        <v>162</v>
      </c>
      <c r="B39" s="337"/>
      <c r="C39" s="337"/>
      <c r="D39" s="337"/>
      <c r="E39" s="337"/>
    </row>
    <row r="40" spans="1:7">
      <c r="A40" s="1"/>
      <c r="B40" s="1"/>
      <c r="C40" s="1"/>
      <c r="D40" s="1"/>
      <c r="E40" s="1"/>
    </row>
    <row r="41" spans="1:7">
      <c r="A41" s="276" t="s">
        <v>163</v>
      </c>
      <c r="B41" s="276" t="s">
        <v>164</v>
      </c>
      <c r="C41" s="276" t="s">
        <v>165</v>
      </c>
      <c r="D41" s="393" t="s">
        <v>166</v>
      </c>
      <c r="E41" s="393"/>
    </row>
    <row r="42" spans="1:7">
      <c r="A42" s="277"/>
      <c r="B42" s="278"/>
      <c r="C42" s="193"/>
      <c r="D42" s="394"/>
      <c r="E42" s="395"/>
    </row>
    <row r="43" spans="1:7">
      <c r="A43" s="277"/>
      <c r="B43" s="278"/>
      <c r="C43" s="193"/>
      <c r="D43" s="394"/>
      <c r="E43" s="395"/>
    </row>
    <row r="44" spans="1:7">
      <c r="A44" s="277"/>
      <c r="B44" s="278"/>
      <c r="C44" s="193"/>
      <c r="D44" s="394"/>
      <c r="E44" s="395"/>
    </row>
    <row r="45" spans="1:7">
      <c r="A45" s="277"/>
      <c r="B45" s="278"/>
      <c r="C45" s="193"/>
      <c r="D45" s="394"/>
      <c r="E45" s="395"/>
    </row>
    <row r="46" spans="1:7">
      <c r="A46" s="277"/>
      <c r="B46" s="278"/>
      <c r="C46" s="193"/>
      <c r="D46" s="394"/>
      <c r="E46" s="395"/>
    </row>
    <row r="47" spans="1:7">
      <c r="A47" s="277"/>
      <c r="B47" s="278"/>
      <c r="C47" s="193"/>
      <c r="D47" s="394"/>
      <c r="E47" s="395"/>
    </row>
    <row r="48" spans="1:7">
      <c r="A48" s="277"/>
      <c r="B48" s="278"/>
      <c r="C48" s="193"/>
      <c r="D48" s="394"/>
      <c r="E48" s="395"/>
    </row>
    <row r="49" spans="1:5">
      <c r="A49" s="277"/>
      <c r="B49" s="278"/>
      <c r="C49" s="193"/>
      <c r="D49" s="394"/>
      <c r="E49" s="395"/>
    </row>
    <row r="50" spans="1:5">
      <c r="A50" s="277"/>
      <c r="B50" s="278"/>
      <c r="C50" s="193"/>
      <c r="D50" s="394"/>
      <c r="E50" s="395"/>
    </row>
    <row r="51" spans="1:5">
      <c r="A51" s="277"/>
      <c r="B51" s="278"/>
      <c r="C51" s="193"/>
      <c r="D51" s="394"/>
      <c r="E51" s="395"/>
    </row>
    <row r="52" spans="1:5">
      <c r="A52" s="277"/>
      <c r="B52" s="278"/>
      <c r="C52" s="193"/>
      <c r="D52" s="394"/>
      <c r="E52" s="395"/>
    </row>
    <row r="53" spans="1:5">
      <c r="A53" s="277"/>
      <c r="B53" s="278"/>
      <c r="C53" s="193"/>
      <c r="D53" s="394"/>
      <c r="E53" s="395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68" t="s">
        <v>135</v>
      </c>
      <c r="B1" s="382"/>
      <c r="C1" s="382"/>
      <c r="D1" s="382"/>
    </row>
    <row r="2" spans="1:7">
      <c r="A2" s="168" t="s">
        <v>136</v>
      </c>
      <c r="B2" s="382"/>
      <c r="C2" s="382"/>
      <c r="D2" s="382"/>
    </row>
    <row r="3" spans="1:7">
      <c r="A3" s="168" t="s">
        <v>137</v>
      </c>
      <c r="B3" s="382"/>
      <c r="C3" s="382"/>
      <c r="D3" s="382"/>
    </row>
    <row r="4" spans="1:7">
      <c r="A4" s="168" t="s">
        <v>138</v>
      </c>
      <c r="B4" s="263">
        <v>43709</v>
      </c>
      <c r="C4" s="168" t="s">
        <v>139</v>
      </c>
      <c r="D4" s="181"/>
    </row>
    <row r="6" spans="1:7">
      <c r="B6" s="383" t="s">
        <v>140</v>
      </c>
      <c r="C6" s="383"/>
      <c r="D6" s="383"/>
      <c r="E6" s="383"/>
    </row>
    <row r="7" spans="1:7" ht="25.5">
      <c r="A7" s="2" t="s">
        <v>141</v>
      </c>
      <c r="B7" s="21" t="s">
        <v>167</v>
      </c>
      <c r="C7" s="21" t="s">
        <v>168</v>
      </c>
      <c r="D7" s="21" t="s">
        <v>169</v>
      </c>
      <c r="E7" s="2" t="s">
        <v>142</v>
      </c>
      <c r="F7" s="2" t="s">
        <v>143</v>
      </c>
      <c r="G7" s="2" t="s">
        <v>144</v>
      </c>
    </row>
    <row r="8" spans="1:7">
      <c r="A8" s="3" t="s">
        <v>92</v>
      </c>
      <c r="B8" s="193"/>
      <c r="C8" s="193"/>
      <c r="D8" s="193"/>
      <c r="E8" s="193"/>
      <c r="F8" s="268"/>
      <c r="G8" s="264">
        <f>E8*F8</f>
        <v>0</v>
      </c>
    </row>
    <row r="9" spans="1:7">
      <c r="A9" s="3" t="s">
        <v>94</v>
      </c>
      <c r="B9" s="193"/>
      <c r="C9" s="193"/>
      <c r="D9" s="193"/>
      <c r="E9" s="193"/>
      <c r="F9" s="268"/>
      <c r="G9" s="264">
        <f t="shared" ref="G9:G14" si="0">E9*F9</f>
        <v>0</v>
      </c>
    </row>
    <row r="10" spans="1:7">
      <c r="A10" s="3" t="s">
        <v>95</v>
      </c>
      <c r="B10" s="193"/>
      <c r="C10" s="193"/>
      <c r="D10" s="193"/>
      <c r="E10" s="193"/>
      <c r="F10" s="268"/>
      <c r="G10" s="264">
        <f t="shared" si="0"/>
        <v>0</v>
      </c>
    </row>
    <row r="11" spans="1:7">
      <c r="A11" s="3" t="s">
        <v>96</v>
      </c>
      <c r="B11" s="193"/>
      <c r="C11" s="193"/>
      <c r="D11" s="193"/>
      <c r="E11" s="193"/>
      <c r="F11" s="268"/>
      <c r="G11" s="264">
        <f t="shared" si="0"/>
        <v>0</v>
      </c>
    </row>
    <row r="12" spans="1:7">
      <c r="A12" s="3" t="s">
        <v>145</v>
      </c>
      <c r="B12" s="193"/>
      <c r="C12" s="193"/>
      <c r="D12" s="193"/>
      <c r="E12" s="193"/>
      <c r="F12" s="268"/>
      <c r="G12" s="264">
        <f t="shared" si="0"/>
        <v>0</v>
      </c>
    </row>
    <row r="13" spans="1:7">
      <c r="A13" s="3" t="s">
        <v>146</v>
      </c>
      <c r="B13" s="193"/>
      <c r="C13" s="193"/>
      <c r="D13" s="193"/>
      <c r="E13" s="193"/>
      <c r="F13" s="268"/>
      <c r="G13" s="264">
        <f t="shared" si="0"/>
        <v>0</v>
      </c>
    </row>
    <row r="14" spans="1:7">
      <c r="A14" s="3" t="s">
        <v>147</v>
      </c>
      <c r="B14" s="193"/>
      <c r="C14" s="193"/>
      <c r="D14" s="193"/>
      <c r="E14" s="193"/>
      <c r="F14" s="268"/>
      <c r="G14" s="264">
        <f t="shared" si="0"/>
        <v>0</v>
      </c>
    </row>
    <row r="15" spans="1:7">
      <c r="A15" s="140" t="s">
        <v>97</v>
      </c>
      <c r="B15" s="194">
        <f>SUM(B8:B14)</f>
        <v>0</v>
      </c>
      <c r="C15" s="194">
        <f t="shared" ref="C15:G15" si="1">SUM(C8:C14)</f>
        <v>0</v>
      </c>
      <c r="D15" s="194">
        <f t="shared" si="1"/>
        <v>0</v>
      </c>
      <c r="E15" s="194">
        <f t="shared" si="1"/>
        <v>0</v>
      </c>
      <c r="F15" s="269"/>
      <c r="G15" s="194">
        <f t="shared" si="1"/>
        <v>0</v>
      </c>
    </row>
    <row r="16" spans="1:7">
      <c r="A16" s="168" t="s">
        <v>148</v>
      </c>
      <c r="B16" s="264"/>
      <c r="C16" s="264"/>
      <c r="D16" s="264"/>
      <c r="E16" s="264"/>
      <c r="F16" s="270"/>
      <c r="G16" s="264"/>
    </row>
    <row r="17" spans="1:7">
      <c r="A17" s="326" t="s">
        <v>149</v>
      </c>
      <c r="B17" s="193"/>
      <c r="C17" s="193"/>
      <c r="D17" s="193"/>
      <c r="E17" s="193"/>
      <c r="F17" s="268"/>
      <c r="G17" s="264">
        <f t="shared" ref="G17:G21" si="2">E17*F17</f>
        <v>0</v>
      </c>
    </row>
    <row r="18" spans="1:7">
      <c r="A18" s="326" t="s">
        <v>150</v>
      </c>
      <c r="B18" s="193"/>
      <c r="C18" s="193"/>
      <c r="D18" s="193"/>
      <c r="E18" s="193"/>
      <c r="F18" s="268"/>
      <c r="G18" s="264">
        <f t="shared" si="2"/>
        <v>0</v>
      </c>
    </row>
    <row r="19" spans="1:7">
      <c r="A19" s="326" t="s">
        <v>151</v>
      </c>
      <c r="B19" s="193"/>
      <c r="C19" s="193"/>
      <c r="D19" s="193"/>
      <c r="E19" s="193"/>
      <c r="F19" s="268"/>
      <c r="G19" s="264">
        <f t="shared" si="2"/>
        <v>0</v>
      </c>
    </row>
    <row r="20" spans="1:7">
      <c r="A20" s="326" t="s">
        <v>152</v>
      </c>
      <c r="B20" s="193"/>
      <c r="C20" s="193"/>
      <c r="D20" s="193"/>
      <c r="E20" s="193"/>
      <c r="F20" s="268"/>
      <c r="G20" s="264">
        <f t="shared" si="2"/>
        <v>0</v>
      </c>
    </row>
    <row r="21" spans="1:7">
      <c r="A21" s="326" t="s">
        <v>153</v>
      </c>
      <c r="B21" s="193"/>
      <c r="C21" s="193"/>
      <c r="D21" s="193"/>
      <c r="E21" s="193"/>
      <c r="F21" s="268"/>
      <c r="G21" s="264">
        <f t="shared" si="2"/>
        <v>0</v>
      </c>
    </row>
    <row r="22" spans="1:7">
      <c r="A22" s="140" t="s">
        <v>154</v>
      </c>
      <c r="B22" s="194">
        <f>SUM(B17:B21)</f>
        <v>0</v>
      </c>
      <c r="C22" s="194">
        <f t="shared" ref="C22:G22" si="3">SUM(C17:C21)</f>
        <v>0</v>
      </c>
      <c r="D22" s="194">
        <f t="shared" si="3"/>
        <v>0</v>
      </c>
      <c r="E22" s="194">
        <f t="shared" si="3"/>
        <v>0</v>
      </c>
      <c r="F22" s="269"/>
      <c r="G22" s="194">
        <f t="shared" si="3"/>
        <v>0</v>
      </c>
    </row>
    <row r="23" spans="1:7">
      <c r="A23" s="145" t="s">
        <v>99</v>
      </c>
      <c r="B23" s="271">
        <f>B15-B22</f>
        <v>0</v>
      </c>
      <c r="C23" s="271">
        <f t="shared" ref="C23:E23" si="4">C15-C22</f>
        <v>0</v>
      </c>
      <c r="D23" s="271">
        <f t="shared" si="4"/>
        <v>0</v>
      </c>
      <c r="E23" s="271">
        <f t="shared" si="4"/>
        <v>0</v>
      </c>
      <c r="F23" s="272"/>
      <c r="G23" s="271">
        <f>G15-G22</f>
        <v>0</v>
      </c>
    </row>
    <row r="24" spans="1:7">
      <c r="A24" s="1"/>
      <c r="B24" s="273"/>
      <c r="C24" s="273"/>
      <c r="D24" s="273"/>
      <c r="E24" s="273"/>
      <c r="F24" s="273"/>
      <c r="G24" s="273"/>
    </row>
    <row r="25" spans="1:7">
      <c r="A25" s="274"/>
      <c r="B25" s="274"/>
      <c r="C25" s="274"/>
      <c r="D25" s="274"/>
      <c r="E25" s="274"/>
      <c r="F25" s="274"/>
      <c r="G25" s="274"/>
    </row>
    <row r="26" spans="1:7" ht="25.5">
      <c r="A26" s="2" t="s">
        <v>155</v>
      </c>
      <c r="B26" s="21" t="s">
        <v>156</v>
      </c>
      <c r="C26" s="21" t="s">
        <v>87</v>
      </c>
      <c r="D26" s="396"/>
      <c r="E26" s="397"/>
      <c r="F26" s="2" t="s">
        <v>143</v>
      </c>
      <c r="G26" s="2" t="s">
        <v>144</v>
      </c>
    </row>
    <row r="27" spans="1:7">
      <c r="A27" s="3" t="s">
        <v>101</v>
      </c>
      <c r="B27" s="193"/>
      <c r="C27" s="193"/>
      <c r="D27" s="398"/>
      <c r="E27" s="399"/>
      <c r="F27" s="268"/>
      <c r="G27" s="264">
        <f>B27*F27</f>
        <v>0</v>
      </c>
    </row>
    <row r="28" spans="1:7">
      <c r="A28" s="3" t="s">
        <v>103</v>
      </c>
      <c r="B28" s="193"/>
      <c r="C28" s="193"/>
      <c r="D28" s="398"/>
      <c r="E28" s="399"/>
      <c r="F28" s="268"/>
      <c r="G28" s="264">
        <f t="shared" ref="G28:G29" si="5">B28*F28</f>
        <v>0</v>
      </c>
    </row>
    <row r="29" spans="1:7">
      <c r="A29" s="3" t="s">
        <v>104</v>
      </c>
      <c r="B29" s="193"/>
      <c r="C29" s="193"/>
      <c r="D29" s="400"/>
      <c r="E29" s="401"/>
      <c r="F29" s="268"/>
      <c r="G29" s="264">
        <f t="shared" si="5"/>
        <v>0</v>
      </c>
    </row>
    <row r="32" spans="1:7">
      <c r="A32" s="384" t="s">
        <v>157</v>
      </c>
      <c r="B32" s="385"/>
      <c r="C32" s="385"/>
      <c r="D32" s="385"/>
      <c r="E32" s="385"/>
      <c r="F32" s="386"/>
      <c r="G32" s="21" t="s">
        <v>156</v>
      </c>
    </row>
    <row r="33" spans="1:7">
      <c r="A33" s="387" t="s">
        <v>158</v>
      </c>
      <c r="B33" s="388"/>
      <c r="C33" s="388"/>
      <c r="D33" s="388"/>
      <c r="E33" s="388"/>
      <c r="F33" s="389"/>
      <c r="G33" s="193"/>
    </row>
    <row r="34" spans="1:7">
      <c r="A34" s="387" t="s">
        <v>159</v>
      </c>
      <c r="B34" s="388"/>
      <c r="C34" s="388"/>
      <c r="D34" s="388"/>
      <c r="E34" s="388"/>
      <c r="F34" s="389"/>
      <c r="G34" s="193"/>
    </row>
    <row r="35" spans="1:7">
      <c r="A35" s="387" t="s">
        <v>160</v>
      </c>
      <c r="B35" s="388"/>
      <c r="C35" s="388"/>
      <c r="D35" s="388"/>
      <c r="E35" s="388"/>
      <c r="F35" s="389"/>
      <c r="G35" s="193"/>
    </row>
    <row r="36" spans="1:7">
      <c r="A36" s="390" t="s">
        <v>161</v>
      </c>
      <c r="B36" s="391"/>
      <c r="C36" s="391"/>
      <c r="D36" s="391"/>
      <c r="E36" s="391"/>
      <c r="F36" s="392"/>
      <c r="G36" s="275">
        <f>G35/12</f>
        <v>0</v>
      </c>
    </row>
    <row r="39" spans="1:7">
      <c r="A39" s="337" t="s">
        <v>162</v>
      </c>
      <c r="B39" s="337"/>
      <c r="C39" s="337"/>
      <c r="D39" s="337"/>
      <c r="E39" s="337"/>
    </row>
    <row r="40" spans="1:7">
      <c r="A40" s="1"/>
      <c r="B40" s="1"/>
      <c r="C40" s="1"/>
      <c r="D40" s="1"/>
      <c r="E40" s="1"/>
    </row>
    <row r="41" spans="1:7">
      <c r="A41" s="276" t="s">
        <v>163</v>
      </c>
      <c r="B41" s="276" t="s">
        <v>164</v>
      </c>
      <c r="C41" s="276" t="s">
        <v>165</v>
      </c>
      <c r="D41" s="393" t="s">
        <v>166</v>
      </c>
      <c r="E41" s="393"/>
    </row>
    <row r="42" spans="1:7">
      <c r="A42" s="277"/>
      <c r="B42" s="278"/>
      <c r="C42" s="193"/>
      <c r="D42" s="394"/>
      <c r="E42" s="395"/>
    </row>
    <row r="43" spans="1:7">
      <c r="A43" s="277"/>
      <c r="B43" s="278"/>
      <c r="C43" s="193"/>
      <c r="D43" s="394"/>
      <c r="E43" s="395"/>
    </row>
    <row r="44" spans="1:7">
      <c r="A44" s="277"/>
      <c r="B44" s="278"/>
      <c r="C44" s="193"/>
      <c r="D44" s="394"/>
      <c r="E44" s="395"/>
    </row>
    <row r="45" spans="1:7">
      <c r="A45" s="277"/>
      <c r="B45" s="278"/>
      <c r="C45" s="193"/>
      <c r="D45" s="394"/>
      <c r="E45" s="395"/>
    </row>
    <row r="46" spans="1:7">
      <c r="A46" s="277"/>
      <c r="B46" s="278"/>
      <c r="C46" s="193"/>
      <c r="D46" s="394"/>
      <c r="E46" s="395"/>
    </row>
    <row r="47" spans="1:7">
      <c r="A47" s="277"/>
      <c r="B47" s="278"/>
      <c r="C47" s="193"/>
      <c r="D47" s="394"/>
      <c r="E47" s="395"/>
    </row>
    <row r="48" spans="1:7">
      <c r="A48" s="277"/>
      <c r="B48" s="278"/>
      <c r="C48" s="193"/>
      <c r="D48" s="394"/>
      <c r="E48" s="395"/>
    </row>
    <row r="49" spans="1:5">
      <c r="A49" s="277"/>
      <c r="B49" s="278"/>
      <c r="C49" s="193"/>
      <c r="D49" s="394"/>
      <c r="E49" s="395"/>
    </row>
    <row r="50" spans="1:5">
      <c r="A50" s="277"/>
      <c r="B50" s="278"/>
      <c r="C50" s="193"/>
      <c r="D50" s="394"/>
      <c r="E50" s="395"/>
    </row>
    <row r="51" spans="1:5">
      <c r="A51" s="277"/>
      <c r="B51" s="278"/>
      <c r="C51" s="193"/>
      <c r="D51" s="394"/>
      <c r="E51" s="395"/>
    </row>
    <row r="52" spans="1:5">
      <c r="A52" s="277"/>
      <c r="B52" s="278"/>
      <c r="C52" s="193"/>
      <c r="D52" s="394"/>
      <c r="E52" s="395"/>
    </row>
    <row r="53" spans="1:5">
      <c r="A53" s="277"/>
      <c r="B53" s="278"/>
      <c r="C53" s="193"/>
      <c r="D53" s="394"/>
      <c r="E53" s="395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68" t="s">
        <v>135</v>
      </c>
      <c r="B1" s="382"/>
      <c r="C1" s="382"/>
      <c r="D1" s="382"/>
    </row>
    <row r="2" spans="1:7">
      <c r="A2" s="168" t="s">
        <v>136</v>
      </c>
      <c r="B2" s="382"/>
      <c r="C2" s="382"/>
      <c r="D2" s="382"/>
    </row>
    <row r="3" spans="1:7">
      <c r="A3" s="168" t="s">
        <v>137</v>
      </c>
      <c r="B3" s="382"/>
      <c r="C3" s="382"/>
      <c r="D3" s="382"/>
    </row>
    <row r="4" spans="1:7">
      <c r="A4" s="168" t="s">
        <v>138</v>
      </c>
      <c r="B4" s="263">
        <v>43709</v>
      </c>
      <c r="C4" s="168" t="s">
        <v>139</v>
      </c>
      <c r="D4" s="181"/>
    </row>
    <row r="6" spans="1:7">
      <c r="B6" s="383" t="s">
        <v>140</v>
      </c>
      <c r="C6" s="383"/>
      <c r="D6" s="383"/>
      <c r="E6" s="383"/>
    </row>
    <row r="7" spans="1:7" ht="25.5">
      <c r="A7" s="2" t="s">
        <v>141</v>
      </c>
      <c r="B7" s="21" t="s">
        <v>167</v>
      </c>
      <c r="C7" s="21" t="s">
        <v>168</v>
      </c>
      <c r="D7" s="21" t="s">
        <v>169</v>
      </c>
      <c r="E7" s="2" t="s">
        <v>142</v>
      </c>
      <c r="F7" s="2" t="s">
        <v>143</v>
      </c>
      <c r="G7" s="2" t="s">
        <v>144</v>
      </c>
    </row>
    <row r="8" spans="1:7">
      <c r="A8" s="3" t="s">
        <v>92</v>
      </c>
      <c r="B8" s="193"/>
      <c r="C8" s="193"/>
      <c r="D8" s="193"/>
      <c r="E8" s="193"/>
      <c r="F8" s="268"/>
      <c r="G8" s="264">
        <f>E8*F8</f>
        <v>0</v>
      </c>
    </row>
    <row r="9" spans="1:7">
      <c r="A9" s="3" t="s">
        <v>94</v>
      </c>
      <c r="B9" s="193"/>
      <c r="C9" s="193"/>
      <c r="D9" s="193"/>
      <c r="E9" s="193"/>
      <c r="F9" s="268"/>
      <c r="G9" s="264">
        <f t="shared" ref="G9:G14" si="0">E9*F9</f>
        <v>0</v>
      </c>
    </row>
    <row r="10" spans="1:7">
      <c r="A10" s="3" t="s">
        <v>95</v>
      </c>
      <c r="B10" s="193"/>
      <c r="C10" s="193"/>
      <c r="D10" s="193"/>
      <c r="E10" s="193"/>
      <c r="F10" s="268"/>
      <c r="G10" s="264">
        <f t="shared" si="0"/>
        <v>0</v>
      </c>
    </row>
    <row r="11" spans="1:7">
      <c r="A11" s="3" t="s">
        <v>96</v>
      </c>
      <c r="B11" s="193"/>
      <c r="C11" s="193"/>
      <c r="D11" s="193"/>
      <c r="E11" s="193"/>
      <c r="F11" s="268"/>
      <c r="G11" s="264">
        <f t="shared" si="0"/>
        <v>0</v>
      </c>
    </row>
    <row r="12" spans="1:7">
      <c r="A12" s="3" t="s">
        <v>145</v>
      </c>
      <c r="B12" s="193"/>
      <c r="C12" s="193"/>
      <c r="D12" s="193"/>
      <c r="E12" s="193"/>
      <c r="F12" s="268"/>
      <c r="G12" s="264">
        <f t="shared" si="0"/>
        <v>0</v>
      </c>
    </row>
    <row r="13" spans="1:7">
      <c r="A13" s="3" t="s">
        <v>146</v>
      </c>
      <c r="B13" s="193"/>
      <c r="C13" s="193"/>
      <c r="D13" s="193"/>
      <c r="E13" s="193"/>
      <c r="F13" s="268"/>
      <c r="G13" s="264">
        <f t="shared" si="0"/>
        <v>0</v>
      </c>
    </row>
    <row r="14" spans="1:7">
      <c r="A14" s="3" t="s">
        <v>147</v>
      </c>
      <c r="B14" s="193"/>
      <c r="C14" s="193"/>
      <c r="D14" s="193"/>
      <c r="E14" s="193"/>
      <c r="F14" s="268"/>
      <c r="G14" s="264">
        <f t="shared" si="0"/>
        <v>0</v>
      </c>
    </row>
    <row r="15" spans="1:7">
      <c r="A15" s="140" t="s">
        <v>97</v>
      </c>
      <c r="B15" s="194">
        <f>SUM(B8:B14)</f>
        <v>0</v>
      </c>
      <c r="C15" s="194">
        <f t="shared" ref="C15:G15" si="1">SUM(C8:C14)</f>
        <v>0</v>
      </c>
      <c r="D15" s="194">
        <f t="shared" si="1"/>
        <v>0</v>
      </c>
      <c r="E15" s="194">
        <f t="shared" si="1"/>
        <v>0</v>
      </c>
      <c r="F15" s="269"/>
      <c r="G15" s="194">
        <f t="shared" si="1"/>
        <v>0</v>
      </c>
    </row>
    <row r="16" spans="1:7">
      <c r="A16" s="168" t="s">
        <v>148</v>
      </c>
      <c r="B16" s="264"/>
      <c r="C16" s="264"/>
      <c r="D16" s="264"/>
      <c r="E16" s="264"/>
      <c r="F16" s="270"/>
      <c r="G16" s="264"/>
    </row>
    <row r="17" spans="1:7">
      <c r="A17" s="326" t="s">
        <v>149</v>
      </c>
      <c r="B17" s="193"/>
      <c r="C17" s="193"/>
      <c r="D17" s="193"/>
      <c r="E17" s="193"/>
      <c r="F17" s="268"/>
      <c r="G17" s="264">
        <f t="shared" ref="G17:G21" si="2">E17*F17</f>
        <v>0</v>
      </c>
    </row>
    <row r="18" spans="1:7">
      <c r="A18" s="326" t="s">
        <v>150</v>
      </c>
      <c r="B18" s="193"/>
      <c r="C18" s="193"/>
      <c r="D18" s="193"/>
      <c r="E18" s="193"/>
      <c r="F18" s="268"/>
      <c r="G18" s="264">
        <f t="shared" si="2"/>
        <v>0</v>
      </c>
    </row>
    <row r="19" spans="1:7">
      <c r="A19" s="326" t="s">
        <v>151</v>
      </c>
      <c r="B19" s="193"/>
      <c r="C19" s="193"/>
      <c r="D19" s="193"/>
      <c r="E19" s="193"/>
      <c r="F19" s="268"/>
      <c r="G19" s="264">
        <f t="shared" si="2"/>
        <v>0</v>
      </c>
    </row>
    <row r="20" spans="1:7">
      <c r="A20" s="326" t="s">
        <v>152</v>
      </c>
      <c r="B20" s="193"/>
      <c r="C20" s="193"/>
      <c r="D20" s="193"/>
      <c r="E20" s="193"/>
      <c r="F20" s="268"/>
      <c r="G20" s="264">
        <f t="shared" si="2"/>
        <v>0</v>
      </c>
    </row>
    <row r="21" spans="1:7">
      <c r="A21" s="326" t="s">
        <v>153</v>
      </c>
      <c r="B21" s="193"/>
      <c r="C21" s="193"/>
      <c r="D21" s="193"/>
      <c r="E21" s="193"/>
      <c r="F21" s="268"/>
      <c r="G21" s="264">
        <f t="shared" si="2"/>
        <v>0</v>
      </c>
    </row>
    <row r="22" spans="1:7">
      <c r="A22" s="140" t="s">
        <v>154</v>
      </c>
      <c r="B22" s="194">
        <f>SUM(B17:B21)</f>
        <v>0</v>
      </c>
      <c r="C22" s="194">
        <f t="shared" ref="C22:G22" si="3">SUM(C17:C21)</f>
        <v>0</v>
      </c>
      <c r="D22" s="194">
        <f t="shared" si="3"/>
        <v>0</v>
      </c>
      <c r="E22" s="194">
        <f t="shared" si="3"/>
        <v>0</v>
      </c>
      <c r="F22" s="269"/>
      <c r="G22" s="194">
        <f t="shared" si="3"/>
        <v>0</v>
      </c>
    </row>
    <row r="23" spans="1:7">
      <c r="A23" s="145" t="s">
        <v>99</v>
      </c>
      <c r="B23" s="271">
        <f>B15-B22</f>
        <v>0</v>
      </c>
      <c r="C23" s="271">
        <f t="shared" ref="C23:E23" si="4">C15-C22</f>
        <v>0</v>
      </c>
      <c r="D23" s="271">
        <f t="shared" si="4"/>
        <v>0</v>
      </c>
      <c r="E23" s="271">
        <f t="shared" si="4"/>
        <v>0</v>
      </c>
      <c r="F23" s="272"/>
      <c r="G23" s="271">
        <f>G15-G22</f>
        <v>0</v>
      </c>
    </row>
    <row r="24" spans="1:7">
      <c r="A24" s="1"/>
      <c r="B24" s="273"/>
      <c r="C24" s="273"/>
      <c r="D24" s="273"/>
      <c r="E24" s="273"/>
      <c r="F24" s="273"/>
      <c r="G24" s="273"/>
    </row>
    <row r="25" spans="1:7">
      <c r="A25" s="274"/>
      <c r="B25" s="274"/>
      <c r="C25" s="274"/>
      <c r="D25" s="274"/>
      <c r="E25" s="274"/>
      <c r="F25" s="274"/>
      <c r="G25" s="274"/>
    </row>
    <row r="26" spans="1:7" ht="25.5">
      <c r="A26" s="2" t="s">
        <v>155</v>
      </c>
      <c r="B26" s="21" t="s">
        <v>156</v>
      </c>
      <c r="C26" s="21" t="s">
        <v>87</v>
      </c>
      <c r="D26" s="396"/>
      <c r="E26" s="397"/>
      <c r="F26" s="2" t="s">
        <v>143</v>
      </c>
      <c r="G26" s="2" t="s">
        <v>144</v>
      </c>
    </row>
    <row r="27" spans="1:7">
      <c r="A27" s="3" t="s">
        <v>101</v>
      </c>
      <c r="B27" s="193"/>
      <c r="C27" s="193"/>
      <c r="D27" s="398"/>
      <c r="E27" s="399"/>
      <c r="F27" s="268"/>
      <c r="G27" s="264">
        <f>B27*F27</f>
        <v>0</v>
      </c>
    </row>
    <row r="28" spans="1:7">
      <c r="A28" s="3" t="s">
        <v>103</v>
      </c>
      <c r="B28" s="193"/>
      <c r="C28" s="193"/>
      <c r="D28" s="398"/>
      <c r="E28" s="399"/>
      <c r="F28" s="268"/>
      <c r="G28" s="264">
        <f t="shared" ref="G28:G29" si="5">B28*F28</f>
        <v>0</v>
      </c>
    </row>
    <row r="29" spans="1:7">
      <c r="A29" s="3" t="s">
        <v>104</v>
      </c>
      <c r="B29" s="193"/>
      <c r="C29" s="193"/>
      <c r="D29" s="400"/>
      <c r="E29" s="401"/>
      <c r="F29" s="268"/>
      <c r="G29" s="264">
        <f t="shared" si="5"/>
        <v>0</v>
      </c>
    </row>
    <row r="32" spans="1:7">
      <c r="A32" s="384" t="s">
        <v>157</v>
      </c>
      <c r="B32" s="385"/>
      <c r="C32" s="385"/>
      <c r="D32" s="385"/>
      <c r="E32" s="385"/>
      <c r="F32" s="386"/>
      <c r="G32" s="21" t="s">
        <v>156</v>
      </c>
    </row>
    <row r="33" spans="1:7">
      <c r="A33" s="387" t="s">
        <v>158</v>
      </c>
      <c r="B33" s="388"/>
      <c r="C33" s="388"/>
      <c r="D33" s="388"/>
      <c r="E33" s="388"/>
      <c r="F33" s="389"/>
      <c r="G33" s="193"/>
    </row>
    <row r="34" spans="1:7">
      <c r="A34" s="387" t="s">
        <v>159</v>
      </c>
      <c r="B34" s="388"/>
      <c r="C34" s="388"/>
      <c r="D34" s="388"/>
      <c r="E34" s="388"/>
      <c r="F34" s="389"/>
      <c r="G34" s="193"/>
    </row>
    <row r="35" spans="1:7">
      <c r="A35" s="387" t="s">
        <v>160</v>
      </c>
      <c r="B35" s="388"/>
      <c r="C35" s="388"/>
      <c r="D35" s="388"/>
      <c r="E35" s="388"/>
      <c r="F35" s="389"/>
      <c r="G35" s="193"/>
    </row>
    <row r="36" spans="1:7">
      <c r="A36" s="390" t="s">
        <v>161</v>
      </c>
      <c r="B36" s="391"/>
      <c r="C36" s="391"/>
      <c r="D36" s="391"/>
      <c r="E36" s="391"/>
      <c r="F36" s="392"/>
      <c r="G36" s="275">
        <f>G35/12</f>
        <v>0</v>
      </c>
    </row>
    <row r="39" spans="1:7">
      <c r="A39" s="337" t="s">
        <v>162</v>
      </c>
      <c r="B39" s="337"/>
      <c r="C39" s="337"/>
      <c r="D39" s="337"/>
      <c r="E39" s="337"/>
    </row>
    <row r="40" spans="1:7">
      <c r="A40" s="1"/>
      <c r="B40" s="1"/>
      <c r="C40" s="1"/>
      <c r="D40" s="1"/>
      <c r="E40" s="1"/>
    </row>
    <row r="41" spans="1:7">
      <c r="A41" s="276" t="s">
        <v>163</v>
      </c>
      <c r="B41" s="276" t="s">
        <v>164</v>
      </c>
      <c r="C41" s="276" t="s">
        <v>165</v>
      </c>
      <c r="D41" s="393" t="s">
        <v>166</v>
      </c>
      <c r="E41" s="393"/>
    </row>
    <row r="42" spans="1:7">
      <c r="A42" s="277"/>
      <c r="B42" s="278"/>
      <c r="C42" s="193"/>
      <c r="D42" s="394"/>
      <c r="E42" s="395"/>
    </row>
    <row r="43" spans="1:7">
      <c r="A43" s="277"/>
      <c r="B43" s="278"/>
      <c r="C43" s="193"/>
      <c r="D43" s="394"/>
      <c r="E43" s="395"/>
    </row>
    <row r="44" spans="1:7">
      <c r="A44" s="277"/>
      <c r="B44" s="278"/>
      <c r="C44" s="193"/>
      <c r="D44" s="394"/>
      <c r="E44" s="395"/>
    </row>
    <row r="45" spans="1:7">
      <c r="A45" s="277"/>
      <c r="B45" s="278"/>
      <c r="C45" s="193"/>
      <c r="D45" s="394"/>
      <c r="E45" s="395"/>
    </row>
    <row r="46" spans="1:7">
      <c r="A46" s="277"/>
      <c r="B46" s="278"/>
      <c r="C46" s="193"/>
      <c r="D46" s="394"/>
      <c r="E46" s="395"/>
    </row>
    <row r="47" spans="1:7">
      <c r="A47" s="277"/>
      <c r="B47" s="278"/>
      <c r="C47" s="193"/>
      <c r="D47" s="394"/>
      <c r="E47" s="395"/>
    </row>
    <row r="48" spans="1:7">
      <c r="A48" s="277"/>
      <c r="B48" s="278"/>
      <c r="C48" s="193"/>
      <c r="D48" s="394"/>
      <c r="E48" s="395"/>
    </row>
    <row r="49" spans="1:5">
      <c r="A49" s="277"/>
      <c r="B49" s="278"/>
      <c r="C49" s="193"/>
      <c r="D49" s="394"/>
      <c r="E49" s="395"/>
    </row>
    <row r="50" spans="1:5">
      <c r="A50" s="277"/>
      <c r="B50" s="278"/>
      <c r="C50" s="193"/>
      <c r="D50" s="394"/>
      <c r="E50" s="395"/>
    </row>
    <row r="51" spans="1:5">
      <c r="A51" s="277"/>
      <c r="B51" s="278"/>
      <c r="C51" s="193"/>
      <c r="D51" s="394"/>
      <c r="E51" s="395"/>
    </row>
    <row r="52" spans="1:5">
      <c r="A52" s="277"/>
      <c r="B52" s="278"/>
      <c r="C52" s="193"/>
      <c r="D52" s="394"/>
      <c r="E52" s="395"/>
    </row>
    <row r="53" spans="1:5">
      <c r="A53" s="277"/>
      <c r="B53" s="278"/>
      <c r="C53" s="193"/>
      <c r="D53" s="394"/>
      <c r="E53" s="395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65" t="s">
        <v>170</v>
      </c>
      <c r="B1" s="265" t="s">
        <v>171</v>
      </c>
      <c r="C1" s="265">
        <f>E1-2</f>
        <v>2021</v>
      </c>
      <c r="D1" s="265">
        <f>E1-1</f>
        <v>2022</v>
      </c>
      <c r="E1" s="265">
        <f>IF(BasicInput!C1="Prime",IF(Prime1!B7="",2020,Prime1!B7),IF(Afford1!B7="",2020,Afford1!B7))</f>
        <v>2023</v>
      </c>
      <c r="F1" s="265">
        <f>E1+1</f>
        <v>2024</v>
      </c>
      <c r="G1" s="265">
        <f>E1+2</f>
        <v>2025</v>
      </c>
    </row>
    <row r="2" spans="1:7">
      <c r="A2" s="266" t="s">
        <v>172</v>
      </c>
      <c r="B2" s="266" t="s">
        <v>173</v>
      </c>
      <c r="C2" s="267">
        <f>IF(BasicInput!$C$1="Prime",PrimeConsolidated!E8,AffordConsolidated!E9)*100000+'44AD,44ADA,44AEIncome'!D116</f>
        <v>1470800</v>
      </c>
      <c r="D2" s="267">
        <f>IF(BasicInput!$C$1="Prime",PrimeConsolidated!D8,AffordConsolidated!D9)*100000+'44AD,44ADA,44AEIncome'!C116</f>
        <v>1571200</v>
      </c>
      <c r="E2" s="267">
        <f>IF(BasicInput!$C$1="Prime",PrimeConsolidated!C8,AffordConsolidated!C9)*100000+'44AD,44ADA,44AEIncome'!B116</f>
        <v>1698700</v>
      </c>
      <c r="F2" s="267">
        <v>0</v>
      </c>
      <c r="G2" s="267">
        <v>0</v>
      </c>
    </row>
    <row r="3" spans="1:7">
      <c r="A3" s="266" t="s">
        <v>174</v>
      </c>
      <c r="B3" s="266" t="s">
        <v>175</v>
      </c>
      <c r="C3" s="267">
        <f>PrimeConsolidated!E9*100000</f>
        <v>0</v>
      </c>
      <c r="D3" s="267">
        <f>PrimeConsolidated!D9*100000</f>
        <v>0</v>
      </c>
      <c r="E3" s="267">
        <f>PrimeConsolidated!C9*100000</f>
        <v>0</v>
      </c>
      <c r="F3" s="267">
        <v>0</v>
      </c>
      <c r="G3" s="267">
        <v>0</v>
      </c>
    </row>
    <row r="4" spans="1:7">
      <c r="A4" s="266" t="s">
        <v>176</v>
      </c>
      <c r="B4" s="266" t="s">
        <v>177</v>
      </c>
      <c r="C4" s="267">
        <f>AffordConsolidated!E10*100000</f>
        <v>0</v>
      </c>
      <c r="D4" s="267">
        <f>AffordConsolidated!D10*100000</f>
        <v>0</v>
      </c>
      <c r="E4" s="267">
        <f>AffordConsolidated!C10*100000</f>
        <v>0</v>
      </c>
      <c r="F4" s="267">
        <v>0</v>
      </c>
      <c r="G4" s="267">
        <v>0</v>
      </c>
    </row>
    <row r="5" spans="1:7">
      <c r="A5" s="266" t="s">
        <v>178</v>
      </c>
      <c r="B5" s="266" t="s">
        <v>179</v>
      </c>
      <c r="C5" s="267">
        <f>IF(BasicInput!$C$1="Prime",SUM(PrimeConsolidated!E10:E19),AffordConsolidated!E12)*100000</f>
        <v>0</v>
      </c>
      <c r="D5" s="267">
        <f>IF(BasicInput!$C$1="Prime",SUM(PrimeConsolidated!D10:D19),AffordConsolidated!D12)*100000</f>
        <v>0</v>
      </c>
      <c r="E5" s="267">
        <f>IF(BasicInput!$C$1="Prime",SUM(PrimeConsolidated!C10:C19),AffordConsolidated!C12)*100000</f>
        <v>0</v>
      </c>
      <c r="F5" s="267">
        <v>0</v>
      </c>
      <c r="G5" s="267">
        <v>0</v>
      </c>
    </row>
    <row r="6" spans="1:7">
      <c r="A6" s="266" t="s">
        <v>180</v>
      </c>
      <c r="B6" s="266" t="s">
        <v>181</v>
      </c>
      <c r="C6" s="267">
        <v>0</v>
      </c>
      <c r="D6" s="267">
        <v>0</v>
      </c>
      <c r="E6" s="267">
        <v>0</v>
      </c>
      <c r="F6" s="267">
        <v>0</v>
      </c>
      <c r="G6" s="267">
        <v>0</v>
      </c>
    </row>
    <row r="7" spans="1:7">
      <c r="A7" s="266" t="s">
        <v>182</v>
      </c>
      <c r="B7" s="266" t="s">
        <v>183</v>
      </c>
      <c r="C7" s="267">
        <v>0</v>
      </c>
      <c r="D7" s="267">
        <v>0</v>
      </c>
      <c r="E7" s="267">
        <v>0</v>
      </c>
      <c r="F7" s="267">
        <v>0</v>
      </c>
      <c r="G7" s="267">
        <v>0</v>
      </c>
    </row>
    <row r="8" spans="1:7">
      <c r="A8" s="266" t="s">
        <v>184</v>
      </c>
      <c r="B8" s="266" t="s">
        <v>185</v>
      </c>
      <c r="C8" s="267">
        <v>0</v>
      </c>
      <c r="D8" s="267">
        <v>0</v>
      </c>
      <c r="E8" s="267">
        <v>0</v>
      </c>
      <c r="F8" s="267">
        <v>0</v>
      </c>
      <c r="G8" s="267">
        <v>0</v>
      </c>
    </row>
    <row r="9" spans="1:7">
      <c r="A9" s="266" t="s">
        <v>186</v>
      </c>
      <c r="B9" s="266" t="s">
        <v>187</v>
      </c>
      <c r="C9" s="267">
        <v>0</v>
      </c>
      <c r="D9" s="267">
        <v>0</v>
      </c>
      <c r="E9" s="267">
        <v>0</v>
      </c>
      <c r="F9" s="267">
        <v>0</v>
      </c>
      <c r="G9" s="267">
        <v>0</v>
      </c>
    </row>
    <row r="10" spans="1:7">
      <c r="A10" s="266" t="s">
        <v>188</v>
      </c>
      <c r="B10" s="266" t="s">
        <v>189</v>
      </c>
      <c r="C10" s="267">
        <v>0</v>
      </c>
      <c r="D10" s="267">
        <v>0</v>
      </c>
      <c r="E10" s="267">
        <v>0</v>
      </c>
      <c r="F10" s="267">
        <v>0</v>
      </c>
      <c r="G10" s="267">
        <v>0</v>
      </c>
    </row>
    <row r="11" spans="1:7">
      <c r="A11" s="266" t="s">
        <v>190</v>
      </c>
      <c r="B11" s="266" t="s">
        <v>187</v>
      </c>
      <c r="C11" s="267">
        <v>0</v>
      </c>
      <c r="D11" s="267">
        <v>0</v>
      </c>
      <c r="E11" s="267">
        <v>0</v>
      </c>
      <c r="F11" s="267">
        <v>0</v>
      </c>
      <c r="G11" s="267">
        <v>0</v>
      </c>
    </row>
    <row r="12" spans="1:7">
      <c r="A12" s="266" t="s">
        <v>191</v>
      </c>
      <c r="B12" s="266" t="s">
        <v>189</v>
      </c>
      <c r="C12" s="267">
        <v>0</v>
      </c>
      <c r="D12" s="267">
        <v>0</v>
      </c>
      <c r="E12" s="267">
        <v>0</v>
      </c>
      <c r="F12" s="267">
        <v>0</v>
      </c>
      <c r="G12" s="267">
        <v>0</v>
      </c>
    </row>
    <row r="13" spans="1:7">
      <c r="A13" s="266" t="s">
        <v>192</v>
      </c>
      <c r="B13" s="266" t="s">
        <v>193</v>
      </c>
      <c r="C13" s="267">
        <v>0</v>
      </c>
      <c r="D13" s="267">
        <v>0</v>
      </c>
      <c r="E13" s="267">
        <v>0</v>
      </c>
      <c r="F13" s="267">
        <v>0</v>
      </c>
      <c r="G13" s="267">
        <v>0</v>
      </c>
    </row>
    <row r="14" spans="1:7">
      <c r="A14" s="266" t="s">
        <v>194</v>
      </c>
      <c r="B14" s="266" t="s">
        <v>195</v>
      </c>
      <c r="C14" s="267">
        <f>PrimeConsolidated!E28*100000</f>
        <v>0</v>
      </c>
      <c r="D14" s="267">
        <f>PrimeConsolidated!D28*100000</f>
        <v>0</v>
      </c>
      <c r="E14" s="267">
        <f>PrimeConsolidated!C28*100000</f>
        <v>0</v>
      </c>
      <c r="F14" s="267">
        <v>0</v>
      </c>
      <c r="G14" s="267">
        <v>0</v>
      </c>
    </row>
    <row r="15" spans="1:7">
      <c r="A15" s="266" t="s">
        <v>196</v>
      </c>
      <c r="B15" s="266" t="s">
        <v>197</v>
      </c>
      <c r="C15" s="267">
        <f>IF(BasicInput!$C$1="Prime",PrimeConsolidated!E25,AffordConsolidated!E16)*100000</f>
        <v>0</v>
      </c>
      <c r="D15" s="267">
        <f>IF(BasicInput!$C$1="Prime",PrimeConsolidated!D25,AffordConsolidated!D16)*100000</f>
        <v>0</v>
      </c>
      <c r="E15" s="267">
        <f>IF(BasicInput!$C$1="Prime",PrimeConsolidated!C25,AffordConsolidated!C16)*100000</f>
        <v>0</v>
      </c>
      <c r="F15" s="267">
        <v>0</v>
      </c>
      <c r="G15" s="267">
        <v>0</v>
      </c>
    </row>
    <row r="16" spans="1:7">
      <c r="A16" s="266" t="s">
        <v>198</v>
      </c>
      <c r="B16" s="266" t="s">
        <v>199</v>
      </c>
      <c r="C16" s="267">
        <f>IF(BasicInput!$C$1="Prime",PrimeConsolidated!E32,AffordConsolidated!E23)*100000</f>
        <v>0</v>
      </c>
      <c r="D16" s="267">
        <f>IF(BasicInput!$C$1="Prime",PrimeConsolidated!D32,AffordConsolidated!D23)*100000</f>
        <v>0</v>
      </c>
      <c r="E16" s="267">
        <f>IF(BasicInput!$C$1="Prime",PrimeConsolidated!C32,AffordConsolidated!C23)*100000</f>
        <v>0</v>
      </c>
      <c r="F16" s="267">
        <v>0</v>
      </c>
      <c r="G16" s="267">
        <v>0</v>
      </c>
    </row>
    <row r="17" spans="1:7">
      <c r="A17" s="266" t="s">
        <v>200</v>
      </c>
      <c r="B17" s="266" t="s">
        <v>201</v>
      </c>
      <c r="C17" s="267">
        <v>0</v>
      </c>
      <c r="D17" s="267">
        <v>0</v>
      </c>
      <c r="E17" s="267">
        <v>0</v>
      </c>
      <c r="F17" s="267">
        <v>0</v>
      </c>
      <c r="G17" s="267">
        <v>0</v>
      </c>
    </row>
    <row r="18" spans="1:7">
      <c r="A18" s="266" t="s">
        <v>202</v>
      </c>
      <c r="B18" s="266" t="s">
        <v>203</v>
      </c>
      <c r="C18" s="267">
        <f>IF(BasicInput!$C$1="Prime",PrimeConsolidated!E21,AffordConsolidated!E15)*100000</f>
        <v>0</v>
      </c>
      <c r="D18" s="267">
        <f>IF(BasicInput!$C$1="Prime",PrimeConsolidated!D21,AffordConsolidated!D15)*100000</f>
        <v>0</v>
      </c>
      <c r="E18" s="267">
        <f>IF(BasicInput!$C$1="Prime",PrimeConsolidated!C21,AffordConsolidated!C15)*100000</f>
        <v>0</v>
      </c>
      <c r="F18" s="267">
        <v>0</v>
      </c>
      <c r="G18" s="267">
        <v>0</v>
      </c>
    </row>
    <row r="19" spans="1:7">
      <c r="A19" s="266" t="s">
        <v>204</v>
      </c>
      <c r="B19" s="266" t="s">
        <v>205</v>
      </c>
      <c r="C19" s="267">
        <v>0</v>
      </c>
      <c r="D19" s="267">
        <v>0</v>
      </c>
      <c r="E19" s="267">
        <v>0</v>
      </c>
      <c r="F19" s="267">
        <v>0</v>
      </c>
      <c r="G19" s="267">
        <v>0</v>
      </c>
    </row>
    <row r="20" spans="1:7">
      <c r="A20" s="266" t="s">
        <v>206</v>
      </c>
      <c r="B20" s="266" t="s">
        <v>207</v>
      </c>
      <c r="C20" s="267">
        <v>0</v>
      </c>
      <c r="D20" s="267">
        <v>0</v>
      </c>
      <c r="E20" s="267">
        <v>0</v>
      </c>
      <c r="F20" s="267">
        <v>0</v>
      </c>
      <c r="G20" s="267">
        <v>0</v>
      </c>
    </row>
    <row r="21" spans="1:7">
      <c r="A21" s="266" t="s">
        <v>208</v>
      </c>
      <c r="B21" s="266" t="s">
        <v>209</v>
      </c>
      <c r="C21" s="267">
        <v>0</v>
      </c>
      <c r="D21" s="267">
        <v>0</v>
      </c>
      <c r="E21" s="267">
        <v>0</v>
      </c>
      <c r="F21" s="267">
        <v>0</v>
      </c>
      <c r="G21" s="267">
        <v>0</v>
      </c>
    </row>
    <row r="22" spans="1:7">
      <c r="A22" s="266" t="s">
        <v>210</v>
      </c>
      <c r="B22" s="266" t="s">
        <v>211</v>
      </c>
      <c r="C22" s="267">
        <v>0</v>
      </c>
      <c r="D22" s="267">
        <v>0</v>
      </c>
      <c r="E22" s="267">
        <v>0</v>
      </c>
      <c r="F22" s="267">
        <v>0</v>
      </c>
      <c r="G22" s="267">
        <v>0</v>
      </c>
    </row>
    <row r="23" spans="1:7">
      <c r="A23" s="266" t="s">
        <v>212</v>
      </c>
      <c r="B23" s="266" t="s">
        <v>213</v>
      </c>
      <c r="C23" s="267">
        <f>IF(BasicInput!$C$1="Prime",SUM(PrimeConsolidated!E29:E30),AffordConsolidated!E19)*100000+'44AD,44ADA,44AEIncome'!D120</f>
        <v>1029560</v>
      </c>
      <c r="D23" s="267">
        <f>IF(BasicInput!$C$1="Prime",SUM(PrimeConsolidated!D29:D30),AffordConsolidated!D19)*100000+'44AD,44ADA,44AEIncome'!C120</f>
        <v>1099840</v>
      </c>
      <c r="E23" s="267">
        <f>IF(BasicInput!$C$1="Prime",SUM(PrimeConsolidated!C29:C30),AffordConsolidated!C19)*100000+'44AD,44ADA,44AEIncome'!B120</f>
        <v>1216140</v>
      </c>
      <c r="F23" s="267">
        <v>0</v>
      </c>
      <c r="G23" s="267">
        <v>0</v>
      </c>
    </row>
    <row r="24" spans="1:7">
      <c r="A24" s="266" t="s">
        <v>214</v>
      </c>
      <c r="B24" s="266" t="s">
        <v>215</v>
      </c>
      <c r="C24" s="267">
        <f>PrimeConsolidated!E37*100000</f>
        <v>0</v>
      </c>
      <c r="D24" s="267">
        <f>PrimeConsolidated!D37*100000</f>
        <v>0</v>
      </c>
      <c r="E24" s="267">
        <f>PrimeConsolidated!C37*100000</f>
        <v>0</v>
      </c>
      <c r="F24" s="267">
        <v>0</v>
      </c>
      <c r="G24" s="267">
        <v>0</v>
      </c>
    </row>
    <row r="25" spans="1:7">
      <c r="A25" s="266" t="s">
        <v>216</v>
      </c>
      <c r="B25" s="266" t="s">
        <v>217</v>
      </c>
      <c r="C25" s="267">
        <f>IF(BasicInput!$C$1="Prime",PrimeConsolidated!E38,AffordConsolidated!E25)*100000</f>
        <v>0</v>
      </c>
      <c r="D25" s="267">
        <f>IF(BasicInput!$C$1="Prime",PrimeConsolidated!D38,AffordConsolidated!D25)*100000</f>
        <v>0</v>
      </c>
      <c r="E25" s="267">
        <f>IF(BasicInput!$C$1="Prime",PrimeConsolidated!C38,AffordConsolidated!C25)*100000</f>
        <v>0</v>
      </c>
      <c r="F25" s="267">
        <v>0</v>
      </c>
      <c r="G25" s="267">
        <v>0</v>
      </c>
    </row>
    <row r="26" spans="1:7">
      <c r="A26" s="266" t="s">
        <v>218</v>
      </c>
      <c r="B26" s="266" t="s">
        <v>215</v>
      </c>
      <c r="C26" s="267">
        <v>0</v>
      </c>
      <c r="D26" s="267">
        <v>0</v>
      </c>
      <c r="E26" s="267">
        <v>0</v>
      </c>
      <c r="F26" s="267">
        <v>0</v>
      </c>
      <c r="G26" s="267">
        <v>0</v>
      </c>
    </row>
    <row r="27" spans="1:7">
      <c r="A27" s="266" t="s">
        <v>219</v>
      </c>
      <c r="B27" s="266" t="s">
        <v>217</v>
      </c>
      <c r="C27" s="267">
        <f>PrimeConsolidated!E40*100000</f>
        <v>0</v>
      </c>
      <c r="D27" s="267">
        <f>PrimeConsolidated!D40*100000</f>
        <v>0</v>
      </c>
      <c r="E27" s="267">
        <f>PrimeConsolidated!C40*100000</f>
        <v>0</v>
      </c>
      <c r="F27" s="267">
        <v>0</v>
      </c>
      <c r="G27" s="267">
        <v>0</v>
      </c>
    </row>
    <row r="28" spans="1:7">
      <c r="A28" s="266" t="s">
        <v>220</v>
      </c>
      <c r="B28" s="266" t="s">
        <v>221</v>
      </c>
      <c r="C28" s="267">
        <v>0</v>
      </c>
      <c r="D28" s="267">
        <v>0</v>
      </c>
      <c r="E28" s="267">
        <v>0</v>
      </c>
      <c r="F28" s="267">
        <v>0</v>
      </c>
      <c r="G28" s="267">
        <v>0</v>
      </c>
    </row>
    <row r="29" spans="1:7">
      <c r="A29" s="266" t="s">
        <v>222</v>
      </c>
      <c r="B29" s="266" t="s">
        <v>223</v>
      </c>
      <c r="C29" s="267">
        <v>0</v>
      </c>
      <c r="D29" s="267">
        <v>0</v>
      </c>
      <c r="E29" s="267">
        <v>0</v>
      </c>
      <c r="F29" s="267">
        <v>0</v>
      </c>
      <c r="G29" s="267">
        <v>0</v>
      </c>
    </row>
    <row r="30" spans="1:7">
      <c r="A30" s="266" t="s">
        <v>224</v>
      </c>
      <c r="B30" s="266" t="s">
        <v>225</v>
      </c>
      <c r="C30" s="267">
        <v>0</v>
      </c>
      <c r="D30" s="267">
        <v>0</v>
      </c>
      <c r="E30" s="267">
        <v>0</v>
      </c>
      <c r="F30" s="267">
        <v>0</v>
      </c>
      <c r="G30" s="267">
        <v>0</v>
      </c>
    </row>
    <row r="31" spans="1:7">
      <c r="A31" s="266" t="s">
        <v>226</v>
      </c>
      <c r="B31" s="266" t="s">
        <v>227</v>
      </c>
      <c r="C31" s="267">
        <v>0</v>
      </c>
      <c r="D31" s="267">
        <v>0</v>
      </c>
      <c r="E31" s="267">
        <v>0</v>
      </c>
      <c r="F31" s="267">
        <v>0</v>
      </c>
      <c r="G31" s="267">
        <v>0</v>
      </c>
    </row>
    <row r="32" spans="1:7">
      <c r="A32" s="266" t="s">
        <v>228</v>
      </c>
      <c r="B32" s="266" t="s">
        <v>229</v>
      </c>
      <c r="C32" s="267">
        <v>0</v>
      </c>
      <c r="D32" s="267">
        <v>0</v>
      </c>
      <c r="E32" s="267">
        <v>0</v>
      </c>
      <c r="F32" s="267">
        <v>0</v>
      </c>
      <c r="G32" s="267">
        <v>0</v>
      </c>
    </row>
    <row r="33" spans="1:7">
      <c r="A33" s="266" t="s">
        <v>230</v>
      </c>
      <c r="B33" s="266" t="s">
        <v>231</v>
      </c>
      <c r="C33" s="267">
        <v>0</v>
      </c>
      <c r="D33" s="267">
        <v>0</v>
      </c>
      <c r="E33" s="267">
        <v>0</v>
      </c>
      <c r="F33" s="267">
        <v>0</v>
      </c>
      <c r="G33" s="267">
        <v>0</v>
      </c>
    </row>
    <row r="34" spans="1:7">
      <c r="A34" s="266" t="s">
        <v>232</v>
      </c>
      <c r="B34" s="266" t="s">
        <v>233</v>
      </c>
      <c r="C34" s="267">
        <v>0</v>
      </c>
      <c r="D34" s="267">
        <v>0</v>
      </c>
      <c r="E34" s="267">
        <v>0</v>
      </c>
      <c r="F34" s="267">
        <v>0</v>
      </c>
      <c r="G34" s="267">
        <v>0</v>
      </c>
    </row>
    <row r="35" spans="1:7">
      <c r="A35" s="266" t="s">
        <v>234</v>
      </c>
      <c r="B35" s="266" t="s">
        <v>235</v>
      </c>
      <c r="C35" s="267">
        <f>IF(BasicInput!$C$1="Prime",PrimeConsolidated!E27,AffordConsolidated!E27)*100000</f>
        <v>0</v>
      </c>
      <c r="D35" s="267">
        <f>IF(BasicInput!$C$1="Prime",PrimeConsolidated!D27,AffordConsolidated!D27)*100000</f>
        <v>0</v>
      </c>
      <c r="E35" s="267">
        <f>IF(BasicInput!$C$1="Prime",PrimeConsolidated!C27,AffordConsolidated!C27)*100000</f>
        <v>0</v>
      </c>
      <c r="F35" s="267">
        <v>0</v>
      </c>
      <c r="G35" s="267">
        <v>0</v>
      </c>
    </row>
    <row r="36" spans="1:7">
      <c r="A36" s="266" t="s">
        <v>236</v>
      </c>
      <c r="B36" s="266" t="s">
        <v>237</v>
      </c>
      <c r="C36" s="267">
        <v>0</v>
      </c>
      <c r="D36" s="267">
        <v>0</v>
      </c>
      <c r="E36" s="267">
        <v>0</v>
      </c>
      <c r="F36" s="267">
        <v>0</v>
      </c>
      <c r="G36" s="267">
        <v>0</v>
      </c>
    </row>
    <row r="37" spans="1:7">
      <c r="A37" s="266" t="s">
        <v>238</v>
      </c>
      <c r="B37" s="266" t="s">
        <v>239</v>
      </c>
      <c r="C37" s="267">
        <v>0</v>
      </c>
      <c r="D37" s="267">
        <v>0</v>
      </c>
      <c r="E37" s="267">
        <v>0</v>
      </c>
      <c r="F37" s="267">
        <v>0</v>
      </c>
      <c r="G37" s="267">
        <v>0</v>
      </c>
    </row>
    <row r="38" spans="1:7">
      <c r="A38" s="266" t="s">
        <v>240</v>
      </c>
      <c r="B38" s="266" t="s">
        <v>241</v>
      </c>
      <c r="C38" s="267">
        <v>0</v>
      </c>
      <c r="D38" s="267">
        <v>0</v>
      </c>
      <c r="E38" s="267">
        <v>0</v>
      </c>
      <c r="F38" s="267">
        <v>0</v>
      </c>
      <c r="G38" s="267">
        <v>0</v>
      </c>
    </row>
    <row r="39" spans="1:7">
      <c r="A39" s="266" t="s">
        <v>242</v>
      </c>
      <c r="B39" s="266" t="s">
        <v>243</v>
      </c>
      <c r="C39" s="267">
        <v>0</v>
      </c>
      <c r="D39" s="267">
        <v>0</v>
      </c>
      <c r="E39" s="267">
        <v>0</v>
      </c>
      <c r="F39" s="267">
        <v>0</v>
      </c>
      <c r="G39" s="267">
        <v>0</v>
      </c>
    </row>
    <row r="40" spans="1:7">
      <c r="A40" s="266" t="s">
        <v>244</v>
      </c>
      <c r="B40" s="266" t="s">
        <v>245</v>
      </c>
      <c r="C40" s="267">
        <f>PrimeConsolidated!E34*100000</f>
        <v>0</v>
      </c>
      <c r="D40" s="267">
        <f>PrimeConsolidated!D34*100000</f>
        <v>0</v>
      </c>
      <c r="E40" s="267">
        <f>PrimeConsolidated!C34*100000</f>
        <v>0</v>
      </c>
      <c r="F40" s="267">
        <v>0</v>
      </c>
      <c r="G40" s="267">
        <v>0</v>
      </c>
    </row>
    <row r="41" spans="1:7">
      <c r="A41" s="266" t="s">
        <v>246</v>
      </c>
      <c r="B41" s="266" t="s">
        <v>247</v>
      </c>
      <c r="C41" s="267">
        <f>IF(BasicInput!$C$1="Prime",PrimeConsolidated!E35,AffordConsolidated!E28)*100000</f>
        <v>0</v>
      </c>
      <c r="D41" s="267">
        <f>IF(BasicInput!$C$1="Prime",PrimeConsolidated!D35,AffordConsolidated!D28)*100000</f>
        <v>0</v>
      </c>
      <c r="E41" s="267">
        <f>IF(BasicInput!$C$1="Prime",PrimeConsolidated!C35,AffordConsolidated!C28)*100000</f>
        <v>0</v>
      </c>
      <c r="F41" s="267">
        <v>0</v>
      </c>
      <c r="G41" s="267">
        <v>0</v>
      </c>
    </row>
    <row r="42" spans="1:7">
      <c r="A42" s="266" t="s">
        <v>248</v>
      </c>
      <c r="B42" s="266" t="s">
        <v>249</v>
      </c>
      <c r="C42" s="267">
        <f>PrimeConsolidated!E33*100000</f>
        <v>0</v>
      </c>
      <c r="D42" s="267">
        <f>PrimeConsolidated!D33*100000</f>
        <v>0</v>
      </c>
      <c r="E42" s="267">
        <f>PrimeConsolidated!C33*100000</f>
        <v>0</v>
      </c>
      <c r="F42" s="267">
        <v>0</v>
      </c>
      <c r="G42" s="267">
        <v>0</v>
      </c>
    </row>
    <row r="43" spans="1:7">
      <c r="A43" s="266" t="s">
        <v>250</v>
      </c>
      <c r="B43" s="266" t="s">
        <v>251</v>
      </c>
      <c r="C43" s="267">
        <v>0</v>
      </c>
      <c r="D43" s="267">
        <v>0</v>
      </c>
      <c r="E43" s="267">
        <v>0</v>
      </c>
      <c r="F43" s="267">
        <v>0</v>
      </c>
      <c r="G43" s="267">
        <v>0</v>
      </c>
    </row>
    <row r="44" spans="1:7">
      <c r="A44" s="266" t="s">
        <v>252</v>
      </c>
      <c r="B44" s="266" t="s">
        <v>253</v>
      </c>
      <c r="C44" s="267">
        <f>IF(BasicInput!$C$1="Prime",PrimeConsolidated!E43,AffordConsolidated!E30)*100000+'44AD,44ADA,44AEIncome'!D118</f>
        <v>0</v>
      </c>
      <c r="D44" s="267">
        <f>IF(BasicInput!$C$1="Prime",PrimeConsolidated!D43,AffordConsolidated!D30)*100000+'44AD,44ADA,44AEIncome'!C118</f>
        <v>0</v>
      </c>
      <c r="E44" s="267">
        <f>IF(BasicInput!$C$1="Prime",PrimeConsolidated!C43,AffordConsolidated!C30)*100000+'44AD,44ADA,44AEIncome'!B118</f>
        <v>0</v>
      </c>
      <c r="F44" s="267">
        <v>0</v>
      </c>
      <c r="G44" s="267">
        <v>0</v>
      </c>
    </row>
    <row r="45" spans="1:7">
      <c r="A45" s="266" t="s">
        <v>254</v>
      </c>
      <c r="B45" s="266" t="s">
        <v>255</v>
      </c>
      <c r="C45" s="267">
        <v>0</v>
      </c>
      <c r="D45" s="267">
        <v>0</v>
      </c>
      <c r="E45" s="267">
        <v>0</v>
      </c>
      <c r="F45" s="267">
        <v>0</v>
      </c>
      <c r="G45" s="267">
        <v>0</v>
      </c>
    </row>
    <row r="46" spans="1:7">
      <c r="A46" s="266" t="s">
        <v>256</v>
      </c>
      <c r="B46" s="266" t="s">
        <v>257</v>
      </c>
      <c r="C46" s="267">
        <v>0</v>
      </c>
      <c r="D46" s="267">
        <v>0</v>
      </c>
      <c r="E46" s="267">
        <v>0</v>
      </c>
      <c r="F46" s="267">
        <v>0</v>
      </c>
      <c r="G46" s="267">
        <v>0</v>
      </c>
    </row>
    <row r="47" spans="1:7">
      <c r="A47" s="266" t="s">
        <v>258</v>
      </c>
      <c r="B47" s="266" t="s">
        <v>259</v>
      </c>
      <c r="C47" s="267">
        <v>0</v>
      </c>
      <c r="D47" s="267">
        <v>0</v>
      </c>
      <c r="E47" s="267">
        <v>0</v>
      </c>
      <c r="F47" s="267">
        <v>0</v>
      </c>
      <c r="G47" s="267">
        <v>0</v>
      </c>
    </row>
    <row r="48" spans="1:7">
      <c r="A48" s="266" t="s">
        <v>260</v>
      </c>
      <c r="B48" s="266" t="s">
        <v>261</v>
      </c>
      <c r="C48" s="267">
        <v>0</v>
      </c>
      <c r="D48" s="267">
        <v>0</v>
      </c>
      <c r="E48" s="267">
        <v>0</v>
      </c>
      <c r="F48" s="267">
        <v>0</v>
      </c>
      <c r="G48" s="267">
        <v>0</v>
      </c>
    </row>
    <row r="49" spans="1:7">
      <c r="A49" s="266" t="s">
        <v>262</v>
      </c>
      <c r="B49" s="266" t="s">
        <v>263</v>
      </c>
      <c r="C49" s="267">
        <f>IF(BasicInput!$C$1="Prime",PrimeConsolidated!E45,AffordConsolidated!E33)*100000</f>
        <v>0</v>
      </c>
      <c r="D49" s="267">
        <f>IF(BasicInput!$C$1="Prime",PrimeConsolidated!D45,AffordConsolidated!D33)*100000</f>
        <v>0</v>
      </c>
      <c r="E49" s="267">
        <f>IF(BasicInput!$C$1="Prime",PrimeConsolidated!C45,AffordConsolidated!C33)*100000</f>
        <v>0</v>
      </c>
      <c r="F49" s="267">
        <v>0</v>
      </c>
      <c r="G49" s="267">
        <v>0</v>
      </c>
    </row>
    <row r="50" spans="1:7">
      <c r="A50" s="266" t="s">
        <v>264</v>
      </c>
      <c r="B50" s="266" t="s">
        <v>265</v>
      </c>
      <c r="C50" s="267">
        <f>PrimeConsolidated!E46*100000</f>
        <v>0</v>
      </c>
      <c r="D50" s="267">
        <f>PrimeConsolidated!D46*100000</f>
        <v>0</v>
      </c>
      <c r="E50" s="267">
        <f>PrimeConsolidated!C46*100000</f>
        <v>0</v>
      </c>
      <c r="F50" s="267">
        <v>0</v>
      </c>
      <c r="G50" s="267">
        <v>0</v>
      </c>
    </row>
    <row r="51" spans="1:7">
      <c r="A51" s="266" t="s">
        <v>266</v>
      </c>
      <c r="B51" s="266" t="s">
        <v>267</v>
      </c>
      <c r="C51" s="267">
        <v>0</v>
      </c>
      <c r="D51" s="267">
        <v>0</v>
      </c>
      <c r="E51" s="267">
        <v>0</v>
      </c>
      <c r="F51" s="267">
        <v>0</v>
      </c>
      <c r="G51" s="267">
        <v>0</v>
      </c>
    </row>
    <row r="52" spans="1:7">
      <c r="A52" s="266" t="s">
        <v>268</v>
      </c>
      <c r="B52" s="266" t="s">
        <v>269</v>
      </c>
      <c r="C52" s="267">
        <f>IF(BasicInput!$C$1="Prime",(PrimeConsolidated!E39+PrimeConsolidated!E41),(AffordConsolidated!E34+AffordConsolidated!E35))*100000</f>
        <v>0</v>
      </c>
      <c r="D52" s="267">
        <f>IF(BasicInput!$C$1="Prime",(PrimeConsolidated!D39+PrimeConsolidated!D41),(AffordConsolidated!D34+AffordConsolidated!D35))*100000</f>
        <v>0</v>
      </c>
      <c r="E52" s="267">
        <f>IF(BasicInput!$C$1="Prime",(PrimeConsolidated!C39+PrimeConsolidated!C41),(AffordConsolidated!C34+AffordConsolidated!C35))*100000</f>
        <v>0</v>
      </c>
      <c r="F52" s="267">
        <v>0</v>
      </c>
      <c r="G52" s="267">
        <v>0</v>
      </c>
    </row>
    <row r="53" spans="1:7">
      <c r="A53" s="266" t="s">
        <v>270</v>
      </c>
      <c r="B53" s="266" t="s">
        <v>271</v>
      </c>
      <c r="C53" s="267">
        <v>0</v>
      </c>
      <c r="D53" s="267">
        <v>0</v>
      </c>
      <c r="E53" s="267">
        <v>0</v>
      </c>
      <c r="F53" s="267">
        <v>0</v>
      </c>
      <c r="G53" s="267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69930555555555596" right="0.69930555555555596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65" t="s">
        <v>170</v>
      </c>
      <c r="B1" s="265" t="s">
        <v>171</v>
      </c>
      <c r="C1" s="265">
        <f>E1-2</f>
        <v>2021</v>
      </c>
      <c r="D1" s="265">
        <f>E1-1</f>
        <v>2022</v>
      </c>
      <c r="E1" s="265">
        <f>IF(BasicInput!C1="Prime",IF(Prime1!B7="",2020,Prime1!B7),IF(Afford1!B7="",2020,Afford1!B7))</f>
        <v>2023</v>
      </c>
      <c r="F1" s="265">
        <f>E1+1</f>
        <v>2024</v>
      </c>
      <c r="G1" s="265">
        <f>E1+2</f>
        <v>2025</v>
      </c>
    </row>
    <row r="2" spans="1:7">
      <c r="A2" s="266" t="s">
        <v>272</v>
      </c>
      <c r="B2" s="266" t="s">
        <v>273</v>
      </c>
      <c r="C2" s="267">
        <f>IF(BasicInput!C1="Prime",PrimeConsolidated!E86,AffordConsolidated!E58)*100000</f>
        <v>0</v>
      </c>
      <c r="D2" s="267">
        <f>IF(BasicInput!C1="Prime",PrimeConsolidated!D86,AffordConsolidated!D58)*100000</f>
        <v>0</v>
      </c>
      <c r="E2" s="267">
        <f>IF(BasicInput!C1="Prime",PrimeConsolidated!C86,AffordConsolidated!C58)*100000</f>
        <v>0</v>
      </c>
      <c r="F2" s="267">
        <v>0</v>
      </c>
      <c r="G2" s="267">
        <v>0</v>
      </c>
    </row>
    <row r="3" spans="1:7">
      <c r="A3" s="266" t="s">
        <v>274</v>
      </c>
      <c r="B3" s="266" t="s">
        <v>275</v>
      </c>
      <c r="C3" s="267">
        <f>PrimeConsolidated!E87*100000</f>
        <v>0</v>
      </c>
      <c r="D3" s="267">
        <f>PrimeConsolidated!D87*100000</f>
        <v>0</v>
      </c>
      <c r="E3" s="267">
        <f>PrimeConsolidated!C87*100000</f>
        <v>0</v>
      </c>
      <c r="F3" s="267">
        <v>0</v>
      </c>
      <c r="G3" s="267">
        <v>0</v>
      </c>
    </row>
    <row r="4" spans="1:7">
      <c r="A4" s="266" t="s">
        <v>276</v>
      </c>
      <c r="B4" s="266" t="s">
        <v>277</v>
      </c>
      <c r="C4" s="267">
        <v>0</v>
      </c>
      <c r="D4" s="267">
        <v>0</v>
      </c>
      <c r="E4" s="267">
        <v>0</v>
      </c>
      <c r="F4" s="267">
        <v>0</v>
      </c>
      <c r="G4" s="267">
        <v>0</v>
      </c>
    </row>
    <row r="5" spans="1:7">
      <c r="A5" s="266" t="s">
        <v>278</v>
      </c>
      <c r="B5" s="266" t="s">
        <v>279</v>
      </c>
      <c r="C5" s="267">
        <f>IF(BasicInput!C1="Prime",PrimeConsolidated!E80,AffordConsolidated!E57)*100000</f>
        <v>0</v>
      </c>
      <c r="D5" s="267">
        <f>IF(BasicInput!C1="Prime",PrimeConsolidated!D80,AffordConsolidated!D57)*100000</f>
        <v>0</v>
      </c>
      <c r="E5" s="267">
        <f>IF(BasicInput!C1="Prime",PrimeConsolidated!C80,AffordConsolidated!C57)*100000</f>
        <v>0</v>
      </c>
      <c r="F5" s="267">
        <v>0</v>
      </c>
      <c r="G5" s="267">
        <v>0</v>
      </c>
    </row>
    <row r="6" spans="1:7">
      <c r="A6" s="266" t="s">
        <v>280</v>
      </c>
      <c r="B6" s="266" t="s">
        <v>281</v>
      </c>
      <c r="C6" s="267">
        <f>AffordConsolidated!E56*100000</f>
        <v>0</v>
      </c>
      <c r="D6" s="267">
        <f>AffordConsolidated!D56*100000</f>
        <v>0</v>
      </c>
      <c r="E6" s="267">
        <f>AffordConsolidated!C56*100000</f>
        <v>0</v>
      </c>
      <c r="F6" s="267">
        <v>0</v>
      </c>
      <c r="G6" s="267">
        <v>0</v>
      </c>
    </row>
    <row r="7" spans="1:7">
      <c r="A7" s="266" t="s">
        <v>282</v>
      </c>
      <c r="B7" s="266" t="s">
        <v>283</v>
      </c>
      <c r="C7" s="267">
        <v>0</v>
      </c>
      <c r="D7" s="267">
        <v>0</v>
      </c>
      <c r="E7" s="267">
        <v>0</v>
      </c>
      <c r="F7" s="267">
        <v>0</v>
      </c>
      <c r="G7" s="267">
        <v>0</v>
      </c>
    </row>
    <row r="8" spans="1:7">
      <c r="A8" s="266" t="s">
        <v>284</v>
      </c>
      <c r="B8" s="266" t="s">
        <v>285</v>
      </c>
      <c r="C8" s="267">
        <f>PrimeConsolidated!E88*100000</f>
        <v>0</v>
      </c>
      <c r="D8" s="267">
        <f>PrimeConsolidated!D88*100000</f>
        <v>0</v>
      </c>
      <c r="E8" s="267">
        <f>PrimeConsolidated!C88*100000</f>
        <v>0</v>
      </c>
      <c r="F8" s="267">
        <v>0</v>
      </c>
      <c r="G8" s="267">
        <v>0</v>
      </c>
    </row>
    <row r="9" spans="1:7">
      <c r="A9" s="266" t="s">
        <v>286</v>
      </c>
      <c r="B9" s="266" t="s">
        <v>287</v>
      </c>
      <c r="C9" s="267">
        <f>PrimeConsolidated!E81*100000</f>
        <v>0</v>
      </c>
      <c r="D9" s="267">
        <f>PrimeConsolidated!D81*100000</f>
        <v>0</v>
      </c>
      <c r="E9" s="267">
        <f>PrimeConsolidated!C81*100000</f>
        <v>0</v>
      </c>
      <c r="F9" s="267">
        <v>0</v>
      </c>
      <c r="G9" s="267">
        <v>0</v>
      </c>
    </row>
    <row r="10" spans="1:7">
      <c r="A10" s="266" t="s">
        <v>288</v>
      </c>
      <c r="B10" s="266" t="s">
        <v>289</v>
      </c>
      <c r="C10" s="267">
        <v>0</v>
      </c>
      <c r="D10" s="267">
        <v>0</v>
      </c>
      <c r="E10" s="267">
        <v>0</v>
      </c>
      <c r="F10" s="267">
        <v>0</v>
      </c>
      <c r="G10" s="267">
        <v>0</v>
      </c>
    </row>
    <row r="11" spans="1:7">
      <c r="A11" s="266" t="s">
        <v>290</v>
      </c>
      <c r="B11" s="266" t="s">
        <v>291</v>
      </c>
      <c r="C11" s="267">
        <v>0</v>
      </c>
      <c r="D11" s="267">
        <v>0</v>
      </c>
      <c r="E11" s="267">
        <v>0</v>
      </c>
      <c r="F11" s="267">
        <v>0</v>
      </c>
      <c r="G11" s="267">
        <v>0</v>
      </c>
    </row>
    <row r="12" spans="1:7">
      <c r="A12" s="266" t="s">
        <v>292</v>
      </c>
      <c r="B12" s="266" t="s">
        <v>293</v>
      </c>
      <c r="C12" s="267">
        <v>0</v>
      </c>
      <c r="D12" s="267">
        <v>0</v>
      </c>
      <c r="E12" s="267">
        <v>0</v>
      </c>
      <c r="F12" s="267">
        <v>0</v>
      </c>
      <c r="G12" s="267">
        <v>0</v>
      </c>
    </row>
    <row r="13" spans="1:7">
      <c r="A13" s="266" t="s">
        <v>294</v>
      </c>
      <c r="B13" s="266" t="s">
        <v>295</v>
      </c>
      <c r="C13" s="267">
        <f>AffordConsolidated!E51</f>
        <v>0</v>
      </c>
      <c r="D13" s="267">
        <f>AffordConsolidated!D51</f>
        <v>0</v>
      </c>
      <c r="E13" s="267">
        <f>AffordConsolidated!C51</f>
        <v>0</v>
      </c>
      <c r="F13" s="267">
        <v>0</v>
      </c>
      <c r="G13" s="267">
        <v>0</v>
      </c>
    </row>
    <row r="14" spans="1:7">
      <c r="A14" s="266" t="s">
        <v>296</v>
      </c>
      <c r="B14" s="266" t="s">
        <v>297</v>
      </c>
      <c r="C14" s="267">
        <v>0</v>
      </c>
      <c r="D14" s="267">
        <v>0</v>
      </c>
      <c r="E14" s="267">
        <v>0</v>
      </c>
      <c r="F14" s="267">
        <v>0</v>
      </c>
      <c r="G14" s="267">
        <v>0</v>
      </c>
    </row>
    <row r="15" spans="1:7">
      <c r="A15" s="266" t="s">
        <v>298</v>
      </c>
      <c r="B15" s="266" t="s">
        <v>299</v>
      </c>
      <c r="C15" s="267">
        <v>0</v>
      </c>
      <c r="D15" s="267">
        <v>0</v>
      </c>
      <c r="E15" s="267">
        <v>0</v>
      </c>
      <c r="F15" s="267">
        <v>0</v>
      </c>
      <c r="G15" s="267">
        <v>0</v>
      </c>
    </row>
    <row r="16" spans="1:7">
      <c r="A16" s="266" t="s">
        <v>300</v>
      </c>
      <c r="B16" s="266" t="s">
        <v>301</v>
      </c>
      <c r="C16" s="267">
        <f>IF(BasicInput!C1="Prime",PrimeConsolidated!E83,AffordConsolidated!E59)*100000</f>
        <v>0</v>
      </c>
      <c r="D16" s="267">
        <f>IF(BasicInput!C1="Prime",PrimeConsolidated!D83,AffordConsolidated!D59)*100000</f>
        <v>0</v>
      </c>
      <c r="E16" s="267">
        <f>IF(BasicInput!C1="Prime",PrimeConsolidated!C83,AffordConsolidated!C59)*100000</f>
        <v>0</v>
      </c>
      <c r="F16" s="267">
        <v>0</v>
      </c>
      <c r="G16" s="267">
        <v>0</v>
      </c>
    </row>
    <row r="17" spans="1:7">
      <c r="A17" s="266" t="s">
        <v>302</v>
      </c>
      <c r="B17" s="266" t="s">
        <v>303</v>
      </c>
      <c r="C17" s="267">
        <v>0</v>
      </c>
      <c r="D17" s="267">
        <v>0</v>
      </c>
      <c r="E17" s="267">
        <v>0</v>
      </c>
      <c r="F17" s="267">
        <v>0</v>
      </c>
      <c r="G17" s="267">
        <v>0</v>
      </c>
    </row>
    <row r="18" spans="1:7">
      <c r="A18" s="266" t="s">
        <v>304</v>
      </c>
      <c r="B18" s="266" t="s">
        <v>305</v>
      </c>
      <c r="C18" s="267">
        <v>0</v>
      </c>
      <c r="D18" s="267">
        <v>0</v>
      </c>
      <c r="E18" s="267">
        <v>0</v>
      </c>
      <c r="F18" s="267">
        <v>0</v>
      </c>
      <c r="G18" s="267">
        <v>0</v>
      </c>
    </row>
    <row r="19" spans="1:7">
      <c r="A19" s="266" t="s">
        <v>306</v>
      </c>
      <c r="B19" s="266" t="s">
        <v>307</v>
      </c>
      <c r="C19" s="267">
        <v>0</v>
      </c>
      <c r="D19" s="267">
        <v>0</v>
      </c>
      <c r="E19" s="267">
        <v>0</v>
      </c>
      <c r="F19" s="267">
        <v>0</v>
      </c>
      <c r="G19" s="267">
        <v>0</v>
      </c>
    </row>
    <row r="20" spans="1:7">
      <c r="A20" s="266" t="s">
        <v>308</v>
      </c>
      <c r="B20" s="266" t="s">
        <v>309</v>
      </c>
      <c r="C20" s="267">
        <v>0</v>
      </c>
      <c r="D20" s="267">
        <v>0</v>
      </c>
      <c r="E20" s="267">
        <v>0</v>
      </c>
      <c r="F20" s="267">
        <v>0</v>
      </c>
      <c r="G20" s="267">
        <v>0</v>
      </c>
    </row>
    <row r="21" spans="1:7">
      <c r="A21" s="266" t="s">
        <v>310</v>
      </c>
      <c r="B21" s="266" t="s">
        <v>311</v>
      </c>
      <c r="C21" s="267">
        <f>IF(BasicInput!C1="Prime",PrimeConsolidated!E82,AffordConsolidated!E60)*100000</f>
        <v>0</v>
      </c>
      <c r="D21" s="267">
        <f>IF(BasicInput!C1="Prime",PrimeConsolidated!D82,AffordConsolidated!D60)*100000</f>
        <v>0</v>
      </c>
      <c r="E21" s="267">
        <f>IF(BasicInput!C1="Prime",PrimeConsolidated!C82,AffordConsolidated!C60)*100000</f>
        <v>0</v>
      </c>
      <c r="F21" s="267">
        <v>0</v>
      </c>
      <c r="G21" s="267">
        <v>0</v>
      </c>
    </row>
    <row r="22" spans="1:7">
      <c r="A22" s="266" t="s">
        <v>312</v>
      </c>
      <c r="B22" s="266" t="s">
        <v>313</v>
      </c>
      <c r="C22" s="267">
        <v>0</v>
      </c>
      <c r="D22" s="267">
        <v>0</v>
      </c>
      <c r="E22" s="267">
        <v>0</v>
      </c>
      <c r="F22" s="267">
        <v>0</v>
      </c>
      <c r="G22" s="267">
        <v>0</v>
      </c>
    </row>
    <row r="23" spans="1:7">
      <c r="A23" s="266" t="s">
        <v>314</v>
      </c>
      <c r="B23" s="266" t="s">
        <v>315</v>
      </c>
      <c r="C23" s="267">
        <v>0</v>
      </c>
      <c r="D23" s="267">
        <v>0</v>
      </c>
      <c r="E23" s="267">
        <v>0</v>
      </c>
      <c r="F23" s="267">
        <v>0</v>
      </c>
      <c r="G23" s="267">
        <v>0</v>
      </c>
    </row>
    <row r="24" spans="1:7">
      <c r="A24" s="266" t="s">
        <v>316</v>
      </c>
      <c r="B24" s="266" t="s">
        <v>317</v>
      </c>
      <c r="C24" s="267">
        <v>0</v>
      </c>
      <c r="D24" s="267">
        <v>0</v>
      </c>
      <c r="E24" s="267">
        <v>0</v>
      </c>
      <c r="F24" s="267">
        <v>0</v>
      </c>
      <c r="G24" s="267">
        <v>0</v>
      </c>
    </row>
    <row r="25" spans="1:7">
      <c r="A25" s="266" t="s">
        <v>318</v>
      </c>
      <c r="B25" s="266" t="s">
        <v>319</v>
      </c>
      <c r="C25" s="267">
        <v>0</v>
      </c>
      <c r="D25" s="267">
        <v>0</v>
      </c>
      <c r="E25" s="267">
        <v>0</v>
      </c>
      <c r="F25" s="267">
        <v>0</v>
      </c>
      <c r="G25" s="267">
        <v>0</v>
      </c>
    </row>
    <row r="26" spans="1:7">
      <c r="A26" s="266" t="s">
        <v>320</v>
      </c>
      <c r="B26" s="266" t="s">
        <v>321</v>
      </c>
      <c r="C26" s="267">
        <f>AffordConsolidated!E52</f>
        <v>0</v>
      </c>
      <c r="D26" s="267">
        <f>AffordConsolidated!D52</f>
        <v>0</v>
      </c>
      <c r="E26" s="267">
        <f>AffordConsolidated!C52</f>
        <v>0</v>
      </c>
      <c r="F26" s="267">
        <v>0</v>
      </c>
      <c r="G26" s="267">
        <v>0</v>
      </c>
    </row>
    <row r="27" spans="1:7">
      <c r="A27" s="266" t="s">
        <v>322</v>
      </c>
      <c r="B27" s="266" t="s">
        <v>323</v>
      </c>
      <c r="C27" s="267">
        <f>IF(BasicInput!C1="Prime",PrimeConsolidated!E60,AffordConsolidated!E53)*100000</f>
        <v>0</v>
      </c>
      <c r="D27" s="267">
        <f>IF(BasicInput!C1="Prime",PrimeConsolidated!D60,AffordConsolidated!D53)*100000</f>
        <v>0</v>
      </c>
      <c r="E27" s="267">
        <f>IF(BasicInput!C1="Prime",PrimeConsolidated!C60,AffordConsolidated!C53)*100000</f>
        <v>0</v>
      </c>
      <c r="F27" s="267">
        <v>0</v>
      </c>
      <c r="G27" s="267">
        <v>0</v>
      </c>
    </row>
    <row r="28" spans="1:7">
      <c r="A28" s="266" t="s">
        <v>324</v>
      </c>
      <c r="B28" s="266" t="s">
        <v>325</v>
      </c>
      <c r="C28" s="267">
        <v>0</v>
      </c>
      <c r="D28" s="267">
        <v>0</v>
      </c>
      <c r="E28" s="267">
        <v>0</v>
      </c>
      <c r="F28" s="267">
        <v>0</v>
      </c>
      <c r="G28" s="267">
        <v>0</v>
      </c>
    </row>
    <row r="29" spans="1:7">
      <c r="A29" s="266" t="s">
        <v>326</v>
      </c>
      <c r="B29" s="266" t="s">
        <v>327</v>
      </c>
      <c r="C29" s="267">
        <v>0</v>
      </c>
      <c r="D29" s="267">
        <v>0</v>
      </c>
      <c r="E29" s="267">
        <v>0</v>
      </c>
      <c r="F29" s="267">
        <v>0</v>
      </c>
      <c r="G29" s="267">
        <v>0</v>
      </c>
    </row>
    <row r="30" spans="1:7">
      <c r="A30" s="266" t="s">
        <v>328</v>
      </c>
      <c r="B30" s="266" t="s">
        <v>329</v>
      </c>
      <c r="C30" s="267">
        <f>PrimeConsolidated!E61*100000</f>
        <v>0</v>
      </c>
      <c r="D30" s="267">
        <f>PrimeConsolidated!D61*100000</f>
        <v>0</v>
      </c>
      <c r="E30" s="267">
        <f>PrimeConsolidated!C61*100000</f>
        <v>0</v>
      </c>
      <c r="F30" s="267">
        <v>0</v>
      </c>
      <c r="G30" s="267">
        <v>0</v>
      </c>
    </row>
    <row r="31" spans="1:7">
      <c r="A31" s="266" t="s">
        <v>330</v>
      </c>
      <c r="B31" s="266" t="s">
        <v>331</v>
      </c>
      <c r="C31" s="267">
        <f>IF(BasicInput!C1="Prime",PrimeConsolidated!E57,AffordConsolidated!E50+AffordConsolidated!E42)*100000</f>
        <v>0</v>
      </c>
      <c r="D31" s="267">
        <f>IF(BasicInput!C1="Prime",PrimeConsolidated!D57,AffordConsolidated!D50+AffordConsolidated!D42)*100000</f>
        <v>0</v>
      </c>
      <c r="E31" s="267">
        <f>IF(BasicInput!C1="Prime",PrimeConsolidated!C57,AffordConsolidated!C50+AffordConsolidated!C42)*100000</f>
        <v>0</v>
      </c>
      <c r="F31" s="267">
        <v>0</v>
      </c>
      <c r="G31" s="267">
        <v>0</v>
      </c>
    </row>
    <row r="32" spans="1:7">
      <c r="A32" s="266" t="s">
        <v>332</v>
      </c>
      <c r="B32" s="266" t="s">
        <v>333</v>
      </c>
      <c r="C32" s="267">
        <v>0</v>
      </c>
      <c r="D32" s="267">
        <v>0</v>
      </c>
      <c r="E32" s="267">
        <v>0</v>
      </c>
      <c r="F32" s="267">
        <v>0</v>
      </c>
      <c r="G32" s="267">
        <v>0</v>
      </c>
    </row>
    <row r="33" spans="1:7">
      <c r="A33" s="266" t="s">
        <v>334</v>
      </c>
      <c r="B33" s="266" t="s">
        <v>335</v>
      </c>
      <c r="C33" s="267">
        <v>0</v>
      </c>
      <c r="D33" s="267">
        <v>0</v>
      </c>
      <c r="E33" s="267">
        <v>0</v>
      </c>
      <c r="F33" s="267">
        <v>0</v>
      </c>
      <c r="G33" s="267">
        <v>0</v>
      </c>
    </row>
    <row r="34" spans="1:7">
      <c r="A34" s="266" t="s">
        <v>336</v>
      </c>
      <c r="B34" s="266" t="s">
        <v>337</v>
      </c>
      <c r="C34" s="267">
        <v>0</v>
      </c>
      <c r="D34" s="267">
        <v>0</v>
      </c>
      <c r="E34" s="267">
        <v>0</v>
      </c>
      <c r="F34" s="267">
        <v>0</v>
      </c>
      <c r="G34" s="267">
        <v>0</v>
      </c>
    </row>
    <row r="35" spans="1:7">
      <c r="A35" s="266" t="s">
        <v>338</v>
      </c>
      <c r="B35" s="266" t="s">
        <v>339</v>
      </c>
      <c r="C35" s="267">
        <v>0</v>
      </c>
      <c r="D35" s="267">
        <v>0</v>
      </c>
      <c r="E35" s="267">
        <v>0</v>
      </c>
      <c r="F35" s="267">
        <v>0</v>
      </c>
      <c r="G35" s="267">
        <v>0</v>
      </c>
    </row>
    <row r="36" spans="1:7">
      <c r="A36" s="266" t="s">
        <v>340</v>
      </c>
      <c r="B36" s="266" t="s">
        <v>341</v>
      </c>
      <c r="C36" s="267">
        <v>0</v>
      </c>
      <c r="D36" s="267">
        <v>0</v>
      </c>
      <c r="E36" s="267">
        <v>0</v>
      </c>
      <c r="F36" s="267">
        <v>0</v>
      </c>
      <c r="G36" s="267">
        <v>0</v>
      </c>
    </row>
    <row r="37" spans="1:7">
      <c r="A37" s="266" t="s">
        <v>342</v>
      </c>
      <c r="B37" s="266" t="s">
        <v>343</v>
      </c>
      <c r="C37" s="267">
        <f>PrimeConsolidated!E53*100000</f>
        <v>0</v>
      </c>
      <c r="D37" s="267">
        <f>PrimeConsolidated!D53*100000</f>
        <v>0</v>
      </c>
      <c r="E37" s="267">
        <f>PrimeConsolidated!C53*100000</f>
        <v>0</v>
      </c>
      <c r="F37" s="267">
        <v>0</v>
      </c>
      <c r="G37" s="267">
        <v>0</v>
      </c>
    </row>
    <row r="38" spans="1:7">
      <c r="A38" s="266" t="s">
        <v>344</v>
      </c>
      <c r="B38" s="266" t="s">
        <v>345</v>
      </c>
      <c r="C38" s="267">
        <f>IF(BasicInput!C1="Prime",PrimeConsolidated!E52,AffordConsolidated!E41)*100000</f>
        <v>0</v>
      </c>
      <c r="D38" s="267">
        <f>IF(BasicInput!C1="Prime",PrimeConsolidated!D52,AffordConsolidated!D41)*100000</f>
        <v>0</v>
      </c>
      <c r="E38" s="267">
        <f>IF(BasicInput!C1="Prime",PrimeConsolidated!C52,AffordConsolidated!C41)*100000</f>
        <v>0</v>
      </c>
      <c r="F38" s="267">
        <v>0</v>
      </c>
      <c r="G38" s="267">
        <v>0</v>
      </c>
    </row>
    <row r="39" spans="1:7">
      <c r="A39" s="266" t="s">
        <v>346</v>
      </c>
      <c r="B39" s="266" t="s">
        <v>347</v>
      </c>
      <c r="C39" s="267">
        <v>0</v>
      </c>
      <c r="D39" s="267">
        <v>0</v>
      </c>
      <c r="E39" s="267">
        <v>0</v>
      </c>
      <c r="F39" s="267">
        <v>0</v>
      </c>
      <c r="G39" s="267">
        <v>0</v>
      </c>
    </row>
    <row r="40" spans="1:7">
      <c r="A40" s="266" t="s">
        <v>348</v>
      </c>
      <c r="B40" s="266" t="s">
        <v>349</v>
      </c>
      <c r="C40" s="267">
        <v>0</v>
      </c>
      <c r="D40" s="267">
        <v>0</v>
      </c>
      <c r="E40" s="267">
        <v>0</v>
      </c>
      <c r="F40" s="267">
        <v>0</v>
      </c>
      <c r="G40" s="267">
        <v>0</v>
      </c>
    </row>
    <row r="41" spans="1:7">
      <c r="A41" s="266" t="s">
        <v>350</v>
      </c>
      <c r="B41" s="266" t="s">
        <v>351</v>
      </c>
      <c r="C41" s="267">
        <f>IF(BasicInput!C1="Prime",PrimeConsolidated!E54,AffordConsolidated!E43)*100000</f>
        <v>0</v>
      </c>
      <c r="D41" s="267">
        <f>IF(BasicInput!C1="Prime",PrimeConsolidated!D54,AffordConsolidated!D43)*100000</f>
        <v>0</v>
      </c>
      <c r="E41" s="267">
        <f>IF(BasicInput!C1="Prime",PrimeConsolidated!C54,AffordConsolidated!C43)*100000</f>
        <v>0</v>
      </c>
      <c r="F41" s="267">
        <v>0</v>
      </c>
      <c r="G41" s="267">
        <v>0</v>
      </c>
    </row>
    <row r="42" spans="1:7">
      <c r="A42" s="266" t="s">
        <v>352</v>
      </c>
      <c r="B42" s="266" t="s">
        <v>353</v>
      </c>
      <c r="C42" s="267">
        <f>AffordConsolidated!E45*100000</f>
        <v>0</v>
      </c>
      <c r="D42" s="267">
        <f>AffordConsolidated!D45*100000</f>
        <v>0</v>
      </c>
      <c r="E42" s="267">
        <f>AffordConsolidated!C45*100000</f>
        <v>0</v>
      </c>
      <c r="F42" s="267">
        <v>0</v>
      </c>
      <c r="G42" s="267">
        <v>0</v>
      </c>
    </row>
    <row r="43" spans="1:7">
      <c r="A43" s="266" t="s">
        <v>354</v>
      </c>
      <c r="B43" s="266" t="s">
        <v>355</v>
      </c>
      <c r="C43" s="267">
        <f>AffordConsolidated!E46*100000</f>
        <v>0</v>
      </c>
      <c r="D43" s="267">
        <f>AffordConsolidated!D46*100000</f>
        <v>0</v>
      </c>
      <c r="E43" s="267">
        <f>AffordConsolidated!C46*100000</f>
        <v>0</v>
      </c>
      <c r="F43" s="267">
        <v>0</v>
      </c>
      <c r="G43" s="267">
        <v>0</v>
      </c>
    </row>
    <row r="44" spans="1:7">
      <c r="A44" s="266" t="s">
        <v>356</v>
      </c>
      <c r="B44" s="266" t="s">
        <v>357</v>
      </c>
      <c r="C44" s="267">
        <v>0</v>
      </c>
      <c r="D44" s="267">
        <v>0</v>
      </c>
      <c r="E44" s="267">
        <v>0</v>
      </c>
      <c r="F44" s="267">
        <v>0</v>
      </c>
      <c r="G44" s="267">
        <v>0</v>
      </c>
    </row>
    <row r="45" spans="1:7">
      <c r="A45" s="266" t="s">
        <v>358</v>
      </c>
      <c r="B45" s="266" t="s">
        <v>359</v>
      </c>
      <c r="C45" s="267">
        <v>0</v>
      </c>
      <c r="D45" s="267">
        <v>0</v>
      </c>
      <c r="E45" s="267">
        <v>0</v>
      </c>
      <c r="F45" s="267">
        <v>0</v>
      </c>
      <c r="G45" s="267">
        <v>0</v>
      </c>
    </row>
    <row r="46" spans="1:7">
      <c r="A46" s="266" t="s">
        <v>360</v>
      </c>
      <c r="B46" s="266" t="s">
        <v>361</v>
      </c>
      <c r="C46" s="267">
        <v>0</v>
      </c>
      <c r="D46" s="267">
        <v>0</v>
      </c>
      <c r="E46" s="267">
        <v>0</v>
      </c>
      <c r="F46" s="267">
        <v>0</v>
      </c>
      <c r="G46" s="267">
        <v>0</v>
      </c>
    </row>
    <row r="47" spans="1:7">
      <c r="A47" s="266" t="s">
        <v>362</v>
      </c>
      <c r="B47" s="266" t="s">
        <v>363</v>
      </c>
      <c r="C47" s="267">
        <v>0</v>
      </c>
      <c r="D47" s="267">
        <v>0</v>
      </c>
      <c r="E47" s="267">
        <v>0</v>
      </c>
      <c r="F47" s="267">
        <v>0</v>
      </c>
      <c r="G47" s="267">
        <v>0</v>
      </c>
    </row>
    <row r="48" spans="1:7">
      <c r="A48" s="266" t="s">
        <v>364</v>
      </c>
      <c r="B48" s="266" t="s">
        <v>365</v>
      </c>
      <c r="C48" s="267">
        <v>0</v>
      </c>
      <c r="D48" s="267">
        <v>0</v>
      </c>
      <c r="E48" s="267">
        <v>0</v>
      </c>
      <c r="F48" s="267">
        <v>0</v>
      </c>
      <c r="G48" s="267">
        <v>0</v>
      </c>
    </row>
    <row r="49" spans="1:7">
      <c r="A49" s="266" t="s">
        <v>366</v>
      </c>
      <c r="B49" s="266" t="s">
        <v>367</v>
      </c>
      <c r="C49" s="267">
        <v>0</v>
      </c>
      <c r="D49" s="267">
        <v>0</v>
      </c>
      <c r="E49" s="267">
        <v>0</v>
      </c>
      <c r="F49" s="267">
        <v>0</v>
      </c>
      <c r="G49" s="267">
        <v>0</v>
      </c>
    </row>
    <row r="50" spans="1:7">
      <c r="A50" s="266" t="s">
        <v>368</v>
      </c>
      <c r="B50" s="266" t="s">
        <v>369</v>
      </c>
      <c r="C50" s="267">
        <v>0</v>
      </c>
      <c r="D50" s="267">
        <v>0</v>
      </c>
      <c r="E50" s="267">
        <v>0</v>
      </c>
      <c r="F50" s="267">
        <v>0</v>
      </c>
      <c r="G50" s="267">
        <v>0</v>
      </c>
    </row>
    <row r="51" spans="1:7">
      <c r="A51" s="266" t="s">
        <v>370</v>
      </c>
      <c r="B51" s="266" t="s">
        <v>371</v>
      </c>
      <c r="C51" s="267">
        <v>0</v>
      </c>
      <c r="D51" s="267">
        <v>0</v>
      </c>
      <c r="E51" s="267">
        <v>0</v>
      </c>
      <c r="F51" s="267">
        <v>0</v>
      </c>
      <c r="G51" s="267">
        <v>0</v>
      </c>
    </row>
    <row r="52" spans="1:7">
      <c r="A52" s="266" t="s">
        <v>372</v>
      </c>
      <c r="B52" s="266" t="s">
        <v>373</v>
      </c>
      <c r="C52" s="267">
        <v>0</v>
      </c>
      <c r="D52" s="267">
        <v>0</v>
      </c>
      <c r="E52" s="267">
        <v>0</v>
      </c>
      <c r="F52" s="267">
        <v>0</v>
      </c>
      <c r="G52" s="267">
        <v>0</v>
      </c>
    </row>
    <row r="53" spans="1:7">
      <c r="A53" s="266" t="s">
        <v>374</v>
      </c>
      <c r="B53" s="266" t="s">
        <v>375</v>
      </c>
      <c r="C53" s="267">
        <v>0</v>
      </c>
      <c r="D53" s="267">
        <v>0</v>
      </c>
      <c r="E53" s="267">
        <v>0</v>
      </c>
      <c r="F53" s="267">
        <v>0</v>
      </c>
      <c r="G53" s="267">
        <v>0</v>
      </c>
    </row>
    <row r="54" spans="1:7">
      <c r="A54" s="266" t="s">
        <v>376</v>
      </c>
      <c r="B54" s="266" t="s">
        <v>377</v>
      </c>
      <c r="C54" s="267">
        <v>0</v>
      </c>
      <c r="D54" s="267">
        <v>0</v>
      </c>
      <c r="E54" s="267">
        <v>0</v>
      </c>
      <c r="F54" s="267">
        <v>0</v>
      </c>
      <c r="G54" s="267">
        <v>0</v>
      </c>
    </row>
    <row r="55" spans="1:7">
      <c r="A55" s="266" t="s">
        <v>378</v>
      </c>
      <c r="B55" s="266" t="s">
        <v>379</v>
      </c>
      <c r="C55" s="267">
        <f>IF(BasicInput!C1="Prime",PrimeConsolidated!E77,AffordConsolidated!E77)*100000</f>
        <v>0</v>
      </c>
      <c r="D55" s="267">
        <f>IF(BasicInput!C1="Prime",PrimeConsolidated!D77,AffordConsolidated!D77)*100000</f>
        <v>0</v>
      </c>
      <c r="E55" s="267">
        <f>IF(BasicInput!C1="Prime",PrimeConsolidated!C77,AffordConsolidated!C77)*100000</f>
        <v>0</v>
      </c>
      <c r="F55" s="267">
        <v>0</v>
      </c>
      <c r="G55" s="267">
        <v>0</v>
      </c>
    </row>
    <row r="56" spans="1:7">
      <c r="A56" s="266" t="s">
        <v>380</v>
      </c>
      <c r="B56" s="266" t="s">
        <v>381</v>
      </c>
      <c r="C56" s="267">
        <v>0</v>
      </c>
      <c r="D56" s="267">
        <v>0</v>
      </c>
      <c r="E56" s="267">
        <v>0</v>
      </c>
      <c r="F56" s="267">
        <v>0</v>
      </c>
      <c r="G56" s="267">
        <v>0</v>
      </c>
    </row>
    <row r="57" spans="1:7">
      <c r="A57" s="266" t="s">
        <v>382</v>
      </c>
      <c r="B57" s="266" t="s">
        <v>383</v>
      </c>
      <c r="C57" s="267">
        <v>0</v>
      </c>
      <c r="D57" s="267">
        <v>0</v>
      </c>
      <c r="E57" s="267">
        <v>0</v>
      </c>
      <c r="F57" s="267">
        <v>0</v>
      </c>
      <c r="G57" s="267">
        <v>0</v>
      </c>
    </row>
    <row r="58" spans="1:7">
      <c r="A58" s="266" t="s">
        <v>384</v>
      </c>
      <c r="B58" s="266" t="s">
        <v>385</v>
      </c>
      <c r="C58" s="267">
        <f>IF(BasicInput!C1="Prime",PrimeConsolidated!E66,AffordConsolidated!E70)*100000</f>
        <v>0</v>
      </c>
      <c r="D58" s="267">
        <f>IF(BasicInput!C1="Prime",PrimeConsolidated!D66,AffordConsolidated!D70)*100000</f>
        <v>0</v>
      </c>
      <c r="E58" s="267">
        <f>IF(BasicInput!C1="Prime",PrimeConsolidated!C66,AffordConsolidated!C70)*100000</f>
        <v>0</v>
      </c>
      <c r="F58" s="267">
        <v>0</v>
      </c>
      <c r="G58" s="267">
        <v>0</v>
      </c>
    </row>
    <row r="59" spans="1:7">
      <c r="A59" s="266" t="s">
        <v>386</v>
      </c>
      <c r="B59" s="266" t="s">
        <v>387</v>
      </c>
      <c r="C59" s="267">
        <f>IF(BasicInput!C1="Prime",PrimeConsolidated!E74,AffordConsolidated!E76)*100000</f>
        <v>0</v>
      </c>
      <c r="D59" s="267">
        <f>IF(BasicInput!C1="Prime",PrimeConsolidated!D74,AffordConsolidated!D76)*100000</f>
        <v>0</v>
      </c>
      <c r="E59" s="267">
        <f>IF(BasicInput!C1="Prime",PrimeConsolidated!C74,AffordConsolidated!C76)*100000</f>
        <v>0</v>
      </c>
      <c r="F59" s="267">
        <v>0</v>
      </c>
      <c r="G59" s="267">
        <v>0</v>
      </c>
    </row>
    <row r="60" spans="1:7">
      <c r="A60" s="266" t="s">
        <v>388</v>
      </c>
      <c r="B60" s="266" t="s">
        <v>389</v>
      </c>
      <c r="C60" s="267">
        <v>0</v>
      </c>
      <c r="D60" s="267">
        <v>0</v>
      </c>
      <c r="E60" s="267">
        <v>0</v>
      </c>
      <c r="F60" s="267">
        <v>0</v>
      </c>
      <c r="G60" s="267">
        <v>0</v>
      </c>
    </row>
    <row r="61" spans="1:7">
      <c r="A61" s="266" t="s">
        <v>390</v>
      </c>
      <c r="B61" s="266" t="s">
        <v>391</v>
      </c>
      <c r="C61" s="267">
        <v>0</v>
      </c>
      <c r="D61" s="267">
        <v>0</v>
      </c>
      <c r="E61" s="267">
        <v>0</v>
      </c>
      <c r="F61" s="267">
        <v>0</v>
      </c>
      <c r="G61" s="267">
        <v>0</v>
      </c>
    </row>
    <row r="62" spans="1:7">
      <c r="A62" s="266" t="s">
        <v>392</v>
      </c>
      <c r="B62" s="266" t="s">
        <v>393</v>
      </c>
      <c r="C62" s="267">
        <f>PrimeConsolidated!E69*100000</f>
        <v>0</v>
      </c>
      <c r="D62" s="267">
        <f>PrimeConsolidated!D69*100000</f>
        <v>0</v>
      </c>
      <c r="E62" s="267">
        <f>PrimeConsolidated!C69*100000</f>
        <v>0</v>
      </c>
      <c r="F62" s="267">
        <v>0</v>
      </c>
      <c r="G62" s="267">
        <v>0</v>
      </c>
    </row>
    <row r="63" spans="1:7">
      <c r="A63" s="266" t="s">
        <v>394</v>
      </c>
      <c r="B63" s="266" t="s">
        <v>395</v>
      </c>
      <c r="C63" s="267">
        <v>0</v>
      </c>
      <c r="D63" s="267">
        <v>0</v>
      </c>
      <c r="E63" s="267">
        <v>0</v>
      </c>
      <c r="F63" s="267">
        <v>0</v>
      </c>
      <c r="G63" s="267">
        <v>0</v>
      </c>
    </row>
    <row r="64" spans="1:7">
      <c r="A64" s="266" t="s">
        <v>396</v>
      </c>
      <c r="B64" s="266" t="s">
        <v>397</v>
      </c>
      <c r="C64" s="267">
        <f>PrimeConsolidated!E71*100000</f>
        <v>0</v>
      </c>
      <c r="D64" s="267">
        <f>PrimeConsolidated!D71*100000</f>
        <v>0</v>
      </c>
      <c r="E64" s="267">
        <f>PrimeConsolidated!C71*100000</f>
        <v>0</v>
      </c>
      <c r="F64" s="267">
        <v>0</v>
      </c>
      <c r="G64" s="267">
        <v>0</v>
      </c>
    </row>
    <row r="65" spans="1:7">
      <c r="A65" s="266" t="s">
        <v>398</v>
      </c>
      <c r="B65" s="266" t="s">
        <v>399</v>
      </c>
      <c r="C65" s="267">
        <f>IF(BasicInput!C1="Prime",PrimeConsolidated!E72,AffordConsolidated!E73)*100000</f>
        <v>0</v>
      </c>
      <c r="D65" s="267">
        <f>IF(BasicInput!C1="Prime",PrimeConsolidated!D72,AffordConsolidated!D73)*100000</f>
        <v>0</v>
      </c>
      <c r="E65" s="267">
        <f>IF(BasicInput!C1="Prime",PrimeConsolidated!C72,AffordConsolidated!C73)*100000</f>
        <v>0</v>
      </c>
      <c r="F65" s="267">
        <v>0</v>
      </c>
      <c r="G65" s="267">
        <v>0</v>
      </c>
    </row>
    <row r="66" spans="1:7">
      <c r="A66" s="266" t="s">
        <v>400</v>
      </c>
      <c r="B66" s="266" t="s">
        <v>401</v>
      </c>
      <c r="C66" s="267">
        <f>PrimeConsolidated!E70*100000</f>
        <v>0</v>
      </c>
      <c r="D66" s="267">
        <f>PrimeConsolidated!D70*100000</f>
        <v>0</v>
      </c>
      <c r="E66" s="267">
        <f>PrimeConsolidated!C70*100000</f>
        <v>0</v>
      </c>
      <c r="F66" s="267">
        <v>0</v>
      </c>
      <c r="G66" s="267">
        <v>0</v>
      </c>
    </row>
    <row r="67" spans="1:7">
      <c r="A67" s="266" t="s">
        <v>402</v>
      </c>
      <c r="B67" s="266" t="s">
        <v>403</v>
      </c>
      <c r="C67" s="267">
        <v>0</v>
      </c>
      <c r="D67" s="267">
        <v>0</v>
      </c>
      <c r="E67" s="267">
        <v>0</v>
      </c>
      <c r="F67" s="267">
        <v>0</v>
      </c>
      <c r="G67" s="267">
        <v>0</v>
      </c>
    </row>
    <row r="68" spans="1:7">
      <c r="A68" s="266" t="s">
        <v>404</v>
      </c>
      <c r="B68" s="266" t="s">
        <v>405</v>
      </c>
      <c r="C68" s="267">
        <v>0</v>
      </c>
      <c r="D68" s="267">
        <v>0</v>
      </c>
      <c r="E68" s="267">
        <v>0</v>
      </c>
      <c r="F68" s="267">
        <v>0</v>
      </c>
      <c r="G68" s="267">
        <v>0</v>
      </c>
    </row>
    <row r="69" spans="1:7">
      <c r="A69" s="266" t="s">
        <v>406</v>
      </c>
      <c r="B69" s="266" t="s">
        <v>407</v>
      </c>
      <c r="C69" s="267">
        <v>0</v>
      </c>
      <c r="D69" s="267">
        <v>0</v>
      </c>
      <c r="E69" s="267">
        <v>0</v>
      </c>
      <c r="F69" s="267">
        <v>0</v>
      </c>
      <c r="G69" s="267">
        <v>0</v>
      </c>
    </row>
    <row r="70" spans="1:7">
      <c r="A70" s="266" t="s">
        <v>408</v>
      </c>
      <c r="B70" s="266" t="s">
        <v>409</v>
      </c>
      <c r="C70" s="267">
        <f>PrimeConsolidated!E78*100000</f>
        <v>0</v>
      </c>
      <c r="D70" s="267">
        <f>PrimeConsolidated!D78*100000</f>
        <v>0</v>
      </c>
      <c r="E70" s="267">
        <f>PrimeConsolidated!C78*100000</f>
        <v>0</v>
      </c>
      <c r="F70" s="267">
        <v>0</v>
      </c>
      <c r="G70" s="267">
        <v>0</v>
      </c>
    </row>
    <row r="71" spans="1:7">
      <c r="A71" s="266" t="s">
        <v>410</v>
      </c>
      <c r="B71" s="266" t="s">
        <v>411</v>
      </c>
      <c r="C71" s="267">
        <v>0</v>
      </c>
      <c r="D71" s="267">
        <v>0</v>
      </c>
      <c r="E71" s="267">
        <v>0</v>
      </c>
      <c r="F71" s="267">
        <v>0</v>
      </c>
      <c r="G71" s="267">
        <v>0</v>
      </c>
    </row>
    <row r="72" spans="1:7">
      <c r="A72" s="266" t="s">
        <v>412</v>
      </c>
      <c r="B72" s="266" t="s">
        <v>413</v>
      </c>
      <c r="C72" s="267">
        <f>IF(BasicInput!C1="Prime",PrimeConsolidated!E76,AffordConsolidated!E80)*100000</f>
        <v>0</v>
      </c>
      <c r="D72" s="267">
        <f>IF(BasicInput!C1="Prime",PrimeConsolidated!D76,AffordConsolidated!D80)*100000</f>
        <v>0</v>
      </c>
      <c r="E72" s="267">
        <f>IF(BasicInput!C1="Prime",PrimeConsolidated!C76,AffordConsolidated!C80)*100000</f>
        <v>0</v>
      </c>
      <c r="F72" s="267">
        <v>0</v>
      </c>
      <c r="G72" s="267">
        <v>0</v>
      </c>
    </row>
    <row r="73" spans="1:7">
      <c r="A73" s="266" t="s">
        <v>414</v>
      </c>
      <c r="B73" s="266" t="s">
        <v>415</v>
      </c>
      <c r="C73" s="267">
        <v>0</v>
      </c>
      <c r="D73" s="267">
        <v>0</v>
      </c>
      <c r="E73" s="267">
        <v>0</v>
      </c>
      <c r="F73" s="267">
        <v>0</v>
      </c>
      <c r="G73" s="267">
        <v>0</v>
      </c>
    </row>
    <row r="74" spans="1:7">
      <c r="A74" s="266" t="s">
        <v>416</v>
      </c>
      <c r="B74" s="266" t="s">
        <v>417</v>
      </c>
      <c r="C74" s="267">
        <v>0</v>
      </c>
      <c r="D74" s="267">
        <v>0</v>
      </c>
      <c r="E74" s="267">
        <v>0</v>
      </c>
      <c r="F74" s="267">
        <v>0</v>
      </c>
      <c r="G74" s="267">
        <v>0</v>
      </c>
    </row>
    <row r="75" spans="1:7">
      <c r="A75" s="266" t="s">
        <v>418</v>
      </c>
      <c r="B75" s="266" t="s">
        <v>419</v>
      </c>
      <c r="C75" s="267">
        <v>0</v>
      </c>
      <c r="D75" s="267">
        <v>0</v>
      </c>
      <c r="E75" s="267">
        <v>0</v>
      </c>
      <c r="F75" s="267">
        <v>0</v>
      </c>
      <c r="G75" s="267">
        <v>0</v>
      </c>
    </row>
    <row r="76" spans="1:7">
      <c r="A76" s="266" t="s">
        <v>420</v>
      </c>
      <c r="B76" s="266" t="s">
        <v>421</v>
      </c>
      <c r="C76" s="267">
        <v>0</v>
      </c>
      <c r="D76" s="267">
        <v>0</v>
      </c>
      <c r="E76" s="267">
        <v>0</v>
      </c>
      <c r="F76" s="267">
        <v>0</v>
      </c>
      <c r="G76" s="267">
        <v>0</v>
      </c>
    </row>
    <row r="77" spans="1:7">
      <c r="A77" s="266" t="s">
        <v>422</v>
      </c>
      <c r="B77" s="266" t="s">
        <v>423</v>
      </c>
      <c r="C77" s="267">
        <v>0</v>
      </c>
      <c r="D77" s="267">
        <v>0</v>
      </c>
      <c r="E77" s="267">
        <v>0</v>
      </c>
      <c r="F77" s="267">
        <v>0</v>
      </c>
      <c r="G77" s="267">
        <v>0</v>
      </c>
    </row>
    <row r="78" spans="1:7">
      <c r="A78" s="266" t="s">
        <v>424</v>
      </c>
      <c r="B78" s="266" t="s">
        <v>425</v>
      </c>
      <c r="C78" s="267">
        <v>0</v>
      </c>
      <c r="D78" s="267">
        <v>0</v>
      </c>
      <c r="E78" s="267">
        <v>0</v>
      </c>
      <c r="F78" s="267">
        <v>0</v>
      </c>
      <c r="G78" s="267">
        <v>0</v>
      </c>
    </row>
    <row r="79" spans="1:7">
      <c r="A79" s="266" t="s">
        <v>426</v>
      </c>
      <c r="B79" s="266" t="s">
        <v>427</v>
      </c>
      <c r="C79" s="267">
        <v>0</v>
      </c>
      <c r="D79" s="267">
        <v>0</v>
      </c>
      <c r="E79" s="267">
        <v>0</v>
      </c>
      <c r="F79" s="267">
        <v>0</v>
      </c>
      <c r="G79" s="267">
        <v>0</v>
      </c>
    </row>
    <row r="80" spans="1:7">
      <c r="A80" s="266" t="s">
        <v>428</v>
      </c>
      <c r="B80" s="266" t="s">
        <v>429</v>
      </c>
      <c r="C80" s="267">
        <v>0</v>
      </c>
      <c r="D80" s="267">
        <v>0</v>
      </c>
      <c r="E80" s="267">
        <v>0</v>
      </c>
      <c r="F80" s="267">
        <v>0</v>
      </c>
      <c r="G80" s="267">
        <v>0</v>
      </c>
    </row>
    <row r="81" spans="1:7">
      <c r="A81" s="266" t="s">
        <v>430</v>
      </c>
      <c r="B81" s="266" t="s">
        <v>431</v>
      </c>
      <c r="C81" s="267">
        <f>IF(BasicInput!C1="Prime",PrimeConsolidated!E65,AffordConsolidated!E67)*100000</f>
        <v>0</v>
      </c>
      <c r="D81" s="267">
        <f>IF(BasicInput!C1="Prime",PrimeConsolidated!D65,AffordConsolidated!D67)*100000</f>
        <v>0</v>
      </c>
      <c r="E81" s="267">
        <f>IF(BasicInput!C1="Prime",PrimeConsolidated!C65,AffordConsolidated!C67)*100000</f>
        <v>0</v>
      </c>
      <c r="F81" s="267">
        <v>0</v>
      </c>
      <c r="G81" s="267">
        <v>0</v>
      </c>
    </row>
    <row r="82" spans="1:7">
      <c r="A82" s="266" t="s">
        <v>432</v>
      </c>
      <c r="B82" s="266" t="s">
        <v>433</v>
      </c>
      <c r="C82" s="267">
        <f>AffordConsolidated!E68*100000</f>
        <v>0</v>
      </c>
      <c r="D82" s="267">
        <f>AffordConsolidated!D68*100000</f>
        <v>0</v>
      </c>
      <c r="E82" s="267">
        <f>AffordConsolidated!C68*100000</f>
        <v>0</v>
      </c>
      <c r="F82" s="267">
        <v>0</v>
      </c>
      <c r="G82" s="267">
        <v>0</v>
      </c>
    </row>
    <row r="83" spans="1:7">
      <c r="A83" s="266" t="s">
        <v>434</v>
      </c>
      <c r="B83" s="266" t="s">
        <v>435</v>
      </c>
      <c r="C83" s="267">
        <v>0</v>
      </c>
      <c r="D83" s="267">
        <v>0</v>
      </c>
      <c r="E83" s="267">
        <v>0</v>
      </c>
      <c r="F83" s="267">
        <v>0</v>
      </c>
      <c r="G83" s="267">
        <v>0</v>
      </c>
    </row>
    <row r="84" spans="1:7">
      <c r="A84" s="266" t="s">
        <v>436</v>
      </c>
      <c r="B84" s="266" t="s">
        <v>437</v>
      </c>
      <c r="C84" s="267">
        <f>IF(BasicInput!C1="Prime",PrimeConsolidated!E58,AffordConsolidated!E79)*100000</f>
        <v>0</v>
      </c>
      <c r="D84" s="267">
        <f>IF(BasicInput!C1="Prime",PrimeConsolidated!D58,AffordConsolidated!D79)*100000</f>
        <v>0</v>
      </c>
      <c r="E84" s="267">
        <f>IF(BasicInput!C1="Prime",PrimeConsolidated!C58,AffordConsolidated!C79)*100000</f>
        <v>0</v>
      </c>
      <c r="F84" s="267">
        <v>0</v>
      </c>
      <c r="G84" s="267">
        <v>0</v>
      </c>
    </row>
    <row r="85" spans="1:7">
      <c r="A85" s="266" t="s">
        <v>438</v>
      </c>
      <c r="B85" s="266" t="s">
        <v>439</v>
      </c>
      <c r="C85" s="267">
        <v>0</v>
      </c>
      <c r="D85" s="267">
        <v>0</v>
      </c>
      <c r="E85" s="267">
        <v>0</v>
      </c>
      <c r="F85" s="267">
        <v>0</v>
      </c>
      <c r="G85" s="267">
        <v>0</v>
      </c>
    </row>
    <row r="86" spans="1:7">
      <c r="A86" s="266" t="s">
        <v>440</v>
      </c>
      <c r="B86" s="266" t="s">
        <v>441</v>
      </c>
      <c r="C86" s="267">
        <v>0</v>
      </c>
      <c r="D86" s="267">
        <v>0</v>
      </c>
      <c r="E86" s="267">
        <v>0</v>
      </c>
      <c r="F86" s="267">
        <v>0</v>
      </c>
      <c r="G86" s="267">
        <v>0</v>
      </c>
    </row>
    <row r="87" spans="1:7">
      <c r="A87" s="266" t="s">
        <v>442</v>
      </c>
      <c r="B87" s="266" t="s">
        <v>443</v>
      </c>
      <c r="C87" s="267">
        <v>0</v>
      </c>
      <c r="D87" s="267">
        <v>0</v>
      </c>
      <c r="E87" s="267">
        <v>0</v>
      </c>
      <c r="F87" s="267">
        <v>0</v>
      </c>
      <c r="G87" s="267">
        <v>0</v>
      </c>
    </row>
    <row r="88" spans="1:7">
      <c r="A88" s="266" t="s">
        <v>444</v>
      </c>
      <c r="B88" s="266" t="s">
        <v>445</v>
      </c>
      <c r="C88" s="267">
        <v>0</v>
      </c>
      <c r="D88" s="267">
        <v>0</v>
      </c>
      <c r="E88" s="267">
        <v>0</v>
      </c>
      <c r="F88" s="267">
        <v>0</v>
      </c>
      <c r="G88" s="267">
        <v>0</v>
      </c>
    </row>
    <row r="89" spans="1:7">
      <c r="A89" s="266" t="s">
        <v>446</v>
      </c>
      <c r="B89" s="266" t="s">
        <v>447</v>
      </c>
      <c r="C89" s="267">
        <f>IF(BasicInput!C1="Prime",PrimeConsolidated!E75,AffordConsolidated!E75)*100000</f>
        <v>0</v>
      </c>
      <c r="D89" s="267">
        <f>IF(BasicInput!C1="Prime",PrimeConsolidated!D75,AffordConsolidated!D75)*100000</f>
        <v>0</v>
      </c>
      <c r="E89" s="267">
        <f>IF(BasicInput!C1="Prime",PrimeConsolidated!C75,AffordConsolidated!C75)*100000</f>
        <v>0</v>
      </c>
      <c r="F89" s="267">
        <v>0</v>
      </c>
      <c r="G89" s="267">
        <v>0</v>
      </c>
    </row>
    <row r="90" spans="1:7">
      <c r="A90" s="266" t="s">
        <v>448</v>
      </c>
      <c r="B90" s="266" t="s">
        <v>449</v>
      </c>
      <c r="C90" s="267">
        <v>0</v>
      </c>
      <c r="D90" s="267">
        <v>0</v>
      </c>
      <c r="E90" s="267">
        <v>0</v>
      </c>
      <c r="F90" s="267">
        <v>0</v>
      </c>
      <c r="G90" s="267">
        <v>0</v>
      </c>
    </row>
    <row r="91" spans="1:7">
      <c r="A91" s="266" t="s">
        <v>450</v>
      </c>
      <c r="B91" s="266" t="s">
        <v>451</v>
      </c>
      <c r="C91" s="267">
        <f>AffordConsolidated!E69*100000</f>
        <v>0</v>
      </c>
      <c r="D91" s="267">
        <f>AffordConsolidated!D69*100000</f>
        <v>0</v>
      </c>
      <c r="E91" s="267">
        <f>AffordConsolidated!C69*100000</f>
        <v>0</v>
      </c>
      <c r="F91" s="267">
        <v>0</v>
      </c>
      <c r="G91" s="267">
        <v>0</v>
      </c>
    </row>
    <row r="92" spans="1:7">
      <c r="A92" s="266" t="s">
        <v>452</v>
      </c>
      <c r="B92" s="266" t="s">
        <v>453</v>
      </c>
      <c r="C92" s="267">
        <v>0</v>
      </c>
      <c r="D92" s="267">
        <v>0</v>
      </c>
      <c r="E92" s="267">
        <v>0</v>
      </c>
      <c r="F92" s="267">
        <v>0</v>
      </c>
      <c r="G92" s="267">
        <v>0</v>
      </c>
    </row>
    <row r="93" spans="1:7">
      <c r="A93" s="266" t="s">
        <v>454</v>
      </c>
      <c r="B93" s="266" t="s">
        <v>455</v>
      </c>
      <c r="C93" s="267">
        <f>IF(BasicInput!C1="Prime",PrimeConsolidated!E55,AffordConsolidated!E47)*100000</f>
        <v>0</v>
      </c>
      <c r="D93" s="267">
        <f>IF(BasicInput!C1="Prime",PrimeConsolidated!D55,AffordConsolidated!D47)*100000</f>
        <v>0</v>
      </c>
      <c r="E93" s="267">
        <f>IF(BasicInput!C1="Prime",PrimeConsolidated!C55,AffordConsolidated!C47)*100000</f>
        <v>0</v>
      </c>
      <c r="F93" s="267">
        <v>0</v>
      </c>
      <c r="G93" s="267">
        <v>0</v>
      </c>
    </row>
    <row r="94" spans="1:7">
      <c r="A94" s="266" t="s">
        <v>456</v>
      </c>
      <c r="B94" s="266" t="s">
        <v>457</v>
      </c>
      <c r="C94" s="267">
        <f>IF(BasicInput!C1="Prime",PrimeConsolidated!E90,AffordConsolidated!E72)*100000</f>
        <v>0</v>
      </c>
      <c r="D94" s="267">
        <f>IF(BasicInput!C1="Prime",PrimeConsolidated!D90,AffordConsolidated!D72)*100000</f>
        <v>0</v>
      </c>
      <c r="E94" s="267">
        <f>IF(BasicInput!C1="Prime",PrimeConsolidated!C90,AffordConsolidated!C72)*100000</f>
        <v>0</v>
      </c>
      <c r="F94" s="267">
        <v>0</v>
      </c>
      <c r="G94" s="267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sqref="A1:D17"/>
    </sheetView>
  </sheetViews>
  <sheetFormatPr defaultColWidth="0" defaultRowHeight="12.75" zeroHeight="1"/>
  <cols>
    <col min="1" max="1" width="37.28515625" style="1" customWidth="1"/>
    <col min="2" max="4" width="16.140625" style="1" customWidth="1"/>
    <col min="5" max="5" width="9.140625" style="44" customWidth="1"/>
    <col min="6" max="16384" width="9.140625" style="1" hidden="1"/>
  </cols>
  <sheetData>
    <row r="1" spans="1:4">
      <c r="A1" s="168" t="s">
        <v>458</v>
      </c>
      <c r="B1" s="382" t="s">
        <v>16</v>
      </c>
      <c r="C1" s="382"/>
      <c r="D1" s="382"/>
    </row>
    <row r="2" spans="1:4">
      <c r="A2" s="168" t="s">
        <v>459</v>
      </c>
      <c r="B2" s="382" t="s">
        <v>2039</v>
      </c>
      <c r="C2" s="382"/>
      <c r="D2" s="382"/>
    </row>
    <row r="3" spans="1:4"/>
    <row r="4" spans="1:4">
      <c r="A4" s="402" t="s">
        <v>60</v>
      </c>
      <c r="B4" s="402" t="s">
        <v>460</v>
      </c>
      <c r="C4" s="402"/>
      <c r="D4" s="402"/>
    </row>
    <row r="5" spans="1:4">
      <c r="A5" s="402"/>
      <c r="B5" s="21" t="s">
        <v>2040</v>
      </c>
      <c r="C5" s="21" t="s">
        <v>2041</v>
      </c>
      <c r="D5" s="21" t="s">
        <v>2042</v>
      </c>
    </row>
    <row r="6" spans="1:4">
      <c r="A6" s="262" t="s">
        <v>464</v>
      </c>
      <c r="B6" s="311">
        <v>205512330250823</v>
      </c>
      <c r="C6" s="311">
        <v>967727770240722</v>
      </c>
      <c r="D6" s="311">
        <v>769762270311021</v>
      </c>
    </row>
    <row r="7" spans="1:4">
      <c r="A7" s="262" t="s">
        <v>465</v>
      </c>
      <c r="B7" s="263">
        <v>45163</v>
      </c>
      <c r="C7" s="263">
        <v>44766</v>
      </c>
      <c r="D7" s="263">
        <v>44500</v>
      </c>
    </row>
    <row r="8" spans="1:4">
      <c r="A8" s="3" t="s">
        <v>466</v>
      </c>
      <c r="B8" s="193">
        <v>1698700</v>
      </c>
      <c r="C8" s="193">
        <v>1571200</v>
      </c>
      <c r="D8" s="193">
        <v>1470800</v>
      </c>
    </row>
    <row r="9" spans="1:4">
      <c r="A9" s="3" t="s">
        <v>467</v>
      </c>
      <c r="B9" s="193">
        <v>482560</v>
      </c>
      <c r="C9" s="193">
        <v>471360</v>
      </c>
      <c r="D9" s="193">
        <v>441240</v>
      </c>
    </row>
    <row r="10" spans="1:4">
      <c r="A10" s="3" t="s">
        <v>468</v>
      </c>
      <c r="B10" s="193"/>
      <c r="C10" s="193"/>
      <c r="D10" s="193"/>
    </row>
    <row r="11" spans="1:4">
      <c r="A11" s="3" t="s">
        <v>469</v>
      </c>
      <c r="B11" s="193"/>
      <c r="C11" s="193"/>
      <c r="D11" s="193"/>
    </row>
    <row r="12" spans="1:4">
      <c r="A12" s="3" t="s">
        <v>470</v>
      </c>
      <c r="B12" s="193"/>
      <c r="C12" s="193"/>
      <c r="D12" s="193"/>
    </row>
    <row r="13" spans="1:4">
      <c r="A13" s="3" t="s">
        <v>471</v>
      </c>
      <c r="B13" s="193"/>
      <c r="C13" s="193"/>
      <c r="D13" s="193"/>
    </row>
    <row r="14" spans="1:4">
      <c r="A14" s="140" t="s">
        <v>472</v>
      </c>
      <c r="B14" s="194">
        <f>B8+B10+B12</f>
        <v>1698700</v>
      </c>
      <c r="C14" s="194">
        <f t="shared" ref="C14:D14" si="0">C8+C10+C12</f>
        <v>1571200</v>
      </c>
      <c r="D14" s="194">
        <f t="shared" si="0"/>
        <v>1470800</v>
      </c>
    </row>
    <row r="15" spans="1:4">
      <c r="A15" s="140" t="s">
        <v>473</v>
      </c>
      <c r="B15" s="194">
        <f>B9+B11+B13</f>
        <v>482560</v>
      </c>
      <c r="C15" s="194">
        <f t="shared" ref="C15:D15" si="1">C9+C11+C13</f>
        <v>471360</v>
      </c>
      <c r="D15" s="194">
        <f t="shared" si="1"/>
        <v>441240</v>
      </c>
    </row>
    <row r="16" spans="1:4">
      <c r="A16" s="3" t="s">
        <v>474</v>
      </c>
      <c r="B16" s="193"/>
      <c r="C16" s="193"/>
      <c r="D16" s="193"/>
    </row>
    <row r="17" spans="1:4">
      <c r="A17" s="140" t="s">
        <v>475</v>
      </c>
      <c r="B17" s="194">
        <f>B15-B16</f>
        <v>482560</v>
      </c>
      <c r="C17" s="194">
        <f t="shared" ref="C17:D17" si="2">C15-C16</f>
        <v>471360</v>
      </c>
      <c r="D17" s="194">
        <f t="shared" si="2"/>
        <v>441240</v>
      </c>
    </row>
    <row r="18" spans="1:4"/>
    <row r="22" spans="1:4" hidden="1">
      <c r="A22" s="168" t="s">
        <v>458</v>
      </c>
      <c r="B22" s="382"/>
      <c r="C22" s="382"/>
      <c r="D22" s="382"/>
    </row>
    <row r="23" spans="1:4" hidden="1">
      <c r="A23" s="168" t="s">
        <v>459</v>
      </c>
      <c r="B23" s="382"/>
      <c r="C23" s="382"/>
      <c r="D23" s="382"/>
    </row>
    <row r="25" spans="1:4" hidden="1">
      <c r="A25" s="402" t="s">
        <v>60</v>
      </c>
      <c r="B25" s="402" t="s">
        <v>460</v>
      </c>
      <c r="C25" s="402"/>
      <c r="D25" s="402"/>
    </row>
    <row r="26" spans="1:4" hidden="1">
      <c r="A26" s="402"/>
      <c r="B26" s="21" t="s">
        <v>461</v>
      </c>
      <c r="C26" s="21" t="s">
        <v>462</v>
      </c>
      <c r="D26" s="21" t="s">
        <v>463</v>
      </c>
    </row>
    <row r="27" spans="1:4" hidden="1">
      <c r="A27" s="262" t="s">
        <v>464</v>
      </c>
      <c r="B27" s="181"/>
      <c r="C27" s="181"/>
      <c r="D27" s="181"/>
    </row>
    <row r="28" spans="1:4" hidden="1">
      <c r="A28" s="262" t="s">
        <v>465</v>
      </c>
      <c r="B28" s="263"/>
      <c r="C28" s="263"/>
      <c r="D28" s="263"/>
    </row>
    <row r="29" spans="1:4" hidden="1">
      <c r="A29" s="3" t="s">
        <v>466</v>
      </c>
      <c r="B29" s="193"/>
      <c r="C29" s="193"/>
      <c r="D29" s="193"/>
    </row>
    <row r="30" spans="1:4" hidden="1">
      <c r="A30" s="3" t="s">
        <v>467</v>
      </c>
      <c r="B30" s="193"/>
      <c r="C30" s="193"/>
      <c r="D30" s="193"/>
    </row>
    <row r="31" spans="1:4" hidden="1">
      <c r="A31" s="3" t="s">
        <v>468</v>
      </c>
      <c r="B31" s="193"/>
      <c r="C31" s="193"/>
      <c r="D31" s="193"/>
    </row>
    <row r="32" spans="1:4" hidden="1">
      <c r="A32" s="3" t="s">
        <v>469</v>
      </c>
      <c r="B32" s="193"/>
      <c r="C32" s="193"/>
      <c r="D32" s="193"/>
    </row>
    <row r="33" spans="1:4" hidden="1">
      <c r="A33" s="3" t="s">
        <v>470</v>
      </c>
      <c r="B33" s="193"/>
      <c r="C33" s="193"/>
      <c r="D33" s="193"/>
    </row>
    <row r="34" spans="1:4" hidden="1">
      <c r="A34" s="3" t="s">
        <v>471</v>
      </c>
      <c r="B34" s="193"/>
      <c r="C34" s="193"/>
      <c r="D34" s="193"/>
    </row>
    <row r="35" spans="1:4" hidden="1">
      <c r="A35" s="140" t="s">
        <v>472</v>
      </c>
      <c r="B35" s="194">
        <f>B29+B31+B33</f>
        <v>0</v>
      </c>
      <c r="C35" s="194">
        <f t="shared" ref="C35:D35" si="3">C29+C31+C33</f>
        <v>0</v>
      </c>
      <c r="D35" s="194">
        <f t="shared" si="3"/>
        <v>0</v>
      </c>
    </row>
    <row r="36" spans="1:4" hidden="1">
      <c r="A36" s="140" t="s">
        <v>473</v>
      </c>
      <c r="B36" s="194">
        <f>B30+B32+B34</f>
        <v>0</v>
      </c>
      <c r="C36" s="194">
        <f t="shared" ref="C36:D36" si="4">C30+C32+C34</f>
        <v>0</v>
      </c>
      <c r="D36" s="194">
        <f t="shared" si="4"/>
        <v>0</v>
      </c>
    </row>
    <row r="37" spans="1:4" hidden="1">
      <c r="A37" s="3" t="s">
        <v>474</v>
      </c>
      <c r="B37" s="193"/>
      <c r="C37" s="193"/>
      <c r="D37" s="193"/>
    </row>
    <row r="38" spans="1:4" hidden="1">
      <c r="A38" s="140" t="s">
        <v>475</v>
      </c>
      <c r="B38" s="194">
        <f>B36-B37</f>
        <v>0</v>
      </c>
      <c r="C38" s="194">
        <f t="shared" ref="C38" si="5">C36-C37</f>
        <v>0</v>
      </c>
      <c r="D38" s="194">
        <f t="shared" ref="D38" si="6">D36-D37</f>
        <v>0</v>
      </c>
    </row>
    <row r="43" spans="1:4" hidden="1">
      <c r="A43" s="168" t="s">
        <v>458</v>
      </c>
      <c r="B43" s="382"/>
      <c r="C43" s="382"/>
      <c r="D43" s="382"/>
    </row>
    <row r="44" spans="1:4" hidden="1">
      <c r="A44" s="168" t="s">
        <v>459</v>
      </c>
      <c r="B44" s="382"/>
      <c r="C44" s="382"/>
      <c r="D44" s="382"/>
    </row>
    <row r="46" spans="1:4" hidden="1">
      <c r="A46" s="402" t="s">
        <v>60</v>
      </c>
      <c r="B46" s="402" t="s">
        <v>460</v>
      </c>
      <c r="C46" s="402"/>
      <c r="D46" s="402"/>
    </row>
    <row r="47" spans="1:4" hidden="1">
      <c r="A47" s="402"/>
      <c r="B47" s="21" t="s">
        <v>461</v>
      </c>
      <c r="C47" s="21" t="s">
        <v>462</v>
      </c>
      <c r="D47" s="21" t="s">
        <v>463</v>
      </c>
    </row>
    <row r="48" spans="1:4" hidden="1">
      <c r="A48" s="262" t="s">
        <v>464</v>
      </c>
      <c r="B48" s="181"/>
      <c r="C48" s="181"/>
      <c r="D48" s="181"/>
    </row>
    <row r="49" spans="1:4" hidden="1">
      <c r="A49" s="262" t="s">
        <v>465</v>
      </c>
      <c r="B49" s="263"/>
      <c r="C49" s="263"/>
      <c r="D49" s="263"/>
    </row>
    <row r="50" spans="1:4" hidden="1">
      <c r="A50" s="3" t="s">
        <v>466</v>
      </c>
      <c r="B50" s="193"/>
      <c r="C50" s="193"/>
      <c r="D50" s="193"/>
    </row>
    <row r="51" spans="1:4" hidden="1">
      <c r="A51" s="3" t="s">
        <v>467</v>
      </c>
      <c r="B51" s="193"/>
      <c r="C51" s="193"/>
      <c r="D51" s="193"/>
    </row>
    <row r="52" spans="1:4" hidden="1">
      <c r="A52" s="3" t="s">
        <v>468</v>
      </c>
      <c r="B52" s="193"/>
      <c r="C52" s="193"/>
      <c r="D52" s="193"/>
    </row>
    <row r="53" spans="1:4" hidden="1">
      <c r="A53" s="3" t="s">
        <v>469</v>
      </c>
      <c r="B53" s="193"/>
      <c r="C53" s="193"/>
      <c r="D53" s="193"/>
    </row>
    <row r="54" spans="1:4" hidden="1">
      <c r="A54" s="3" t="s">
        <v>470</v>
      </c>
      <c r="B54" s="193"/>
      <c r="C54" s="193"/>
      <c r="D54" s="193"/>
    </row>
    <row r="55" spans="1:4" hidden="1">
      <c r="A55" s="3" t="s">
        <v>471</v>
      </c>
      <c r="B55" s="193"/>
      <c r="C55" s="193"/>
      <c r="D55" s="193"/>
    </row>
    <row r="56" spans="1:4" hidden="1">
      <c r="A56" s="140" t="s">
        <v>472</v>
      </c>
      <c r="B56" s="194">
        <f>B50+B52+B54</f>
        <v>0</v>
      </c>
      <c r="C56" s="194">
        <f t="shared" ref="C56:D56" si="7">C50+C52+C54</f>
        <v>0</v>
      </c>
      <c r="D56" s="194">
        <f t="shared" si="7"/>
        <v>0</v>
      </c>
    </row>
    <row r="57" spans="1:4" hidden="1">
      <c r="A57" s="140" t="s">
        <v>473</v>
      </c>
      <c r="B57" s="194">
        <f>B51+B53+B55</f>
        <v>0</v>
      </c>
      <c r="C57" s="194">
        <f t="shared" ref="C57:D57" si="8">C51+C53+C55</f>
        <v>0</v>
      </c>
      <c r="D57" s="194">
        <f t="shared" si="8"/>
        <v>0</v>
      </c>
    </row>
    <row r="58" spans="1:4" hidden="1">
      <c r="A58" s="3" t="s">
        <v>474</v>
      </c>
      <c r="B58" s="193"/>
      <c r="C58" s="193"/>
      <c r="D58" s="193"/>
    </row>
    <row r="59" spans="1:4" hidden="1">
      <c r="A59" s="140" t="s">
        <v>475</v>
      </c>
      <c r="B59" s="194">
        <f>B57-B58</f>
        <v>0</v>
      </c>
      <c r="C59" s="194">
        <f t="shared" ref="C59" si="9">C57-C58</f>
        <v>0</v>
      </c>
      <c r="D59" s="194">
        <f t="shared" ref="D59" si="10">D57-D58</f>
        <v>0</v>
      </c>
    </row>
    <row r="64" spans="1:4" hidden="1">
      <c r="A64" s="168" t="s">
        <v>458</v>
      </c>
      <c r="B64" s="382"/>
      <c r="C64" s="382"/>
      <c r="D64" s="382"/>
    </row>
    <row r="65" spans="1:4" hidden="1">
      <c r="A65" s="168" t="s">
        <v>459</v>
      </c>
      <c r="B65" s="382"/>
      <c r="C65" s="382"/>
      <c r="D65" s="382"/>
    </row>
    <row r="67" spans="1:4" hidden="1">
      <c r="A67" s="402" t="s">
        <v>60</v>
      </c>
      <c r="B67" s="402" t="s">
        <v>460</v>
      </c>
      <c r="C67" s="402"/>
      <c r="D67" s="402"/>
    </row>
    <row r="68" spans="1:4" hidden="1">
      <c r="A68" s="402"/>
      <c r="B68" s="21" t="s">
        <v>461</v>
      </c>
      <c r="C68" s="21" t="s">
        <v>462</v>
      </c>
      <c r="D68" s="21" t="s">
        <v>463</v>
      </c>
    </row>
    <row r="69" spans="1:4" hidden="1">
      <c r="A69" s="262" t="s">
        <v>464</v>
      </c>
      <c r="B69" s="181"/>
      <c r="C69" s="181"/>
      <c r="D69" s="181"/>
    </row>
    <row r="70" spans="1:4" hidden="1">
      <c r="A70" s="262" t="s">
        <v>465</v>
      </c>
      <c r="B70" s="263"/>
      <c r="C70" s="263"/>
      <c r="D70" s="263"/>
    </row>
    <row r="71" spans="1:4" hidden="1">
      <c r="A71" s="3" t="s">
        <v>466</v>
      </c>
      <c r="B71" s="193"/>
      <c r="C71" s="193"/>
      <c r="D71" s="193"/>
    </row>
    <row r="72" spans="1:4" hidden="1">
      <c r="A72" s="3" t="s">
        <v>467</v>
      </c>
      <c r="B72" s="193"/>
      <c r="C72" s="193"/>
      <c r="D72" s="193"/>
    </row>
    <row r="73" spans="1:4" hidden="1">
      <c r="A73" s="3" t="s">
        <v>468</v>
      </c>
      <c r="B73" s="193"/>
      <c r="C73" s="193"/>
      <c r="D73" s="193"/>
    </row>
    <row r="74" spans="1:4" hidden="1">
      <c r="A74" s="3" t="s">
        <v>469</v>
      </c>
      <c r="B74" s="193"/>
      <c r="C74" s="193"/>
      <c r="D74" s="193"/>
    </row>
    <row r="75" spans="1:4" hidden="1">
      <c r="A75" s="3" t="s">
        <v>470</v>
      </c>
      <c r="B75" s="193"/>
      <c r="C75" s="193"/>
      <c r="D75" s="193"/>
    </row>
    <row r="76" spans="1:4" hidden="1">
      <c r="A76" s="3" t="s">
        <v>471</v>
      </c>
      <c r="B76" s="193"/>
      <c r="C76" s="193"/>
      <c r="D76" s="193"/>
    </row>
    <row r="77" spans="1:4" hidden="1">
      <c r="A77" s="140" t="s">
        <v>472</v>
      </c>
      <c r="B77" s="194">
        <f>B71+B73+B75</f>
        <v>0</v>
      </c>
      <c r="C77" s="194">
        <f t="shared" ref="C77:D77" si="11">C71+C73+C75</f>
        <v>0</v>
      </c>
      <c r="D77" s="194">
        <f t="shared" si="11"/>
        <v>0</v>
      </c>
    </row>
    <row r="78" spans="1:4" hidden="1">
      <c r="A78" s="140" t="s">
        <v>473</v>
      </c>
      <c r="B78" s="194">
        <f>B72+B74+B76</f>
        <v>0</v>
      </c>
      <c r="C78" s="194">
        <f t="shared" ref="C78:D78" si="12">C72+C74+C76</f>
        <v>0</v>
      </c>
      <c r="D78" s="194">
        <f t="shared" si="12"/>
        <v>0</v>
      </c>
    </row>
    <row r="79" spans="1:4" hidden="1">
      <c r="A79" s="3" t="s">
        <v>474</v>
      </c>
      <c r="B79" s="193"/>
      <c r="C79" s="193"/>
      <c r="D79" s="193"/>
    </row>
    <row r="80" spans="1:4" hidden="1">
      <c r="A80" s="140" t="s">
        <v>475</v>
      </c>
      <c r="B80" s="194">
        <f>B78-B79</f>
        <v>0</v>
      </c>
      <c r="C80" s="194">
        <f t="shared" ref="C80" si="13">C78-C79</f>
        <v>0</v>
      </c>
      <c r="D80" s="194">
        <f t="shared" ref="D80" si="14">D78-D79</f>
        <v>0</v>
      </c>
    </row>
    <row r="85" spans="1:4" hidden="1">
      <c r="A85" s="168" t="s">
        <v>458</v>
      </c>
      <c r="B85" s="382"/>
      <c r="C85" s="382"/>
      <c r="D85" s="382"/>
    </row>
    <row r="86" spans="1:4" hidden="1">
      <c r="A86" s="168" t="s">
        <v>459</v>
      </c>
      <c r="B86" s="382"/>
      <c r="C86" s="382"/>
      <c r="D86" s="382"/>
    </row>
    <row r="88" spans="1:4" hidden="1">
      <c r="A88" s="402" t="s">
        <v>60</v>
      </c>
      <c r="B88" s="402" t="s">
        <v>460</v>
      </c>
      <c r="C88" s="402"/>
      <c r="D88" s="402"/>
    </row>
    <row r="89" spans="1:4" hidden="1">
      <c r="A89" s="402"/>
      <c r="B89" s="21" t="s">
        <v>461</v>
      </c>
      <c r="C89" s="21" t="s">
        <v>462</v>
      </c>
      <c r="D89" s="21" t="s">
        <v>463</v>
      </c>
    </row>
    <row r="90" spans="1:4" hidden="1">
      <c r="A90" s="262" t="s">
        <v>464</v>
      </c>
      <c r="B90" s="181"/>
      <c r="C90" s="181"/>
      <c r="D90" s="181"/>
    </row>
    <row r="91" spans="1:4" hidden="1">
      <c r="A91" s="262" t="s">
        <v>465</v>
      </c>
      <c r="B91" s="263"/>
      <c r="C91" s="263"/>
      <c r="D91" s="263"/>
    </row>
    <row r="92" spans="1:4" hidden="1">
      <c r="A92" s="3" t="s">
        <v>466</v>
      </c>
      <c r="B92" s="193"/>
      <c r="C92" s="193"/>
      <c r="D92" s="193"/>
    </row>
    <row r="93" spans="1:4" hidden="1">
      <c r="A93" s="3" t="s">
        <v>467</v>
      </c>
      <c r="B93" s="193"/>
      <c r="C93" s="193"/>
      <c r="D93" s="193"/>
    </row>
    <row r="94" spans="1:4" hidden="1">
      <c r="A94" s="3" t="s">
        <v>468</v>
      </c>
      <c r="B94" s="193"/>
      <c r="C94" s="193"/>
      <c r="D94" s="193"/>
    </row>
    <row r="95" spans="1:4" hidden="1">
      <c r="A95" s="3" t="s">
        <v>469</v>
      </c>
      <c r="B95" s="193"/>
      <c r="C95" s="193"/>
      <c r="D95" s="193"/>
    </row>
    <row r="96" spans="1:4" hidden="1">
      <c r="A96" s="3" t="s">
        <v>470</v>
      </c>
      <c r="B96" s="193"/>
      <c r="C96" s="193"/>
      <c r="D96" s="193"/>
    </row>
    <row r="97" spans="1:4" hidden="1">
      <c r="A97" s="3" t="s">
        <v>471</v>
      </c>
      <c r="B97" s="193"/>
      <c r="C97" s="193"/>
      <c r="D97" s="193"/>
    </row>
    <row r="98" spans="1:4" hidden="1">
      <c r="A98" s="140" t="s">
        <v>472</v>
      </c>
      <c r="B98" s="194">
        <f>B92+B94+B96</f>
        <v>0</v>
      </c>
      <c r="C98" s="194">
        <f t="shared" ref="C98:D98" si="15">C92+C94+C96</f>
        <v>0</v>
      </c>
      <c r="D98" s="194">
        <f t="shared" si="15"/>
        <v>0</v>
      </c>
    </row>
    <row r="99" spans="1:4" hidden="1">
      <c r="A99" s="140" t="s">
        <v>473</v>
      </c>
      <c r="B99" s="194">
        <f>B93+B95+B97</f>
        <v>0</v>
      </c>
      <c r="C99" s="194">
        <f t="shared" ref="C99:D99" si="16">C93+C95+C97</f>
        <v>0</v>
      </c>
      <c r="D99" s="194">
        <f t="shared" si="16"/>
        <v>0</v>
      </c>
    </row>
    <row r="100" spans="1:4" hidden="1">
      <c r="A100" s="3" t="s">
        <v>474</v>
      </c>
      <c r="B100" s="193"/>
      <c r="C100" s="193"/>
      <c r="D100" s="193"/>
    </row>
    <row r="101" spans="1:4" hidden="1">
      <c r="A101" s="140" t="s">
        <v>475</v>
      </c>
      <c r="B101" s="194">
        <f>B99-B100</f>
        <v>0</v>
      </c>
      <c r="C101" s="194">
        <f t="shared" ref="C101" si="17">C99-C100</f>
        <v>0</v>
      </c>
      <c r="D101" s="194">
        <f t="shared" ref="D101" si="18">D99-D100</f>
        <v>0</v>
      </c>
    </row>
    <row r="106" spans="1:4"/>
    <row r="107" spans="1:4">
      <c r="A107" s="403" t="s">
        <v>476</v>
      </c>
      <c r="B107" s="403"/>
      <c r="C107" s="403"/>
      <c r="D107" s="403"/>
    </row>
    <row r="108" spans="1:4">
      <c r="A108" s="402" t="s">
        <v>60</v>
      </c>
      <c r="B108" s="402" t="s">
        <v>460</v>
      </c>
      <c r="C108" s="402"/>
      <c r="D108" s="402"/>
    </row>
    <row r="109" spans="1:4">
      <c r="A109" s="402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466</v>
      </c>
      <c r="B110" s="264">
        <f>B8+B29+B50+B71+B92</f>
        <v>1698700</v>
      </c>
      <c r="C110" s="264">
        <f t="shared" ref="C110:D110" si="19">C8+C29+C50+C71+C92</f>
        <v>1571200</v>
      </c>
      <c r="D110" s="264">
        <f t="shared" si="19"/>
        <v>1470800</v>
      </c>
    </row>
    <row r="111" spans="1:4">
      <c r="A111" s="3" t="s">
        <v>467</v>
      </c>
      <c r="B111" s="264">
        <f t="shared" ref="B111:D111" si="20">B9+B30+B51+B72+B93</f>
        <v>482560</v>
      </c>
      <c r="C111" s="264">
        <f t="shared" si="20"/>
        <v>471360</v>
      </c>
      <c r="D111" s="264">
        <f t="shared" si="20"/>
        <v>441240</v>
      </c>
    </row>
    <row r="112" spans="1:4">
      <c r="A112" s="3" t="s">
        <v>468</v>
      </c>
      <c r="B112" s="264">
        <f t="shared" ref="B112:D112" si="21">B10+B31+B52+B73+B94</f>
        <v>0</v>
      </c>
      <c r="C112" s="264">
        <f t="shared" si="21"/>
        <v>0</v>
      </c>
      <c r="D112" s="264">
        <f t="shared" si="21"/>
        <v>0</v>
      </c>
    </row>
    <row r="113" spans="1:4">
      <c r="A113" s="3" t="s">
        <v>469</v>
      </c>
      <c r="B113" s="264">
        <f t="shared" ref="B113:D113" si="22">B11+B32+B53+B74+B95</f>
        <v>0</v>
      </c>
      <c r="C113" s="264">
        <f t="shared" si="22"/>
        <v>0</v>
      </c>
      <c r="D113" s="264">
        <f t="shared" si="22"/>
        <v>0</v>
      </c>
    </row>
    <row r="114" spans="1:4">
      <c r="A114" s="3" t="s">
        <v>470</v>
      </c>
      <c r="B114" s="264">
        <f t="shared" ref="B114:D114" si="23">B12+B33+B54+B75+B96</f>
        <v>0</v>
      </c>
      <c r="C114" s="264">
        <f t="shared" si="23"/>
        <v>0</v>
      </c>
      <c r="D114" s="264">
        <f t="shared" si="23"/>
        <v>0</v>
      </c>
    </row>
    <row r="115" spans="1:4">
      <c r="A115" s="3" t="s">
        <v>471</v>
      </c>
      <c r="B115" s="264">
        <f t="shared" ref="B115:D115" si="24">B13+B34+B55+B76+B97</f>
        <v>0</v>
      </c>
      <c r="C115" s="264">
        <f t="shared" si="24"/>
        <v>0</v>
      </c>
      <c r="D115" s="264">
        <f t="shared" si="24"/>
        <v>0</v>
      </c>
    </row>
    <row r="116" spans="1:4">
      <c r="A116" s="140" t="s">
        <v>472</v>
      </c>
      <c r="B116" s="194">
        <f>B110+B112+B114</f>
        <v>1698700</v>
      </c>
      <c r="C116" s="194">
        <f t="shared" ref="C116:D116" si="25">C110+C112+C114</f>
        <v>1571200</v>
      </c>
      <c r="D116" s="194">
        <f t="shared" si="25"/>
        <v>1470800</v>
      </c>
    </row>
    <row r="117" spans="1:4">
      <c r="A117" s="140" t="s">
        <v>473</v>
      </c>
      <c r="B117" s="194">
        <f>B111+B113+B115</f>
        <v>482560</v>
      </c>
      <c r="C117" s="194">
        <f t="shared" ref="C117:D117" si="26">C111+C113+C115</f>
        <v>471360</v>
      </c>
      <c r="D117" s="194">
        <f t="shared" si="26"/>
        <v>441240</v>
      </c>
    </row>
    <row r="118" spans="1:4">
      <c r="A118" s="3" t="s">
        <v>474</v>
      </c>
      <c r="B118" s="264">
        <f t="shared" ref="B118:D118" si="27">B16+B37+B58+B79+B100</f>
        <v>0</v>
      </c>
      <c r="C118" s="264">
        <f t="shared" si="27"/>
        <v>0</v>
      </c>
      <c r="D118" s="264">
        <f t="shared" si="27"/>
        <v>0</v>
      </c>
    </row>
    <row r="119" spans="1:4">
      <c r="A119" s="140" t="s">
        <v>475</v>
      </c>
      <c r="B119" s="194">
        <f>B117-B118</f>
        <v>482560</v>
      </c>
      <c r="C119" s="194">
        <f t="shared" ref="C119" si="28">C117-C118</f>
        <v>471360</v>
      </c>
      <c r="D119" s="194">
        <f t="shared" ref="D119" si="29">D117-D118</f>
        <v>441240</v>
      </c>
    </row>
    <row r="120" spans="1:4">
      <c r="A120" s="3" t="s">
        <v>477</v>
      </c>
      <c r="B120" s="264">
        <f>B116-B117</f>
        <v>1216140</v>
      </c>
      <c r="C120" s="264">
        <f t="shared" ref="C120:D120" si="30">C116-C117</f>
        <v>1099840</v>
      </c>
      <c r="D120" s="264">
        <f t="shared" si="30"/>
        <v>1029560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  <mergeCell ref="B46:D46"/>
    <mergeCell ref="B64:D64"/>
    <mergeCell ref="B1:D1"/>
    <mergeCell ref="B2:D2"/>
    <mergeCell ref="B4:D4"/>
    <mergeCell ref="B22:D22"/>
    <mergeCell ref="B23:D23"/>
  </mergeCells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68" t="s">
        <v>478</v>
      </c>
      <c r="B1" s="404"/>
      <c r="C1" s="405"/>
      <c r="D1" s="405"/>
      <c r="E1" s="406"/>
    </row>
    <row r="2" spans="1:5" ht="12.75" customHeight="1">
      <c r="A2" s="168" t="s">
        <v>479</v>
      </c>
      <c r="B2" s="394"/>
      <c r="C2" s="407"/>
      <c r="D2" s="407"/>
      <c r="E2" s="395"/>
    </row>
    <row r="4" spans="1:5" ht="25.5">
      <c r="A4" s="259" t="s">
        <v>5</v>
      </c>
      <c r="B4" s="259" t="s">
        <v>480</v>
      </c>
      <c r="C4" s="259" t="s">
        <v>481</v>
      </c>
      <c r="D4" s="259" t="s">
        <v>482</v>
      </c>
      <c r="E4" s="259" t="s">
        <v>483</v>
      </c>
    </row>
    <row r="5" spans="1:5">
      <c r="A5" s="260">
        <v>1</v>
      </c>
      <c r="B5" s="192"/>
      <c r="C5" s="181"/>
      <c r="D5" s="193"/>
      <c r="E5" s="193"/>
    </row>
    <row r="6" spans="1:5">
      <c r="A6" s="260">
        <v>2</v>
      </c>
      <c r="B6" s="192"/>
      <c r="C6" s="181"/>
      <c r="D6" s="193"/>
      <c r="E6" s="193"/>
    </row>
    <row r="7" spans="1:5">
      <c r="A7" s="260">
        <v>3</v>
      </c>
      <c r="B7" s="192"/>
      <c r="C7" s="181"/>
      <c r="D7" s="193"/>
      <c r="E7" s="193"/>
    </row>
    <row r="8" spans="1:5">
      <c r="A8" s="260">
        <v>4</v>
      </c>
      <c r="B8" s="192"/>
      <c r="C8" s="181"/>
      <c r="D8" s="193"/>
      <c r="E8" s="193"/>
    </row>
    <row r="9" spans="1:5">
      <c r="A9" s="260">
        <v>5</v>
      </c>
      <c r="B9" s="192"/>
      <c r="C9" s="181"/>
      <c r="D9" s="193"/>
      <c r="E9" s="193"/>
    </row>
    <row r="10" spans="1:5">
      <c r="A10" s="260">
        <v>6</v>
      </c>
      <c r="B10" s="192"/>
      <c r="C10" s="181"/>
      <c r="D10" s="193"/>
      <c r="E10" s="193"/>
    </row>
    <row r="11" spans="1:5">
      <c r="A11" s="260">
        <v>7</v>
      </c>
      <c r="B11" s="192"/>
      <c r="C11" s="181"/>
      <c r="D11" s="193"/>
      <c r="E11" s="193"/>
    </row>
    <row r="12" spans="1:5">
      <c r="A12" s="260">
        <v>8</v>
      </c>
      <c r="B12" s="192"/>
      <c r="C12" s="181"/>
      <c r="D12" s="193"/>
      <c r="E12" s="193"/>
    </row>
    <row r="13" spans="1:5">
      <c r="A13" s="260">
        <v>9</v>
      </c>
      <c r="B13" s="192"/>
      <c r="C13" s="181"/>
      <c r="D13" s="193"/>
      <c r="E13" s="193"/>
    </row>
    <row r="14" spans="1:5">
      <c r="A14" s="260">
        <v>10</v>
      </c>
      <c r="B14" s="192"/>
      <c r="C14" s="181"/>
      <c r="D14" s="193"/>
      <c r="E14" s="193"/>
    </row>
    <row r="15" spans="1:5">
      <c r="A15" s="260">
        <v>11</v>
      </c>
      <c r="B15" s="192"/>
      <c r="C15" s="181"/>
      <c r="D15" s="193"/>
      <c r="E15" s="193"/>
    </row>
    <row r="16" spans="1:5">
      <c r="A16" s="260">
        <v>12</v>
      </c>
      <c r="B16" s="192"/>
      <c r="C16" s="181"/>
      <c r="D16" s="193"/>
      <c r="E16" s="193"/>
    </row>
    <row r="17" spans="1:5">
      <c r="A17" s="260">
        <v>13</v>
      </c>
      <c r="B17" s="192"/>
      <c r="C17" s="181"/>
      <c r="D17" s="193"/>
      <c r="E17" s="193"/>
    </row>
    <row r="18" spans="1:5">
      <c r="A18" s="260">
        <v>14</v>
      </c>
      <c r="B18" s="192"/>
      <c r="C18" s="181"/>
      <c r="D18" s="193"/>
      <c r="E18" s="193"/>
    </row>
    <row r="19" spans="1:5">
      <c r="A19" s="260">
        <v>15</v>
      </c>
      <c r="B19" s="192"/>
      <c r="C19" s="181"/>
      <c r="D19" s="193"/>
      <c r="E19" s="193"/>
    </row>
    <row r="20" spans="1:5">
      <c r="A20" s="260">
        <v>16</v>
      </c>
      <c r="B20" s="192"/>
      <c r="C20" s="181"/>
      <c r="D20" s="193"/>
      <c r="E20" s="193"/>
    </row>
    <row r="21" spans="1:5">
      <c r="A21" s="260">
        <v>17</v>
      </c>
      <c r="B21" s="192"/>
      <c r="C21" s="181"/>
      <c r="D21" s="193"/>
      <c r="E21" s="193"/>
    </row>
    <row r="22" spans="1:5">
      <c r="A22" s="260">
        <v>18</v>
      </c>
      <c r="B22" s="192"/>
      <c r="C22" s="181"/>
      <c r="D22" s="193"/>
      <c r="E22" s="193"/>
    </row>
    <row r="23" spans="1:5">
      <c r="A23" s="260">
        <v>19</v>
      </c>
      <c r="B23" s="192"/>
      <c r="C23" s="181"/>
      <c r="D23" s="193"/>
      <c r="E23" s="193"/>
    </row>
    <row r="24" spans="1:5">
      <c r="A24" s="260">
        <v>20</v>
      </c>
      <c r="B24" s="192"/>
      <c r="C24" s="181"/>
      <c r="D24" s="193"/>
      <c r="E24" s="193"/>
    </row>
    <row r="25" spans="1:5">
      <c r="A25" s="260">
        <v>21</v>
      </c>
      <c r="B25" s="192"/>
      <c r="C25" s="181"/>
      <c r="D25" s="193"/>
      <c r="E25" s="193"/>
    </row>
    <row r="26" spans="1:5">
      <c r="A26" s="260">
        <v>22</v>
      </c>
      <c r="B26" s="192"/>
      <c r="C26" s="181"/>
      <c r="D26" s="193"/>
      <c r="E26" s="193"/>
    </row>
    <row r="27" spans="1:5">
      <c r="A27" s="260">
        <v>23</v>
      </c>
      <c r="B27" s="192"/>
      <c r="C27" s="181"/>
      <c r="D27" s="193"/>
      <c r="E27" s="193"/>
    </row>
    <row r="28" spans="1:5">
      <c r="A28" s="260">
        <v>24</v>
      </c>
      <c r="B28" s="192"/>
      <c r="C28" s="181"/>
      <c r="D28" s="193"/>
      <c r="E28" s="193"/>
    </row>
    <row r="29" spans="1:5">
      <c r="A29" s="260">
        <v>25</v>
      </c>
      <c r="B29" s="192"/>
      <c r="C29" s="181"/>
      <c r="D29" s="193"/>
      <c r="E29" s="193"/>
    </row>
    <row r="30" spans="1:5">
      <c r="A30" s="260">
        <v>26</v>
      </c>
      <c r="B30" s="192"/>
      <c r="C30" s="181"/>
      <c r="D30" s="193"/>
      <c r="E30" s="193"/>
    </row>
    <row r="31" spans="1:5">
      <c r="A31" s="260">
        <v>27</v>
      </c>
      <c r="B31" s="192"/>
      <c r="C31" s="181"/>
      <c r="D31" s="193"/>
      <c r="E31" s="193"/>
    </row>
    <row r="32" spans="1:5">
      <c r="A32" s="260">
        <v>28</v>
      </c>
      <c r="B32" s="192"/>
      <c r="C32" s="181"/>
      <c r="D32" s="193"/>
      <c r="E32" s="193"/>
    </row>
    <row r="33" spans="1:5">
      <c r="A33" s="260">
        <v>29</v>
      </c>
      <c r="B33" s="192"/>
      <c r="C33" s="181"/>
      <c r="D33" s="193"/>
      <c r="E33" s="193"/>
    </row>
    <row r="34" spans="1:5">
      <c r="A34" s="260">
        <v>30</v>
      </c>
      <c r="B34" s="192"/>
      <c r="C34" s="181"/>
      <c r="D34" s="193"/>
      <c r="E34" s="193"/>
    </row>
    <row r="35" spans="1:5">
      <c r="A35" s="260">
        <v>31</v>
      </c>
      <c r="B35" s="192"/>
      <c r="C35" s="181"/>
      <c r="D35" s="193"/>
      <c r="E35" s="193"/>
    </row>
    <row r="36" spans="1:5">
      <c r="A36" s="260">
        <v>32</v>
      </c>
      <c r="B36" s="192"/>
      <c r="C36" s="181"/>
      <c r="D36" s="193"/>
      <c r="E36" s="193"/>
    </row>
    <row r="37" spans="1:5">
      <c r="A37" s="260">
        <v>33</v>
      </c>
      <c r="B37" s="192"/>
      <c r="C37" s="181"/>
      <c r="D37" s="193"/>
      <c r="E37" s="193"/>
    </row>
    <row r="38" spans="1:5">
      <c r="A38" s="260">
        <v>34</v>
      </c>
      <c r="B38" s="192"/>
      <c r="C38" s="181"/>
      <c r="D38" s="193"/>
      <c r="E38" s="193"/>
    </row>
    <row r="39" spans="1:5">
      <c r="A39" s="260">
        <v>35</v>
      </c>
      <c r="B39" s="192"/>
      <c r="C39" s="181"/>
      <c r="D39" s="193"/>
      <c r="E39" s="193"/>
    </row>
    <row r="40" spans="1:5">
      <c r="A40" s="260">
        <v>36</v>
      </c>
      <c r="B40" s="192"/>
      <c r="C40" s="181"/>
      <c r="D40" s="193"/>
      <c r="E40" s="193"/>
    </row>
    <row r="41" spans="1:5">
      <c r="A41" s="260">
        <v>37</v>
      </c>
      <c r="B41" s="192"/>
      <c r="C41" s="181"/>
      <c r="D41" s="193"/>
      <c r="E41" s="193"/>
    </row>
    <row r="42" spans="1:5">
      <c r="A42" s="260">
        <v>38</v>
      </c>
      <c r="B42" s="192"/>
      <c r="C42" s="181"/>
      <c r="D42" s="193"/>
      <c r="E42" s="193"/>
    </row>
    <row r="43" spans="1:5">
      <c r="A43" s="260">
        <v>39</v>
      </c>
      <c r="B43" s="192"/>
      <c r="C43" s="181"/>
      <c r="D43" s="193"/>
      <c r="E43" s="193"/>
    </row>
    <row r="44" spans="1:5">
      <c r="A44" s="260">
        <v>40</v>
      </c>
      <c r="B44" s="192"/>
      <c r="C44" s="181"/>
      <c r="D44" s="193"/>
      <c r="E44" s="193"/>
    </row>
    <row r="45" spans="1:5">
      <c r="A45" s="260">
        <v>41</v>
      </c>
      <c r="B45" s="192"/>
      <c r="C45" s="181"/>
      <c r="D45" s="193"/>
      <c r="E45" s="193"/>
    </row>
    <row r="46" spans="1:5">
      <c r="A46" s="260">
        <v>42</v>
      </c>
      <c r="B46" s="192"/>
      <c r="C46" s="181"/>
      <c r="D46" s="193"/>
      <c r="E46" s="193"/>
    </row>
    <row r="47" spans="1:5">
      <c r="A47" s="260">
        <v>43</v>
      </c>
      <c r="B47" s="192"/>
      <c r="C47" s="181"/>
      <c r="D47" s="193"/>
      <c r="E47" s="193"/>
    </row>
    <row r="48" spans="1:5">
      <c r="A48" s="260">
        <v>44</v>
      </c>
      <c r="B48" s="192"/>
      <c r="C48" s="181"/>
      <c r="D48" s="193"/>
      <c r="E48" s="193"/>
    </row>
    <row r="49" spans="1:5">
      <c r="A49" s="260">
        <v>45</v>
      </c>
      <c r="B49" s="192"/>
      <c r="C49" s="181"/>
      <c r="D49" s="193"/>
      <c r="E49" s="193"/>
    </row>
    <row r="50" spans="1:5">
      <c r="A50" s="260">
        <v>46</v>
      </c>
      <c r="B50" s="192"/>
      <c r="C50" s="181"/>
      <c r="D50" s="193"/>
      <c r="E50" s="193"/>
    </row>
    <row r="51" spans="1:5">
      <c r="A51" s="260">
        <v>47</v>
      </c>
      <c r="B51" s="192"/>
      <c r="C51" s="181"/>
      <c r="D51" s="193"/>
      <c r="E51" s="193"/>
    </row>
    <row r="52" spans="1:5">
      <c r="A52" s="260">
        <v>48</v>
      </c>
      <c r="B52" s="192"/>
      <c r="C52" s="181"/>
      <c r="D52" s="193"/>
      <c r="E52" s="193"/>
    </row>
    <row r="53" spans="1:5">
      <c r="A53" s="260">
        <v>49</v>
      </c>
      <c r="B53" s="192"/>
      <c r="C53" s="181"/>
      <c r="D53" s="193"/>
      <c r="E53" s="193"/>
    </row>
    <row r="54" spans="1:5">
      <c r="A54" s="260">
        <v>50</v>
      </c>
      <c r="B54" s="192"/>
      <c r="C54" s="181"/>
      <c r="D54" s="193"/>
      <c r="E54" s="193"/>
    </row>
    <row r="55" spans="1:5">
      <c r="A55" s="408" t="s">
        <v>39</v>
      </c>
      <c r="B55" s="409"/>
      <c r="C55" s="410"/>
      <c r="D55" s="261">
        <f>SUM(D27:D54)</f>
        <v>0</v>
      </c>
      <c r="E55" s="261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54" customWidth="1"/>
    <col min="2" max="2" width="17.7109375" style="254" customWidth="1"/>
    <col min="3" max="3" width="9.7109375" style="254" customWidth="1"/>
    <col min="4" max="4" width="16.42578125" style="254" customWidth="1"/>
    <col min="5" max="5" width="10" style="254" customWidth="1"/>
    <col min="6" max="6" width="15.7109375" style="254" customWidth="1"/>
    <col min="7" max="7" width="12.7109375" style="254" customWidth="1"/>
    <col min="8" max="8" width="15.42578125" style="254" customWidth="1"/>
    <col min="9" max="16384" width="9.140625" style="254"/>
  </cols>
  <sheetData>
    <row r="1" spans="1:6" ht="25.5">
      <c r="A1" s="255" t="s">
        <v>484</v>
      </c>
      <c r="B1" s="255" t="s">
        <v>485</v>
      </c>
      <c r="C1" s="255" t="s">
        <v>486</v>
      </c>
      <c r="D1" s="255" t="s">
        <v>487</v>
      </c>
      <c r="E1" s="255" t="s">
        <v>163</v>
      </c>
      <c r="F1" s="255" t="s">
        <v>488</v>
      </c>
    </row>
    <row r="2" spans="1:6">
      <c r="A2" s="412"/>
      <c r="B2" s="412"/>
      <c r="C2" s="412"/>
      <c r="D2" s="412"/>
      <c r="E2" s="126" t="s">
        <v>489</v>
      </c>
      <c r="F2" s="256"/>
    </row>
    <row r="3" spans="1:6">
      <c r="A3" s="412"/>
      <c r="B3" s="412"/>
      <c r="C3" s="412"/>
      <c r="D3" s="412"/>
      <c r="E3" s="126" t="s">
        <v>490</v>
      </c>
      <c r="F3" s="256"/>
    </row>
    <row r="4" spans="1:6">
      <c r="A4" s="412"/>
      <c r="B4" s="412"/>
      <c r="C4" s="412"/>
      <c r="D4" s="412"/>
      <c r="E4" s="126" t="s">
        <v>491</v>
      </c>
      <c r="F4" s="256"/>
    </row>
    <row r="5" spans="1:6">
      <c r="A5" s="412"/>
      <c r="B5" s="412"/>
      <c r="C5" s="412"/>
      <c r="D5" s="412"/>
      <c r="E5" s="126" t="s">
        <v>492</v>
      </c>
      <c r="F5" s="256"/>
    </row>
    <row r="6" spans="1:6">
      <c r="A6" s="412"/>
      <c r="B6" s="412"/>
      <c r="C6" s="412"/>
      <c r="D6" s="412"/>
      <c r="E6" s="126" t="s">
        <v>493</v>
      </c>
      <c r="F6" s="256"/>
    </row>
    <row r="7" spans="1:6">
      <c r="A7" s="412"/>
      <c r="B7" s="412"/>
      <c r="C7" s="412"/>
      <c r="D7" s="412"/>
      <c r="E7" s="126" t="s">
        <v>494</v>
      </c>
      <c r="F7" s="256"/>
    </row>
    <row r="8" spans="1:6">
      <c r="A8" s="412"/>
      <c r="B8" s="412"/>
      <c r="C8" s="412"/>
      <c r="D8" s="412"/>
      <c r="E8" s="126" t="s">
        <v>495</v>
      </c>
      <c r="F8" s="256"/>
    </row>
    <row r="9" spans="1:6">
      <c r="A9" s="412"/>
      <c r="B9" s="412"/>
      <c r="C9" s="412"/>
      <c r="D9" s="412"/>
      <c r="E9" s="126" t="s">
        <v>496</v>
      </c>
      <c r="F9" s="256"/>
    </row>
    <row r="10" spans="1:6">
      <c r="A10" s="412"/>
      <c r="B10" s="412"/>
      <c r="C10" s="412"/>
      <c r="D10" s="412"/>
      <c r="E10" s="126" t="s">
        <v>497</v>
      </c>
      <c r="F10" s="256"/>
    </row>
    <row r="11" spans="1:6">
      <c r="A11" s="412"/>
      <c r="B11" s="412"/>
      <c r="C11" s="412"/>
      <c r="D11" s="412"/>
      <c r="E11" s="126" t="s">
        <v>498</v>
      </c>
      <c r="F11" s="256"/>
    </row>
    <row r="12" spans="1:6">
      <c r="A12" s="412"/>
      <c r="B12" s="412"/>
      <c r="C12" s="412"/>
      <c r="D12" s="412"/>
      <c r="E12" s="126" t="s">
        <v>499</v>
      </c>
      <c r="F12" s="256"/>
    </row>
    <row r="13" spans="1:6">
      <c r="A13" s="412"/>
      <c r="B13" s="412"/>
      <c r="C13" s="412"/>
      <c r="D13" s="412"/>
      <c r="E13" s="126" t="s">
        <v>500</v>
      </c>
      <c r="F13" s="256"/>
    </row>
    <row r="14" spans="1:6">
      <c r="A14" s="411" t="s">
        <v>501</v>
      </c>
      <c r="B14" s="411"/>
      <c r="C14" s="411"/>
      <c r="D14" s="411"/>
      <c r="E14" s="411"/>
      <c r="F14" s="257">
        <f>SUM(F2:F13)</f>
        <v>0</v>
      </c>
    </row>
    <row r="16" spans="1:6">
      <c r="F16" s="258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A4" sqref="A4:XFD102"/>
    </sheetView>
  </sheetViews>
  <sheetFormatPr defaultColWidth="0" defaultRowHeight="12" zeroHeight="1"/>
  <cols>
    <col min="1" max="1" width="5.140625" style="215" customWidth="1"/>
    <col min="2" max="2" width="16.42578125" style="215" customWidth="1"/>
    <col min="3" max="3" width="14.85546875" style="215" customWidth="1"/>
    <col min="4" max="4" width="11.140625" style="215" customWidth="1"/>
    <col min="5" max="5" width="12.5703125" style="215" customWidth="1"/>
    <col min="6" max="6" width="10.28515625" style="215" customWidth="1"/>
    <col min="7" max="8" width="9.140625" style="215" customWidth="1"/>
    <col min="9" max="9" width="6.5703125" style="215" customWidth="1"/>
    <col min="10" max="10" width="23.7109375" style="215" customWidth="1"/>
    <col min="11" max="11" width="9.140625" style="215" customWidth="1"/>
    <col min="12" max="12" width="31.85546875" style="215" customWidth="1"/>
    <col min="13" max="13" width="16.7109375" style="215" customWidth="1"/>
    <col min="14" max="16" width="10.42578125" style="215" customWidth="1"/>
    <col min="17" max="17" width="16.42578125" style="215" customWidth="1"/>
    <col min="18" max="29" width="9.140625" style="215" customWidth="1"/>
    <col min="30" max="16384" width="9.140625" style="215" hidden="1"/>
  </cols>
  <sheetData>
    <row r="1" spans="1:29" ht="15" customHeight="1">
      <c r="A1" s="436" t="s">
        <v>5</v>
      </c>
      <c r="B1" s="436" t="s">
        <v>546</v>
      </c>
      <c r="C1" s="436" t="s">
        <v>547</v>
      </c>
      <c r="D1" s="438" t="s">
        <v>548</v>
      </c>
      <c r="E1" s="438" t="s">
        <v>549</v>
      </c>
      <c r="F1" s="440" t="s">
        <v>550</v>
      </c>
      <c r="G1" s="436" t="s">
        <v>29</v>
      </c>
      <c r="H1" s="436" t="s">
        <v>551</v>
      </c>
      <c r="I1" s="436" t="s">
        <v>552</v>
      </c>
      <c r="J1" s="436" t="s">
        <v>553</v>
      </c>
      <c r="K1" s="436" t="s">
        <v>554</v>
      </c>
      <c r="L1" s="436" t="s">
        <v>555</v>
      </c>
      <c r="M1" s="436" t="s">
        <v>556</v>
      </c>
      <c r="N1" s="436" t="s">
        <v>557</v>
      </c>
      <c r="O1" s="436" t="s">
        <v>558</v>
      </c>
      <c r="P1" s="436" t="s">
        <v>559</v>
      </c>
      <c r="Q1" s="436" t="s">
        <v>560</v>
      </c>
      <c r="R1" s="429" t="s">
        <v>561</v>
      </c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1"/>
    </row>
    <row r="2" spans="1:29" ht="42" customHeight="1">
      <c r="A2" s="437"/>
      <c r="B2" s="437"/>
      <c r="C2" s="437"/>
      <c r="D2" s="439"/>
      <c r="E2" s="439"/>
      <c r="F2" s="441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227">
        <f>IF('Banking - Non PDF'!$A$27="","",'Banking - Non PDF'!$A$27)</f>
        <v>45139</v>
      </c>
      <c r="S2" s="227">
        <f>IF('Banking - Non PDF'!$A$28="","",'Banking - Non PDF'!$A$28)</f>
        <v>45170</v>
      </c>
      <c r="T2" s="227">
        <f>IF('Banking - Non PDF'!$A$29="","",'Banking - Non PDF'!$A$29)</f>
        <v>45200</v>
      </c>
      <c r="U2" s="227">
        <f>IF('Banking - Non PDF'!$A$30="","",'Banking - Non PDF'!$A$30)</f>
        <v>45231</v>
      </c>
      <c r="V2" s="227">
        <f>IF('Banking - Non PDF'!$A$31="","",'Banking - Non PDF'!$A$31)</f>
        <v>45261</v>
      </c>
      <c r="W2" s="227">
        <f>IF('Banking - Non PDF'!$A$32="","",'Banking - Non PDF'!$A$32)</f>
        <v>45292</v>
      </c>
      <c r="X2" s="227" t="str">
        <f>IF('Banking - Non PDF'!$A$33="","",'Banking - Non PDF'!$A$33)</f>
        <v/>
      </c>
      <c r="Y2" s="227" t="str">
        <f>IF('Banking - Non PDF'!$A$34="","",'Banking - Non PDF'!$A$34)</f>
        <v/>
      </c>
      <c r="Z2" s="227" t="str">
        <f>IF('Banking - Non PDF'!$A$35="","",'Banking - Non PDF'!$A$35)</f>
        <v/>
      </c>
      <c r="AA2" s="227" t="str">
        <f>IF('Banking - Non PDF'!$A$36="","",'Banking - Non PDF'!$A$36)</f>
        <v/>
      </c>
      <c r="AB2" s="227" t="str">
        <f>IF('Banking - Non PDF'!$A$37="","",'Banking - Non PDF'!$A$37)</f>
        <v/>
      </c>
      <c r="AC2" s="227" t="str">
        <f>IF('Banking - Non PDF'!$A$38="","",'Banking - Non PDF'!$A$38)</f>
        <v/>
      </c>
    </row>
    <row r="3" spans="1:29" ht="15" customHeight="1">
      <c r="A3" s="216">
        <v>1</v>
      </c>
      <c r="B3" s="217" t="s">
        <v>2043</v>
      </c>
      <c r="C3" s="217"/>
      <c r="D3" s="218"/>
      <c r="E3" s="218"/>
      <c r="F3" s="219"/>
      <c r="G3" s="220"/>
      <c r="H3" s="219"/>
      <c r="I3" s="223" t="str">
        <f ca="1">IF(F3="","",IF(H3&lt;&gt;"",DATEDIF(F3,H3,"M"),DATEDIF(F3,TODAY(),"M")))</f>
        <v/>
      </c>
      <c r="J3" s="217"/>
      <c r="K3" s="217"/>
      <c r="L3" s="217"/>
      <c r="M3" s="217"/>
      <c r="N3" s="222"/>
      <c r="O3" s="224"/>
      <c r="P3" s="225">
        <f t="shared" ref="P3:P34" si="0">IF(OR(M3="",M3="Active"),N3*IF(O3="",100%,O3),0)</f>
        <v>0</v>
      </c>
      <c r="Q3" s="228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</row>
    <row r="4" spans="1:29" ht="15" hidden="1" customHeight="1">
      <c r="A4" s="216">
        <v>2</v>
      </c>
      <c r="B4" s="217"/>
      <c r="C4" s="217"/>
      <c r="D4" s="218"/>
      <c r="E4" s="218"/>
      <c r="F4" s="219"/>
      <c r="G4" s="220"/>
      <c r="H4" s="219"/>
      <c r="I4" s="223" t="str">
        <f t="shared" ref="I4:I67" ca="1" si="1">IF(F4="","",IF(H4&lt;&gt;"",DATEDIF(F4,H4,"M"),DATEDIF(F4,TODAY(),"M")))</f>
        <v/>
      </c>
      <c r="J4" s="217"/>
      <c r="K4" s="217"/>
      <c r="L4" s="217"/>
      <c r="M4" s="217"/>
      <c r="N4" s="222"/>
      <c r="O4" s="224"/>
      <c r="P4" s="225">
        <f t="shared" si="0"/>
        <v>0</v>
      </c>
      <c r="Q4" s="228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1:29" ht="15" hidden="1" customHeight="1">
      <c r="A5" s="216">
        <v>3</v>
      </c>
      <c r="B5" s="217"/>
      <c r="C5" s="217"/>
      <c r="D5" s="218"/>
      <c r="E5" s="218"/>
      <c r="F5" s="221"/>
      <c r="G5" s="220"/>
      <c r="H5" s="219"/>
      <c r="I5" s="223" t="str">
        <f t="shared" ca="1" si="1"/>
        <v/>
      </c>
      <c r="J5" s="220"/>
      <c r="K5" s="220"/>
      <c r="L5" s="220"/>
      <c r="M5" s="220"/>
      <c r="N5" s="226"/>
      <c r="O5" s="224"/>
      <c r="P5" s="225">
        <f t="shared" si="0"/>
        <v>0</v>
      </c>
      <c r="Q5" s="228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</row>
    <row r="6" spans="1:29" ht="15" hidden="1" customHeight="1">
      <c r="A6" s="216">
        <v>4</v>
      </c>
      <c r="B6" s="217"/>
      <c r="C6" s="217"/>
      <c r="D6" s="218"/>
      <c r="E6" s="218"/>
      <c r="F6" s="221"/>
      <c r="G6" s="220"/>
      <c r="H6" s="219"/>
      <c r="I6" s="223" t="str">
        <f t="shared" ca="1" si="1"/>
        <v/>
      </c>
      <c r="J6" s="220"/>
      <c r="K6" s="220"/>
      <c r="L6" s="220"/>
      <c r="M6" s="220"/>
      <c r="N6" s="226"/>
      <c r="O6" s="224"/>
      <c r="P6" s="225">
        <f t="shared" si="0"/>
        <v>0</v>
      </c>
      <c r="Q6" s="228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</row>
    <row r="7" spans="1:29" ht="15" hidden="1" customHeight="1">
      <c r="A7" s="216">
        <v>5</v>
      </c>
      <c r="B7" s="217"/>
      <c r="C7" s="217"/>
      <c r="D7" s="218"/>
      <c r="E7" s="218"/>
      <c r="F7" s="221"/>
      <c r="G7" s="220"/>
      <c r="H7" s="219"/>
      <c r="I7" s="223" t="str">
        <f t="shared" ca="1" si="1"/>
        <v/>
      </c>
      <c r="J7" s="220"/>
      <c r="K7" s="220"/>
      <c r="L7" s="220"/>
      <c r="M7" s="220"/>
      <c r="N7" s="226"/>
      <c r="O7" s="224"/>
      <c r="P7" s="225">
        <f t="shared" si="0"/>
        <v>0</v>
      </c>
      <c r="Q7" s="228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</row>
    <row r="8" spans="1:29" ht="15" hidden="1" customHeight="1">
      <c r="A8" s="216">
        <v>6</v>
      </c>
      <c r="B8" s="217"/>
      <c r="C8" s="217"/>
      <c r="D8" s="218"/>
      <c r="E8" s="218"/>
      <c r="F8" s="221"/>
      <c r="G8" s="220"/>
      <c r="H8" s="219"/>
      <c r="I8" s="223" t="str">
        <f t="shared" ca="1" si="1"/>
        <v/>
      </c>
      <c r="J8" s="220"/>
      <c r="K8" s="220"/>
      <c r="L8" s="220"/>
      <c r="M8" s="220"/>
      <c r="N8" s="226"/>
      <c r="O8" s="224"/>
      <c r="P8" s="225">
        <f t="shared" si="0"/>
        <v>0</v>
      </c>
      <c r="Q8" s="228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</row>
    <row r="9" spans="1:29" ht="15" hidden="1" customHeight="1">
      <c r="A9" s="216">
        <v>7</v>
      </c>
      <c r="B9" s="217"/>
      <c r="C9" s="217"/>
      <c r="D9" s="218"/>
      <c r="E9" s="218"/>
      <c r="F9" s="221"/>
      <c r="G9" s="220"/>
      <c r="H9" s="219"/>
      <c r="I9" s="223" t="str">
        <f t="shared" ca="1" si="1"/>
        <v/>
      </c>
      <c r="J9" s="220"/>
      <c r="K9" s="220"/>
      <c r="L9" s="220"/>
      <c r="M9" s="220"/>
      <c r="N9" s="226"/>
      <c r="O9" s="224"/>
      <c r="P9" s="225">
        <f t="shared" si="0"/>
        <v>0</v>
      </c>
      <c r="Q9" s="228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</row>
    <row r="10" spans="1:29" ht="15" hidden="1" customHeight="1">
      <c r="A10" s="216">
        <v>8</v>
      </c>
      <c r="B10" s="217"/>
      <c r="C10" s="217"/>
      <c r="D10" s="218"/>
      <c r="E10" s="218"/>
      <c r="F10" s="221"/>
      <c r="G10" s="220"/>
      <c r="H10" s="219"/>
      <c r="I10" s="223" t="str">
        <f t="shared" ca="1" si="1"/>
        <v/>
      </c>
      <c r="J10" s="220"/>
      <c r="K10" s="220"/>
      <c r="L10" s="220"/>
      <c r="M10" s="220"/>
      <c r="N10" s="226"/>
      <c r="O10" s="224"/>
      <c r="P10" s="225">
        <f t="shared" si="0"/>
        <v>0</v>
      </c>
      <c r="Q10" s="228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</row>
    <row r="11" spans="1:29" ht="15" hidden="1" customHeight="1">
      <c r="A11" s="216">
        <v>9</v>
      </c>
      <c r="B11" s="217"/>
      <c r="C11" s="217"/>
      <c r="D11" s="218"/>
      <c r="E11" s="218"/>
      <c r="F11" s="221"/>
      <c r="G11" s="220"/>
      <c r="H11" s="219"/>
      <c r="I11" s="223" t="str">
        <f t="shared" ca="1" si="1"/>
        <v/>
      </c>
      <c r="J11" s="220"/>
      <c r="K11" s="220"/>
      <c r="L11" s="220"/>
      <c r="M11" s="220"/>
      <c r="N11" s="226"/>
      <c r="O11" s="224"/>
      <c r="P11" s="225">
        <f t="shared" si="0"/>
        <v>0</v>
      </c>
      <c r="Q11" s="228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</row>
    <row r="12" spans="1:29" ht="15" hidden="1" customHeight="1">
      <c r="A12" s="216">
        <v>10</v>
      </c>
      <c r="B12" s="217"/>
      <c r="C12" s="217"/>
      <c r="D12" s="218"/>
      <c r="E12" s="218"/>
      <c r="F12" s="221"/>
      <c r="G12" s="220"/>
      <c r="H12" s="219"/>
      <c r="I12" s="223" t="str">
        <f t="shared" ca="1" si="1"/>
        <v/>
      </c>
      <c r="J12" s="220"/>
      <c r="K12" s="220"/>
      <c r="L12" s="220"/>
      <c r="M12" s="220"/>
      <c r="N12" s="226"/>
      <c r="O12" s="224"/>
      <c r="P12" s="225">
        <f t="shared" si="0"/>
        <v>0</v>
      </c>
      <c r="Q12" s="228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</row>
    <row r="13" spans="1:29" ht="15" hidden="1" customHeight="1">
      <c r="A13" s="216">
        <v>11</v>
      </c>
      <c r="B13" s="217"/>
      <c r="C13" s="217"/>
      <c r="D13" s="218"/>
      <c r="E13" s="218"/>
      <c r="F13" s="221"/>
      <c r="G13" s="220"/>
      <c r="H13" s="219"/>
      <c r="I13" s="223" t="str">
        <f t="shared" ca="1" si="1"/>
        <v/>
      </c>
      <c r="J13" s="220"/>
      <c r="K13" s="220"/>
      <c r="L13" s="220"/>
      <c r="M13" s="220"/>
      <c r="N13" s="226"/>
      <c r="O13" s="224"/>
      <c r="P13" s="225">
        <f t="shared" si="0"/>
        <v>0</v>
      </c>
      <c r="Q13" s="228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</row>
    <row r="14" spans="1:29" ht="15" hidden="1" customHeight="1">
      <c r="A14" s="216">
        <v>12</v>
      </c>
      <c r="B14" s="217"/>
      <c r="C14" s="217"/>
      <c r="D14" s="218"/>
      <c r="E14" s="218"/>
      <c r="F14" s="221"/>
      <c r="G14" s="220"/>
      <c r="H14" s="219"/>
      <c r="I14" s="223" t="str">
        <f t="shared" ca="1" si="1"/>
        <v/>
      </c>
      <c r="J14" s="220"/>
      <c r="K14" s="220"/>
      <c r="L14" s="220"/>
      <c r="M14" s="220"/>
      <c r="N14" s="226"/>
      <c r="O14" s="224"/>
      <c r="P14" s="225">
        <f t="shared" si="0"/>
        <v>0</v>
      </c>
      <c r="Q14" s="228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</row>
    <row r="15" spans="1:29" ht="15" hidden="1" customHeight="1">
      <c r="A15" s="216">
        <v>13</v>
      </c>
      <c r="B15" s="217"/>
      <c r="C15" s="217"/>
      <c r="D15" s="218"/>
      <c r="E15" s="218"/>
      <c r="F15" s="221"/>
      <c r="G15" s="220"/>
      <c r="H15" s="219"/>
      <c r="I15" s="223" t="str">
        <f t="shared" ca="1" si="1"/>
        <v/>
      </c>
      <c r="J15" s="220"/>
      <c r="K15" s="220"/>
      <c r="L15" s="220"/>
      <c r="M15" s="220"/>
      <c r="N15" s="226"/>
      <c r="O15" s="224"/>
      <c r="P15" s="225">
        <f t="shared" si="0"/>
        <v>0</v>
      </c>
      <c r="Q15" s="228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</row>
    <row r="16" spans="1:29" ht="15" hidden="1" customHeight="1">
      <c r="A16" s="216">
        <v>14</v>
      </c>
      <c r="B16" s="217"/>
      <c r="C16" s="217"/>
      <c r="D16" s="218"/>
      <c r="E16" s="218"/>
      <c r="F16" s="221"/>
      <c r="G16" s="220"/>
      <c r="H16" s="219"/>
      <c r="I16" s="223" t="str">
        <f t="shared" ca="1" si="1"/>
        <v/>
      </c>
      <c r="J16" s="220"/>
      <c r="K16" s="220"/>
      <c r="L16" s="220"/>
      <c r="M16" s="220"/>
      <c r="N16" s="226"/>
      <c r="O16" s="224"/>
      <c r="P16" s="225">
        <f t="shared" si="0"/>
        <v>0</v>
      </c>
      <c r="Q16" s="228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</row>
    <row r="17" spans="1:29" ht="15" hidden="1" customHeight="1">
      <c r="A17" s="216">
        <v>15</v>
      </c>
      <c r="B17" s="217"/>
      <c r="C17" s="217"/>
      <c r="D17" s="222"/>
      <c r="E17" s="222"/>
      <c r="F17" s="221"/>
      <c r="G17" s="220"/>
      <c r="H17" s="219"/>
      <c r="I17" s="223" t="str">
        <f t="shared" ca="1" si="1"/>
        <v/>
      </c>
      <c r="J17" s="220"/>
      <c r="K17" s="220"/>
      <c r="L17" s="220"/>
      <c r="M17" s="220"/>
      <c r="N17" s="226"/>
      <c r="O17" s="224"/>
      <c r="P17" s="225">
        <f t="shared" si="0"/>
        <v>0</v>
      </c>
      <c r="Q17" s="228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</row>
    <row r="18" spans="1:29" ht="15" hidden="1" customHeight="1">
      <c r="A18" s="216">
        <v>16</v>
      </c>
      <c r="B18" s="217"/>
      <c r="C18" s="217"/>
      <c r="D18" s="222"/>
      <c r="E18" s="222"/>
      <c r="F18" s="221"/>
      <c r="G18" s="220"/>
      <c r="H18" s="219"/>
      <c r="I18" s="223" t="str">
        <f t="shared" ca="1" si="1"/>
        <v/>
      </c>
      <c r="J18" s="220"/>
      <c r="K18" s="220"/>
      <c r="L18" s="220"/>
      <c r="M18" s="220"/>
      <c r="N18" s="226"/>
      <c r="O18" s="224"/>
      <c r="P18" s="225">
        <f t="shared" si="0"/>
        <v>0</v>
      </c>
      <c r="Q18" s="228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</row>
    <row r="19" spans="1:29" ht="15" hidden="1" customHeight="1">
      <c r="A19" s="216">
        <v>17</v>
      </c>
      <c r="B19" s="217"/>
      <c r="C19" s="217"/>
      <c r="D19" s="222"/>
      <c r="E19" s="222"/>
      <c r="F19" s="221"/>
      <c r="G19" s="220"/>
      <c r="H19" s="219"/>
      <c r="I19" s="223" t="str">
        <f t="shared" ca="1" si="1"/>
        <v/>
      </c>
      <c r="J19" s="220"/>
      <c r="K19" s="220"/>
      <c r="L19" s="220"/>
      <c r="M19" s="220"/>
      <c r="N19" s="226"/>
      <c r="O19" s="224"/>
      <c r="P19" s="225">
        <f t="shared" si="0"/>
        <v>0</v>
      </c>
      <c r="Q19" s="228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</row>
    <row r="20" spans="1:29" ht="15" hidden="1" customHeight="1">
      <c r="A20" s="216">
        <v>18</v>
      </c>
      <c r="B20" s="217"/>
      <c r="C20" s="217"/>
      <c r="D20" s="222"/>
      <c r="E20" s="222"/>
      <c r="F20" s="221"/>
      <c r="G20" s="220"/>
      <c r="H20" s="219"/>
      <c r="I20" s="223" t="str">
        <f t="shared" ca="1" si="1"/>
        <v/>
      </c>
      <c r="J20" s="217"/>
      <c r="K20" s="217"/>
      <c r="L20" s="217"/>
      <c r="M20" s="217"/>
      <c r="N20" s="222"/>
      <c r="O20" s="224"/>
      <c r="P20" s="225">
        <f t="shared" si="0"/>
        <v>0</v>
      </c>
      <c r="Q20" s="228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</row>
    <row r="21" spans="1:29" ht="15" hidden="1" customHeight="1">
      <c r="A21" s="216">
        <v>19</v>
      </c>
      <c r="B21" s="217"/>
      <c r="C21" s="217"/>
      <c r="D21" s="222"/>
      <c r="E21" s="222"/>
      <c r="F21" s="221"/>
      <c r="G21" s="220"/>
      <c r="H21" s="219"/>
      <c r="I21" s="223" t="str">
        <f t="shared" ca="1" si="1"/>
        <v/>
      </c>
      <c r="J21" s="217"/>
      <c r="K21" s="217"/>
      <c r="L21" s="217"/>
      <c r="M21" s="217"/>
      <c r="N21" s="222"/>
      <c r="O21" s="224"/>
      <c r="P21" s="225">
        <f t="shared" si="0"/>
        <v>0</v>
      </c>
      <c r="Q21" s="228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</row>
    <row r="22" spans="1:29" ht="15" hidden="1" customHeight="1">
      <c r="A22" s="216">
        <v>20</v>
      </c>
      <c r="B22" s="217"/>
      <c r="C22" s="217"/>
      <c r="D22" s="222"/>
      <c r="E22" s="222"/>
      <c r="F22" s="221"/>
      <c r="G22" s="220"/>
      <c r="H22" s="219"/>
      <c r="I22" s="223" t="str">
        <f t="shared" ca="1" si="1"/>
        <v/>
      </c>
      <c r="J22" s="217"/>
      <c r="K22" s="217"/>
      <c r="L22" s="217"/>
      <c r="M22" s="217"/>
      <c r="N22" s="222"/>
      <c r="O22" s="224"/>
      <c r="P22" s="225">
        <f t="shared" si="0"/>
        <v>0</v>
      </c>
      <c r="Q22" s="228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</row>
    <row r="23" spans="1:29" ht="15" hidden="1" customHeight="1">
      <c r="A23" s="216">
        <v>21</v>
      </c>
      <c r="B23" s="217"/>
      <c r="C23" s="217"/>
      <c r="D23" s="222"/>
      <c r="E23" s="222"/>
      <c r="F23" s="221"/>
      <c r="G23" s="220"/>
      <c r="H23" s="219"/>
      <c r="I23" s="223" t="str">
        <f t="shared" ca="1" si="1"/>
        <v/>
      </c>
      <c r="J23" s="217"/>
      <c r="K23" s="217"/>
      <c r="L23" s="217"/>
      <c r="M23" s="217"/>
      <c r="N23" s="222"/>
      <c r="O23" s="224"/>
      <c r="P23" s="225">
        <f t="shared" si="0"/>
        <v>0</v>
      </c>
      <c r="Q23" s="228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</row>
    <row r="24" spans="1:29" ht="15" hidden="1" customHeight="1">
      <c r="A24" s="216">
        <v>22</v>
      </c>
      <c r="B24" s="217"/>
      <c r="C24" s="217"/>
      <c r="D24" s="222"/>
      <c r="E24" s="222"/>
      <c r="F24" s="221"/>
      <c r="G24" s="220"/>
      <c r="H24" s="219"/>
      <c r="I24" s="223" t="str">
        <f t="shared" ca="1" si="1"/>
        <v/>
      </c>
      <c r="J24" s="217"/>
      <c r="K24" s="217"/>
      <c r="L24" s="217"/>
      <c r="M24" s="217"/>
      <c r="N24" s="222"/>
      <c r="O24" s="224"/>
      <c r="P24" s="225">
        <f t="shared" si="0"/>
        <v>0</v>
      </c>
      <c r="Q24" s="228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</row>
    <row r="25" spans="1:29" ht="15" hidden="1" customHeight="1">
      <c r="A25" s="216">
        <v>23</v>
      </c>
      <c r="B25" s="217"/>
      <c r="C25" s="217"/>
      <c r="D25" s="222"/>
      <c r="E25" s="222"/>
      <c r="F25" s="221"/>
      <c r="G25" s="220"/>
      <c r="H25" s="219"/>
      <c r="I25" s="223" t="str">
        <f t="shared" ca="1" si="1"/>
        <v/>
      </c>
      <c r="J25" s="217"/>
      <c r="K25" s="217"/>
      <c r="L25" s="217"/>
      <c r="M25" s="217"/>
      <c r="N25" s="222"/>
      <c r="O25" s="224"/>
      <c r="P25" s="225">
        <f t="shared" si="0"/>
        <v>0</v>
      </c>
      <c r="Q25" s="228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</row>
    <row r="26" spans="1:29" ht="15" hidden="1" customHeight="1">
      <c r="A26" s="216">
        <v>24</v>
      </c>
      <c r="B26" s="217"/>
      <c r="C26" s="217"/>
      <c r="D26" s="222"/>
      <c r="E26" s="222"/>
      <c r="F26" s="221"/>
      <c r="G26" s="220"/>
      <c r="H26" s="219"/>
      <c r="I26" s="223" t="str">
        <f t="shared" ca="1" si="1"/>
        <v/>
      </c>
      <c r="J26" s="217"/>
      <c r="K26" s="217"/>
      <c r="L26" s="217"/>
      <c r="M26" s="217"/>
      <c r="N26" s="222"/>
      <c r="O26" s="224"/>
      <c r="P26" s="225">
        <f t="shared" si="0"/>
        <v>0</v>
      </c>
      <c r="Q26" s="228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</row>
    <row r="27" spans="1:29" ht="15" hidden="1" customHeight="1">
      <c r="A27" s="216">
        <v>25</v>
      </c>
      <c r="B27" s="217"/>
      <c r="C27" s="217"/>
      <c r="D27" s="222"/>
      <c r="E27" s="222"/>
      <c r="F27" s="221"/>
      <c r="G27" s="220"/>
      <c r="H27" s="219"/>
      <c r="I27" s="223" t="str">
        <f t="shared" ca="1" si="1"/>
        <v/>
      </c>
      <c r="J27" s="217"/>
      <c r="K27" s="217"/>
      <c r="L27" s="217"/>
      <c r="M27" s="217"/>
      <c r="N27" s="222"/>
      <c r="O27" s="224"/>
      <c r="P27" s="225">
        <f t="shared" si="0"/>
        <v>0</v>
      </c>
      <c r="Q27" s="228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</row>
    <row r="28" spans="1:29" ht="15" hidden="1" customHeight="1">
      <c r="A28" s="216">
        <v>26</v>
      </c>
      <c r="B28" s="217"/>
      <c r="C28" s="217"/>
      <c r="D28" s="222"/>
      <c r="E28" s="222"/>
      <c r="F28" s="221"/>
      <c r="G28" s="220"/>
      <c r="H28" s="219"/>
      <c r="I28" s="223" t="str">
        <f t="shared" ca="1" si="1"/>
        <v/>
      </c>
      <c r="J28" s="217"/>
      <c r="K28" s="217"/>
      <c r="L28" s="217"/>
      <c r="M28" s="217"/>
      <c r="N28" s="222"/>
      <c r="O28" s="224"/>
      <c r="P28" s="225">
        <f t="shared" si="0"/>
        <v>0</v>
      </c>
      <c r="Q28" s="228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</row>
    <row r="29" spans="1:29" ht="15" hidden="1" customHeight="1">
      <c r="A29" s="216">
        <v>27</v>
      </c>
      <c r="B29" s="217"/>
      <c r="C29" s="217"/>
      <c r="D29" s="222"/>
      <c r="E29" s="222"/>
      <c r="F29" s="221"/>
      <c r="G29" s="220"/>
      <c r="H29" s="219"/>
      <c r="I29" s="223" t="str">
        <f t="shared" ca="1" si="1"/>
        <v/>
      </c>
      <c r="J29" s="217"/>
      <c r="K29" s="217"/>
      <c r="L29" s="217"/>
      <c r="M29" s="217"/>
      <c r="N29" s="222"/>
      <c r="O29" s="224"/>
      <c r="P29" s="225">
        <f t="shared" si="0"/>
        <v>0</v>
      </c>
      <c r="Q29" s="228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</row>
    <row r="30" spans="1:29" ht="15" hidden="1" customHeight="1">
      <c r="A30" s="216">
        <v>28</v>
      </c>
      <c r="B30" s="217"/>
      <c r="C30" s="217"/>
      <c r="D30" s="222"/>
      <c r="E30" s="222"/>
      <c r="F30" s="221"/>
      <c r="G30" s="220"/>
      <c r="H30" s="219"/>
      <c r="I30" s="223" t="str">
        <f t="shared" ca="1" si="1"/>
        <v/>
      </c>
      <c r="J30" s="217"/>
      <c r="K30" s="217"/>
      <c r="L30" s="217"/>
      <c r="M30" s="217"/>
      <c r="N30" s="222"/>
      <c r="O30" s="224"/>
      <c r="P30" s="225">
        <f t="shared" si="0"/>
        <v>0</v>
      </c>
      <c r="Q30" s="228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</row>
    <row r="31" spans="1:29" ht="15" hidden="1" customHeight="1">
      <c r="A31" s="216">
        <v>29</v>
      </c>
      <c r="B31" s="217"/>
      <c r="C31" s="217"/>
      <c r="D31" s="222"/>
      <c r="E31" s="222"/>
      <c r="F31" s="221"/>
      <c r="G31" s="220"/>
      <c r="H31" s="219"/>
      <c r="I31" s="223" t="str">
        <f t="shared" ca="1" si="1"/>
        <v/>
      </c>
      <c r="J31" s="217"/>
      <c r="K31" s="217"/>
      <c r="L31" s="217"/>
      <c r="M31" s="217"/>
      <c r="N31" s="222"/>
      <c r="O31" s="224"/>
      <c r="P31" s="225">
        <f t="shared" si="0"/>
        <v>0</v>
      </c>
      <c r="Q31" s="228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</row>
    <row r="32" spans="1:29" ht="15" hidden="1" customHeight="1">
      <c r="A32" s="216">
        <v>30</v>
      </c>
      <c r="B32" s="217"/>
      <c r="C32" s="217"/>
      <c r="D32" s="222"/>
      <c r="E32" s="222"/>
      <c r="F32" s="221"/>
      <c r="G32" s="220"/>
      <c r="H32" s="219"/>
      <c r="I32" s="223" t="str">
        <f t="shared" ca="1" si="1"/>
        <v/>
      </c>
      <c r="J32" s="217"/>
      <c r="K32" s="217"/>
      <c r="L32" s="217"/>
      <c r="M32" s="217"/>
      <c r="N32" s="222"/>
      <c r="O32" s="224"/>
      <c r="P32" s="225">
        <f t="shared" si="0"/>
        <v>0</v>
      </c>
      <c r="Q32" s="228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</row>
    <row r="33" spans="1:29" ht="15" hidden="1" customHeight="1">
      <c r="A33" s="216">
        <v>31</v>
      </c>
      <c r="B33" s="217"/>
      <c r="C33" s="217"/>
      <c r="D33" s="222"/>
      <c r="E33" s="222"/>
      <c r="F33" s="221"/>
      <c r="G33" s="220"/>
      <c r="H33" s="219"/>
      <c r="I33" s="223" t="str">
        <f t="shared" ca="1" si="1"/>
        <v/>
      </c>
      <c r="J33" s="217"/>
      <c r="K33" s="217"/>
      <c r="L33" s="217"/>
      <c r="M33" s="217"/>
      <c r="N33" s="222"/>
      <c r="O33" s="224"/>
      <c r="P33" s="225">
        <f t="shared" si="0"/>
        <v>0</v>
      </c>
      <c r="Q33" s="228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</row>
    <row r="34" spans="1:29" ht="15" hidden="1" customHeight="1">
      <c r="A34" s="216">
        <v>32</v>
      </c>
      <c r="B34" s="217"/>
      <c r="C34" s="217"/>
      <c r="D34" s="222"/>
      <c r="E34" s="222"/>
      <c r="F34" s="221"/>
      <c r="G34" s="220"/>
      <c r="H34" s="219"/>
      <c r="I34" s="223" t="str">
        <f t="shared" ca="1" si="1"/>
        <v/>
      </c>
      <c r="J34" s="217"/>
      <c r="K34" s="217"/>
      <c r="L34" s="217"/>
      <c r="M34" s="217"/>
      <c r="N34" s="222"/>
      <c r="O34" s="224"/>
      <c r="P34" s="225">
        <f t="shared" si="0"/>
        <v>0</v>
      </c>
      <c r="Q34" s="228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</row>
    <row r="35" spans="1:29" ht="15" hidden="1" customHeight="1">
      <c r="A35" s="216">
        <v>33</v>
      </c>
      <c r="B35" s="217"/>
      <c r="C35" s="217"/>
      <c r="D35" s="222"/>
      <c r="E35" s="222"/>
      <c r="F35" s="221"/>
      <c r="G35" s="220"/>
      <c r="H35" s="219"/>
      <c r="I35" s="223" t="str">
        <f t="shared" ca="1" si="1"/>
        <v/>
      </c>
      <c r="J35" s="217"/>
      <c r="K35" s="217"/>
      <c r="L35" s="217"/>
      <c r="M35" s="217"/>
      <c r="N35" s="222"/>
      <c r="O35" s="224"/>
      <c r="P35" s="225">
        <f t="shared" ref="P35:P66" si="2">IF(OR(M35="",M35="Active"),N35*IF(O35="",100%,O35),0)</f>
        <v>0</v>
      </c>
      <c r="Q35" s="228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</row>
    <row r="36" spans="1:29" ht="15" hidden="1" customHeight="1">
      <c r="A36" s="216">
        <v>34</v>
      </c>
      <c r="B36" s="217"/>
      <c r="C36" s="217"/>
      <c r="D36" s="222"/>
      <c r="E36" s="222"/>
      <c r="F36" s="221"/>
      <c r="G36" s="220"/>
      <c r="H36" s="219"/>
      <c r="I36" s="223" t="str">
        <f t="shared" ca="1" si="1"/>
        <v/>
      </c>
      <c r="J36" s="217"/>
      <c r="K36" s="217"/>
      <c r="L36" s="217"/>
      <c r="M36" s="217"/>
      <c r="N36" s="222"/>
      <c r="O36" s="224"/>
      <c r="P36" s="225">
        <f t="shared" si="2"/>
        <v>0</v>
      </c>
      <c r="Q36" s="228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</row>
    <row r="37" spans="1:29" ht="15" hidden="1" customHeight="1">
      <c r="A37" s="216">
        <v>35</v>
      </c>
      <c r="B37" s="217"/>
      <c r="C37" s="217"/>
      <c r="D37" s="222"/>
      <c r="E37" s="222"/>
      <c r="F37" s="221"/>
      <c r="G37" s="220"/>
      <c r="H37" s="219"/>
      <c r="I37" s="223" t="str">
        <f t="shared" ca="1" si="1"/>
        <v/>
      </c>
      <c r="J37" s="217"/>
      <c r="K37" s="217"/>
      <c r="L37" s="217"/>
      <c r="M37" s="217"/>
      <c r="N37" s="222"/>
      <c r="O37" s="224"/>
      <c r="P37" s="225">
        <f t="shared" si="2"/>
        <v>0</v>
      </c>
      <c r="Q37" s="228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</row>
    <row r="38" spans="1:29" ht="15" hidden="1" customHeight="1">
      <c r="A38" s="216">
        <v>36</v>
      </c>
      <c r="B38" s="217"/>
      <c r="C38" s="217"/>
      <c r="D38" s="222"/>
      <c r="E38" s="222"/>
      <c r="F38" s="221"/>
      <c r="G38" s="220"/>
      <c r="H38" s="219"/>
      <c r="I38" s="223" t="str">
        <f t="shared" ca="1" si="1"/>
        <v/>
      </c>
      <c r="J38" s="217"/>
      <c r="K38" s="217"/>
      <c r="L38" s="217"/>
      <c r="M38" s="217"/>
      <c r="N38" s="222"/>
      <c r="O38" s="224"/>
      <c r="P38" s="225">
        <f t="shared" si="2"/>
        <v>0</v>
      </c>
      <c r="Q38" s="228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</row>
    <row r="39" spans="1:29" ht="15" hidden="1" customHeight="1">
      <c r="A39" s="216">
        <v>37</v>
      </c>
      <c r="B39" s="217"/>
      <c r="C39" s="217"/>
      <c r="D39" s="222"/>
      <c r="E39" s="222"/>
      <c r="F39" s="221"/>
      <c r="G39" s="220"/>
      <c r="H39" s="219"/>
      <c r="I39" s="223" t="str">
        <f t="shared" ca="1" si="1"/>
        <v/>
      </c>
      <c r="J39" s="217"/>
      <c r="K39" s="217"/>
      <c r="L39" s="217"/>
      <c r="M39" s="217"/>
      <c r="N39" s="222"/>
      <c r="O39" s="224"/>
      <c r="P39" s="225">
        <f t="shared" si="2"/>
        <v>0</v>
      </c>
      <c r="Q39" s="228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</row>
    <row r="40" spans="1:29" ht="15" hidden="1" customHeight="1">
      <c r="A40" s="216">
        <v>38</v>
      </c>
      <c r="B40" s="217"/>
      <c r="C40" s="217"/>
      <c r="D40" s="222"/>
      <c r="E40" s="222"/>
      <c r="F40" s="221"/>
      <c r="G40" s="220"/>
      <c r="H40" s="219"/>
      <c r="I40" s="223" t="str">
        <f t="shared" ca="1" si="1"/>
        <v/>
      </c>
      <c r="J40" s="217"/>
      <c r="K40" s="217"/>
      <c r="L40" s="217"/>
      <c r="M40" s="217"/>
      <c r="N40" s="222"/>
      <c r="O40" s="224"/>
      <c r="P40" s="225">
        <f t="shared" si="2"/>
        <v>0</v>
      </c>
      <c r="Q40" s="228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</row>
    <row r="41" spans="1:29" ht="15" hidden="1" customHeight="1">
      <c r="A41" s="216">
        <v>39</v>
      </c>
      <c r="B41" s="217"/>
      <c r="C41" s="217"/>
      <c r="D41" s="222"/>
      <c r="E41" s="222"/>
      <c r="F41" s="221"/>
      <c r="G41" s="220"/>
      <c r="H41" s="219"/>
      <c r="I41" s="223" t="str">
        <f t="shared" ca="1" si="1"/>
        <v/>
      </c>
      <c r="J41" s="217"/>
      <c r="K41" s="217"/>
      <c r="L41" s="217"/>
      <c r="M41" s="217"/>
      <c r="N41" s="222"/>
      <c r="O41" s="224"/>
      <c r="P41" s="225">
        <f t="shared" si="2"/>
        <v>0</v>
      </c>
      <c r="Q41" s="228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</row>
    <row r="42" spans="1:29" ht="15" hidden="1" customHeight="1">
      <c r="A42" s="216">
        <v>40</v>
      </c>
      <c r="B42" s="217"/>
      <c r="C42" s="217"/>
      <c r="D42" s="222"/>
      <c r="E42" s="222"/>
      <c r="F42" s="221"/>
      <c r="G42" s="220"/>
      <c r="H42" s="219"/>
      <c r="I42" s="223" t="str">
        <f t="shared" ca="1" si="1"/>
        <v/>
      </c>
      <c r="J42" s="217"/>
      <c r="K42" s="217"/>
      <c r="L42" s="217"/>
      <c r="M42" s="217"/>
      <c r="N42" s="222"/>
      <c r="O42" s="224"/>
      <c r="P42" s="225">
        <f t="shared" si="2"/>
        <v>0</v>
      </c>
      <c r="Q42" s="228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</row>
    <row r="43" spans="1:29" ht="15" hidden="1" customHeight="1">
      <c r="A43" s="216">
        <v>41</v>
      </c>
      <c r="B43" s="217"/>
      <c r="C43" s="217"/>
      <c r="D43" s="222"/>
      <c r="E43" s="222"/>
      <c r="F43" s="221"/>
      <c r="G43" s="220"/>
      <c r="H43" s="219"/>
      <c r="I43" s="223" t="str">
        <f t="shared" ca="1" si="1"/>
        <v/>
      </c>
      <c r="J43" s="217"/>
      <c r="K43" s="217"/>
      <c r="L43" s="217"/>
      <c r="M43" s="217"/>
      <c r="N43" s="222"/>
      <c r="O43" s="224"/>
      <c r="P43" s="225">
        <f t="shared" si="2"/>
        <v>0</v>
      </c>
      <c r="Q43" s="228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</row>
    <row r="44" spans="1:29" ht="15" hidden="1" customHeight="1">
      <c r="A44" s="216">
        <v>42</v>
      </c>
      <c r="B44" s="217"/>
      <c r="C44" s="217"/>
      <c r="D44" s="222"/>
      <c r="E44" s="222"/>
      <c r="F44" s="221"/>
      <c r="G44" s="220"/>
      <c r="H44" s="219"/>
      <c r="I44" s="223" t="str">
        <f t="shared" ca="1" si="1"/>
        <v/>
      </c>
      <c r="J44" s="217"/>
      <c r="K44" s="217"/>
      <c r="L44" s="217"/>
      <c r="M44" s="217"/>
      <c r="N44" s="222"/>
      <c r="O44" s="224"/>
      <c r="P44" s="225">
        <f t="shared" si="2"/>
        <v>0</v>
      </c>
      <c r="Q44" s="228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</row>
    <row r="45" spans="1:29" ht="15" hidden="1" customHeight="1">
      <c r="A45" s="216">
        <v>43</v>
      </c>
      <c r="B45" s="217"/>
      <c r="C45" s="217"/>
      <c r="D45" s="222"/>
      <c r="E45" s="222"/>
      <c r="F45" s="221"/>
      <c r="G45" s="220"/>
      <c r="H45" s="219"/>
      <c r="I45" s="223" t="str">
        <f t="shared" ca="1" si="1"/>
        <v/>
      </c>
      <c r="J45" s="217"/>
      <c r="K45" s="217"/>
      <c r="L45" s="217"/>
      <c r="M45" s="217"/>
      <c r="N45" s="222"/>
      <c r="O45" s="224"/>
      <c r="P45" s="225">
        <f t="shared" si="2"/>
        <v>0</v>
      </c>
      <c r="Q45" s="228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</row>
    <row r="46" spans="1:29" ht="15" hidden="1" customHeight="1">
      <c r="A46" s="216">
        <v>44</v>
      </c>
      <c r="B46" s="217"/>
      <c r="C46" s="217"/>
      <c r="D46" s="222"/>
      <c r="E46" s="222"/>
      <c r="F46" s="221"/>
      <c r="G46" s="220"/>
      <c r="H46" s="219"/>
      <c r="I46" s="223" t="str">
        <f t="shared" ca="1" si="1"/>
        <v/>
      </c>
      <c r="J46" s="217"/>
      <c r="K46" s="217"/>
      <c r="L46" s="217"/>
      <c r="M46" s="217"/>
      <c r="N46" s="222"/>
      <c r="O46" s="224"/>
      <c r="P46" s="225">
        <f t="shared" si="2"/>
        <v>0</v>
      </c>
      <c r="Q46" s="228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</row>
    <row r="47" spans="1:29" ht="15" hidden="1" customHeight="1">
      <c r="A47" s="216">
        <v>45</v>
      </c>
      <c r="B47" s="217"/>
      <c r="C47" s="217"/>
      <c r="D47" s="222"/>
      <c r="E47" s="222"/>
      <c r="F47" s="221"/>
      <c r="G47" s="220"/>
      <c r="H47" s="219"/>
      <c r="I47" s="223" t="str">
        <f t="shared" ca="1" si="1"/>
        <v/>
      </c>
      <c r="J47" s="217"/>
      <c r="K47" s="217"/>
      <c r="L47" s="217"/>
      <c r="M47" s="217"/>
      <c r="N47" s="222"/>
      <c r="O47" s="224"/>
      <c r="P47" s="225">
        <f t="shared" si="2"/>
        <v>0</v>
      </c>
      <c r="Q47" s="228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</row>
    <row r="48" spans="1:29" ht="15" hidden="1" customHeight="1">
      <c r="A48" s="216">
        <v>46</v>
      </c>
      <c r="B48" s="217"/>
      <c r="C48" s="217"/>
      <c r="D48" s="222"/>
      <c r="E48" s="222"/>
      <c r="F48" s="221"/>
      <c r="G48" s="220"/>
      <c r="H48" s="219"/>
      <c r="I48" s="223" t="str">
        <f t="shared" ca="1" si="1"/>
        <v/>
      </c>
      <c r="J48" s="217"/>
      <c r="K48" s="217"/>
      <c r="L48" s="217"/>
      <c r="M48" s="217"/>
      <c r="N48" s="222"/>
      <c r="O48" s="224"/>
      <c r="P48" s="225">
        <f t="shared" si="2"/>
        <v>0</v>
      </c>
      <c r="Q48" s="228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</row>
    <row r="49" spans="1:29" ht="15" hidden="1" customHeight="1">
      <c r="A49" s="216">
        <v>47</v>
      </c>
      <c r="B49" s="217"/>
      <c r="C49" s="217"/>
      <c r="D49" s="222"/>
      <c r="E49" s="222"/>
      <c r="F49" s="221"/>
      <c r="G49" s="220"/>
      <c r="H49" s="219"/>
      <c r="I49" s="223" t="str">
        <f t="shared" ca="1" si="1"/>
        <v/>
      </c>
      <c r="J49" s="217"/>
      <c r="K49" s="217"/>
      <c r="L49" s="217"/>
      <c r="M49" s="217"/>
      <c r="N49" s="222"/>
      <c r="O49" s="224"/>
      <c r="P49" s="225">
        <f t="shared" si="2"/>
        <v>0</v>
      </c>
      <c r="Q49" s="228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</row>
    <row r="50" spans="1:29" ht="15" hidden="1" customHeight="1">
      <c r="A50" s="216">
        <v>48</v>
      </c>
      <c r="B50" s="217"/>
      <c r="C50" s="217"/>
      <c r="D50" s="222"/>
      <c r="E50" s="222"/>
      <c r="F50" s="221"/>
      <c r="G50" s="220"/>
      <c r="H50" s="219"/>
      <c r="I50" s="223" t="str">
        <f t="shared" ca="1" si="1"/>
        <v/>
      </c>
      <c r="J50" s="217"/>
      <c r="K50" s="217"/>
      <c r="L50" s="217"/>
      <c r="M50" s="217"/>
      <c r="N50" s="222"/>
      <c r="O50" s="224"/>
      <c r="P50" s="225">
        <f t="shared" si="2"/>
        <v>0</v>
      </c>
      <c r="Q50" s="228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</row>
    <row r="51" spans="1:29" ht="15" hidden="1" customHeight="1">
      <c r="A51" s="216">
        <v>49</v>
      </c>
      <c r="B51" s="217"/>
      <c r="C51" s="217"/>
      <c r="D51" s="222"/>
      <c r="E51" s="222"/>
      <c r="F51" s="221"/>
      <c r="G51" s="220"/>
      <c r="H51" s="219"/>
      <c r="I51" s="223" t="str">
        <f t="shared" ca="1" si="1"/>
        <v/>
      </c>
      <c r="J51" s="217"/>
      <c r="K51" s="217"/>
      <c r="L51" s="217"/>
      <c r="M51" s="217"/>
      <c r="N51" s="222"/>
      <c r="O51" s="224"/>
      <c r="P51" s="225">
        <f t="shared" si="2"/>
        <v>0</v>
      </c>
      <c r="Q51" s="228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</row>
    <row r="52" spans="1:29" ht="15" hidden="1" customHeight="1">
      <c r="A52" s="216">
        <v>50</v>
      </c>
      <c r="B52" s="217"/>
      <c r="C52" s="217"/>
      <c r="D52" s="222"/>
      <c r="E52" s="222"/>
      <c r="F52" s="221"/>
      <c r="G52" s="220"/>
      <c r="H52" s="219"/>
      <c r="I52" s="223" t="str">
        <f t="shared" ca="1" si="1"/>
        <v/>
      </c>
      <c r="J52" s="217"/>
      <c r="K52" s="217"/>
      <c r="L52" s="217"/>
      <c r="M52" s="217"/>
      <c r="N52" s="222"/>
      <c r="O52" s="224"/>
      <c r="P52" s="225">
        <f t="shared" si="2"/>
        <v>0</v>
      </c>
      <c r="Q52" s="228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</row>
    <row r="53" spans="1:29" ht="15" hidden="1" customHeight="1">
      <c r="A53" s="216">
        <v>51</v>
      </c>
      <c r="B53" s="217"/>
      <c r="C53" s="217"/>
      <c r="D53" s="222"/>
      <c r="E53" s="222"/>
      <c r="F53" s="221"/>
      <c r="G53" s="220"/>
      <c r="H53" s="219"/>
      <c r="I53" s="223" t="str">
        <f t="shared" ca="1" si="1"/>
        <v/>
      </c>
      <c r="J53" s="217"/>
      <c r="K53" s="217"/>
      <c r="L53" s="217"/>
      <c r="M53" s="217"/>
      <c r="N53" s="222"/>
      <c r="O53" s="224"/>
      <c r="P53" s="225">
        <f t="shared" si="2"/>
        <v>0</v>
      </c>
      <c r="Q53" s="228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</row>
    <row r="54" spans="1:29" ht="15" hidden="1" customHeight="1">
      <c r="A54" s="216">
        <v>52</v>
      </c>
      <c r="B54" s="217"/>
      <c r="C54" s="217"/>
      <c r="D54" s="222"/>
      <c r="E54" s="222"/>
      <c r="F54" s="221"/>
      <c r="G54" s="220"/>
      <c r="H54" s="219"/>
      <c r="I54" s="223" t="str">
        <f t="shared" ca="1" si="1"/>
        <v/>
      </c>
      <c r="J54" s="217"/>
      <c r="K54" s="217"/>
      <c r="L54" s="217"/>
      <c r="M54" s="217"/>
      <c r="N54" s="222"/>
      <c r="O54" s="224"/>
      <c r="P54" s="225">
        <f t="shared" si="2"/>
        <v>0</v>
      </c>
      <c r="Q54" s="228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</row>
    <row r="55" spans="1:29" ht="15" hidden="1" customHeight="1">
      <c r="A55" s="216">
        <v>53</v>
      </c>
      <c r="B55" s="217"/>
      <c r="C55" s="217"/>
      <c r="D55" s="222"/>
      <c r="E55" s="222"/>
      <c r="F55" s="221"/>
      <c r="G55" s="220"/>
      <c r="H55" s="219"/>
      <c r="I55" s="223" t="str">
        <f t="shared" ca="1" si="1"/>
        <v/>
      </c>
      <c r="J55" s="217"/>
      <c r="K55" s="217"/>
      <c r="L55" s="217"/>
      <c r="M55" s="217"/>
      <c r="N55" s="222"/>
      <c r="O55" s="224"/>
      <c r="P55" s="225">
        <f t="shared" si="2"/>
        <v>0</v>
      </c>
      <c r="Q55" s="228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</row>
    <row r="56" spans="1:29" ht="15" hidden="1" customHeight="1">
      <c r="A56" s="216">
        <v>54</v>
      </c>
      <c r="B56" s="217"/>
      <c r="C56" s="217"/>
      <c r="D56" s="222"/>
      <c r="E56" s="222"/>
      <c r="F56" s="221"/>
      <c r="G56" s="220"/>
      <c r="H56" s="219"/>
      <c r="I56" s="223" t="str">
        <f t="shared" ca="1" si="1"/>
        <v/>
      </c>
      <c r="J56" s="217"/>
      <c r="K56" s="217"/>
      <c r="L56" s="217"/>
      <c r="M56" s="217"/>
      <c r="N56" s="222"/>
      <c r="O56" s="224"/>
      <c r="P56" s="225">
        <f t="shared" si="2"/>
        <v>0</v>
      </c>
      <c r="Q56" s="228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</row>
    <row r="57" spans="1:29" ht="15" hidden="1" customHeight="1">
      <c r="A57" s="216">
        <v>55</v>
      </c>
      <c r="B57" s="217"/>
      <c r="C57" s="217"/>
      <c r="D57" s="222"/>
      <c r="E57" s="222"/>
      <c r="F57" s="221"/>
      <c r="G57" s="220"/>
      <c r="H57" s="219"/>
      <c r="I57" s="223" t="str">
        <f t="shared" ca="1" si="1"/>
        <v/>
      </c>
      <c r="J57" s="217"/>
      <c r="K57" s="217"/>
      <c r="L57" s="217"/>
      <c r="M57" s="217"/>
      <c r="N57" s="222"/>
      <c r="O57" s="224"/>
      <c r="P57" s="225">
        <f t="shared" si="2"/>
        <v>0</v>
      </c>
      <c r="Q57" s="228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</row>
    <row r="58" spans="1:29" ht="15" hidden="1" customHeight="1">
      <c r="A58" s="216">
        <v>56</v>
      </c>
      <c r="B58" s="217"/>
      <c r="C58" s="217"/>
      <c r="D58" s="222"/>
      <c r="E58" s="222"/>
      <c r="F58" s="221"/>
      <c r="G58" s="220"/>
      <c r="H58" s="219"/>
      <c r="I58" s="223" t="str">
        <f t="shared" ca="1" si="1"/>
        <v/>
      </c>
      <c r="J58" s="217"/>
      <c r="K58" s="217"/>
      <c r="L58" s="217"/>
      <c r="M58" s="217"/>
      <c r="N58" s="222"/>
      <c r="O58" s="224"/>
      <c r="P58" s="225">
        <f t="shared" si="2"/>
        <v>0</v>
      </c>
      <c r="Q58" s="228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</row>
    <row r="59" spans="1:29" ht="15" hidden="1" customHeight="1">
      <c r="A59" s="216">
        <v>57</v>
      </c>
      <c r="B59" s="217"/>
      <c r="C59" s="217"/>
      <c r="D59" s="222"/>
      <c r="E59" s="222"/>
      <c r="F59" s="221"/>
      <c r="G59" s="220"/>
      <c r="H59" s="219"/>
      <c r="I59" s="223" t="str">
        <f t="shared" ca="1" si="1"/>
        <v/>
      </c>
      <c r="J59" s="217"/>
      <c r="K59" s="217"/>
      <c r="L59" s="217"/>
      <c r="M59" s="217"/>
      <c r="N59" s="222"/>
      <c r="O59" s="224"/>
      <c r="P59" s="225">
        <f t="shared" si="2"/>
        <v>0</v>
      </c>
      <c r="Q59" s="228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</row>
    <row r="60" spans="1:29" ht="15" hidden="1" customHeight="1">
      <c r="A60" s="216">
        <v>58</v>
      </c>
      <c r="B60" s="217"/>
      <c r="C60" s="217"/>
      <c r="D60" s="222"/>
      <c r="E60" s="222"/>
      <c r="F60" s="221"/>
      <c r="G60" s="220"/>
      <c r="H60" s="219"/>
      <c r="I60" s="223" t="str">
        <f t="shared" ca="1" si="1"/>
        <v/>
      </c>
      <c r="J60" s="217"/>
      <c r="K60" s="217"/>
      <c r="L60" s="217"/>
      <c r="M60" s="217"/>
      <c r="N60" s="222"/>
      <c r="O60" s="224"/>
      <c r="P60" s="225">
        <f t="shared" si="2"/>
        <v>0</v>
      </c>
      <c r="Q60" s="228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</row>
    <row r="61" spans="1:29" ht="15" hidden="1" customHeight="1">
      <c r="A61" s="216">
        <v>59</v>
      </c>
      <c r="B61" s="217"/>
      <c r="C61" s="217"/>
      <c r="D61" s="222"/>
      <c r="E61" s="222"/>
      <c r="F61" s="221"/>
      <c r="G61" s="220"/>
      <c r="H61" s="219"/>
      <c r="I61" s="223" t="str">
        <f t="shared" ca="1" si="1"/>
        <v/>
      </c>
      <c r="J61" s="217"/>
      <c r="K61" s="217"/>
      <c r="L61" s="217"/>
      <c r="M61" s="217"/>
      <c r="N61" s="222"/>
      <c r="O61" s="224"/>
      <c r="P61" s="225">
        <f t="shared" si="2"/>
        <v>0</v>
      </c>
      <c r="Q61" s="228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</row>
    <row r="62" spans="1:29" ht="15" hidden="1" customHeight="1">
      <c r="A62" s="216">
        <v>60</v>
      </c>
      <c r="B62" s="217"/>
      <c r="C62" s="217"/>
      <c r="D62" s="222"/>
      <c r="E62" s="222"/>
      <c r="F62" s="221"/>
      <c r="G62" s="220"/>
      <c r="H62" s="219"/>
      <c r="I62" s="223" t="str">
        <f t="shared" ca="1" si="1"/>
        <v/>
      </c>
      <c r="J62" s="217"/>
      <c r="K62" s="217"/>
      <c r="L62" s="217"/>
      <c r="M62" s="217"/>
      <c r="N62" s="222"/>
      <c r="O62" s="224"/>
      <c r="P62" s="225">
        <f t="shared" si="2"/>
        <v>0</v>
      </c>
      <c r="Q62" s="228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</row>
    <row r="63" spans="1:29" ht="15" hidden="1" customHeight="1">
      <c r="A63" s="216">
        <v>61</v>
      </c>
      <c r="B63" s="217"/>
      <c r="C63" s="217"/>
      <c r="D63" s="222"/>
      <c r="E63" s="222"/>
      <c r="F63" s="221"/>
      <c r="G63" s="220"/>
      <c r="H63" s="219"/>
      <c r="I63" s="223" t="str">
        <f t="shared" ca="1" si="1"/>
        <v/>
      </c>
      <c r="J63" s="217"/>
      <c r="K63" s="217"/>
      <c r="L63" s="217"/>
      <c r="M63" s="217"/>
      <c r="N63" s="222"/>
      <c r="O63" s="224"/>
      <c r="P63" s="225">
        <f t="shared" si="2"/>
        <v>0</v>
      </c>
      <c r="Q63" s="228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</row>
    <row r="64" spans="1:29" ht="15" hidden="1" customHeight="1">
      <c r="A64" s="216">
        <v>62</v>
      </c>
      <c r="B64" s="217"/>
      <c r="C64" s="217"/>
      <c r="D64" s="222"/>
      <c r="E64" s="222"/>
      <c r="F64" s="221"/>
      <c r="G64" s="220"/>
      <c r="H64" s="219"/>
      <c r="I64" s="223" t="str">
        <f t="shared" ca="1" si="1"/>
        <v/>
      </c>
      <c r="J64" s="217"/>
      <c r="K64" s="217"/>
      <c r="L64" s="217"/>
      <c r="M64" s="217"/>
      <c r="N64" s="222"/>
      <c r="O64" s="224"/>
      <c r="P64" s="225">
        <f t="shared" si="2"/>
        <v>0</v>
      </c>
      <c r="Q64" s="228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</row>
    <row r="65" spans="1:29" ht="15" hidden="1" customHeight="1">
      <c r="A65" s="216">
        <v>63</v>
      </c>
      <c r="B65" s="217"/>
      <c r="C65" s="217"/>
      <c r="D65" s="222"/>
      <c r="E65" s="222"/>
      <c r="F65" s="221"/>
      <c r="G65" s="220"/>
      <c r="H65" s="219"/>
      <c r="I65" s="223" t="str">
        <f t="shared" ca="1" si="1"/>
        <v/>
      </c>
      <c r="J65" s="217"/>
      <c r="K65" s="217"/>
      <c r="L65" s="217"/>
      <c r="M65" s="217"/>
      <c r="N65" s="222"/>
      <c r="O65" s="224"/>
      <c r="P65" s="225">
        <f t="shared" si="2"/>
        <v>0</v>
      </c>
      <c r="Q65" s="228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</row>
    <row r="66" spans="1:29" ht="15" hidden="1" customHeight="1">
      <c r="A66" s="216">
        <v>64</v>
      </c>
      <c r="B66" s="217"/>
      <c r="C66" s="217"/>
      <c r="D66" s="222"/>
      <c r="E66" s="222"/>
      <c r="F66" s="221"/>
      <c r="G66" s="220"/>
      <c r="H66" s="219"/>
      <c r="I66" s="223" t="str">
        <f t="shared" ca="1" si="1"/>
        <v/>
      </c>
      <c r="J66" s="217"/>
      <c r="K66" s="217"/>
      <c r="L66" s="217"/>
      <c r="M66" s="217"/>
      <c r="N66" s="222"/>
      <c r="O66" s="224"/>
      <c r="P66" s="225">
        <f t="shared" si="2"/>
        <v>0</v>
      </c>
      <c r="Q66" s="228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</row>
    <row r="67" spans="1:29" ht="15" hidden="1" customHeight="1">
      <c r="A67" s="216">
        <v>65</v>
      </c>
      <c r="B67" s="217"/>
      <c r="C67" s="217"/>
      <c r="D67" s="222"/>
      <c r="E67" s="222"/>
      <c r="F67" s="221"/>
      <c r="G67" s="220"/>
      <c r="H67" s="219"/>
      <c r="I67" s="223" t="str">
        <f t="shared" ca="1" si="1"/>
        <v/>
      </c>
      <c r="J67" s="217"/>
      <c r="K67" s="217"/>
      <c r="L67" s="217"/>
      <c r="M67" s="217"/>
      <c r="N67" s="222"/>
      <c r="O67" s="224"/>
      <c r="P67" s="225">
        <f t="shared" ref="P67:P98" si="3">IF(OR(M67="",M67="Active"),N67*IF(O67="",100%,O67),0)</f>
        <v>0</v>
      </c>
      <c r="Q67" s="228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</row>
    <row r="68" spans="1:29" ht="15" hidden="1" customHeight="1">
      <c r="A68" s="216">
        <v>66</v>
      </c>
      <c r="B68" s="217"/>
      <c r="C68" s="217"/>
      <c r="D68" s="222"/>
      <c r="E68" s="222"/>
      <c r="F68" s="221"/>
      <c r="G68" s="220"/>
      <c r="H68" s="219"/>
      <c r="I68" s="223" t="str">
        <f t="shared" ref="I68:I102" ca="1" si="4">IF(F68="","",IF(H68&lt;&gt;"",DATEDIF(F68,H68,"M"),DATEDIF(F68,TODAY(),"M")))</f>
        <v/>
      </c>
      <c r="J68" s="217"/>
      <c r="K68" s="217"/>
      <c r="L68" s="217"/>
      <c r="M68" s="217"/>
      <c r="N68" s="222"/>
      <c r="O68" s="224"/>
      <c r="P68" s="225">
        <f t="shared" si="3"/>
        <v>0</v>
      </c>
      <c r="Q68" s="228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</row>
    <row r="69" spans="1:29" ht="15" hidden="1" customHeight="1">
      <c r="A69" s="216">
        <v>67</v>
      </c>
      <c r="B69" s="217"/>
      <c r="C69" s="217"/>
      <c r="D69" s="222"/>
      <c r="E69" s="222"/>
      <c r="F69" s="221"/>
      <c r="G69" s="220"/>
      <c r="H69" s="219"/>
      <c r="I69" s="223" t="str">
        <f t="shared" ca="1" si="4"/>
        <v/>
      </c>
      <c r="J69" s="217"/>
      <c r="K69" s="217"/>
      <c r="L69" s="217"/>
      <c r="M69" s="217"/>
      <c r="N69" s="222"/>
      <c r="O69" s="224"/>
      <c r="P69" s="225">
        <f t="shared" si="3"/>
        <v>0</v>
      </c>
      <c r="Q69" s="228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</row>
    <row r="70" spans="1:29" ht="15" hidden="1" customHeight="1">
      <c r="A70" s="216">
        <v>68</v>
      </c>
      <c r="B70" s="217"/>
      <c r="C70" s="217"/>
      <c r="D70" s="222"/>
      <c r="E70" s="222"/>
      <c r="F70" s="221"/>
      <c r="G70" s="220"/>
      <c r="H70" s="219"/>
      <c r="I70" s="223" t="str">
        <f t="shared" ca="1" si="4"/>
        <v/>
      </c>
      <c r="J70" s="217"/>
      <c r="K70" s="217"/>
      <c r="L70" s="217"/>
      <c r="M70" s="217"/>
      <c r="N70" s="222"/>
      <c r="O70" s="224"/>
      <c r="P70" s="225">
        <f t="shared" si="3"/>
        <v>0</v>
      </c>
      <c r="Q70" s="228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</row>
    <row r="71" spans="1:29" ht="15" hidden="1" customHeight="1">
      <c r="A71" s="216">
        <v>69</v>
      </c>
      <c r="B71" s="217"/>
      <c r="C71" s="217"/>
      <c r="D71" s="222"/>
      <c r="E71" s="222"/>
      <c r="F71" s="221"/>
      <c r="G71" s="220"/>
      <c r="H71" s="219"/>
      <c r="I71" s="223" t="str">
        <f t="shared" ca="1" si="4"/>
        <v/>
      </c>
      <c r="J71" s="217"/>
      <c r="K71" s="217"/>
      <c r="L71" s="217"/>
      <c r="M71" s="217"/>
      <c r="N71" s="222"/>
      <c r="O71" s="224"/>
      <c r="P71" s="225">
        <f t="shared" si="3"/>
        <v>0</v>
      </c>
      <c r="Q71" s="228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</row>
    <row r="72" spans="1:29" ht="15" hidden="1" customHeight="1">
      <c r="A72" s="216">
        <v>70</v>
      </c>
      <c r="B72" s="217"/>
      <c r="C72" s="217"/>
      <c r="D72" s="222"/>
      <c r="E72" s="222"/>
      <c r="F72" s="221"/>
      <c r="G72" s="220"/>
      <c r="H72" s="219"/>
      <c r="I72" s="223" t="str">
        <f t="shared" ca="1" si="4"/>
        <v/>
      </c>
      <c r="J72" s="217"/>
      <c r="K72" s="217"/>
      <c r="L72" s="217"/>
      <c r="M72" s="217"/>
      <c r="N72" s="222"/>
      <c r="O72" s="224"/>
      <c r="P72" s="225">
        <f t="shared" si="3"/>
        <v>0</v>
      </c>
      <c r="Q72" s="228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</row>
    <row r="73" spans="1:29" ht="15" hidden="1" customHeight="1">
      <c r="A73" s="216">
        <v>71</v>
      </c>
      <c r="B73" s="217"/>
      <c r="C73" s="217"/>
      <c r="D73" s="222"/>
      <c r="E73" s="222"/>
      <c r="F73" s="221"/>
      <c r="G73" s="220"/>
      <c r="H73" s="219"/>
      <c r="I73" s="223" t="str">
        <f t="shared" ca="1" si="4"/>
        <v/>
      </c>
      <c r="J73" s="217"/>
      <c r="K73" s="217"/>
      <c r="L73" s="217"/>
      <c r="M73" s="217"/>
      <c r="N73" s="222"/>
      <c r="O73" s="224"/>
      <c r="P73" s="225">
        <f t="shared" si="3"/>
        <v>0</v>
      </c>
      <c r="Q73" s="228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</row>
    <row r="74" spans="1:29" ht="15" hidden="1" customHeight="1">
      <c r="A74" s="216">
        <v>72</v>
      </c>
      <c r="B74" s="217"/>
      <c r="C74" s="217"/>
      <c r="D74" s="222"/>
      <c r="E74" s="222"/>
      <c r="F74" s="221"/>
      <c r="G74" s="220"/>
      <c r="H74" s="219"/>
      <c r="I74" s="223" t="str">
        <f t="shared" ca="1" si="4"/>
        <v/>
      </c>
      <c r="J74" s="217"/>
      <c r="K74" s="217"/>
      <c r="L74" s="217"/>
      <c r="M74" s="217"/>
      <c r="N74" s="222"/>
      <c r="O74" s="224"/>
      <c r="P74" s="225">
        <f t="shared" si="3"/>
        <v>0</v>
      </c>
      <c r="Q74" s="228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</row>
    <row r="75" spans="1:29" ht="15" hidden="1" customHeight="1">
      <c r="A75" s="216">
        <v>73</v>
      </c>
      <c r="B75" s="217"/>
      <c r="C75" s="217"/>
      <c r="D75" s="222"/>
      <c r="E75" s="222"/>
      <c r="F75" s="221"/>
      <c r="G75" s="220"/>
      <c r="H75" s="219"/>
      <c r="I75" s="223" t="str">
        <f t="shared" ca="1" si="4"/>
        <v/>
      </c>
      <c r="J75" s="217"/>
      <c r="K75" s="217"/>
      <c r="L75" s="217"/>
      <c r="M75" s="217"/>
      <c r="N75" s="222"/>
      <c r="O75" s="224"/>
      <c r="P75" s="225">
        <f t="shared" si="3"/>
        <v>0</v>
      </c>
      <c r="Q75" s="228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</row>
    <row r="76" spans="1:29" ht="15" hidden="1" customHeight="1">
      <c r="A76" s="216">
        <v>74</v>
      </c>
      <c r="B76" s="217"/>
      <c r="C76" s="217"/>
      <c r="D76" s="222"/>
      <c r="E76" s="222"/>
      <c r="F76" s="221"/>
      <c r="G76" s="220"/>
      <c r="H76" s="219"/>
      <c r="I76" s="223" t="str">
        <f t="shared" ca="1" si="4"/>
        <v/>
      </c>
      <c r="J76" s="217"/>
      <c r="K76" s="217"/>
      <c r="L76" s="217"/>
      <c r="M76" s="217"/>
      <c r="N76" s="222"/>
      <c r="O76" s="224"/>
      <c r="P76" s="225">
        <f t="shared" si="3"/>
        <v>0</v>
      </c>
      <c r="Q76" s="228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</row>
    <row r="77" spans="1:29" ht="15" hidden="1" customHeight="1">
      <c r="A77" s="216">
        <v>75</v>
      </c>
      <c r="B77" s="217"/>
      <c r="C77" s="217"/>
      <c r="D77" s="222"/>
      <c r="E77" s="222"/>
      <c r="F77" s="221"/>
      <c r="G77" s="220"/>
      <c r="H77" s="219"/>
      <c r="I77" s="223" t="str">
        <f t="shared" ca="1" si="4"/>
        <v/>
      </c>
      <c r="J77" s="217"/>
      <c r="K77" s="217"/>
      <c r="L77" s="217"/>
      <c r="M77" s="217"/>
      <c r="N77" s="222"/>
      <c r="O77" s="224"/>
      <c r="P77" s="225">
        <f t="shared" si="3"/>
        <v>0</v>
      </c>
      <c r="Q77" s="228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</row>
    <row r="78" spans="1:29" ht="15" hidden="1" customHeight="1">
      <c r="A78" s="216">
        <v>76</v>
      </c>
      <c r="B78" s="217"/>
      <c r="C78" s="217"/>
      <c r="D78" s="222"/>
      <c r="E78" s="222"/>
      <c r="F78" s="221"/>
      <c r="G78" s="220"/>
      <c r="H78" s="219"/>
      <c r="I78" s="223" t="str">
        <f t="shared" ca="1" si="4"/>
        <v/>
      </c>
      <c r="J78" s="217"/>
      <c r="K78" s="217"/>
      <c r="L78" s="217"/>
      <c r="M78" s="217"/>
      <c r="N78" s="222"/>
      <c r="O78" s="224"/>
      <c r="P78" s="225">
        <f t="shared" si="3"/>
        <v>0</v>
      </c>
      <c r="Q78" s="228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</row>
    <row r="79" spans="1:29" ht="15" hidden="1" customHeight="1">
      <c r="A79" s="216">
        <v>77</v>
      </c>
      <c r="B79" s="217"/>
      <c r="C79" s="217"/>
      <c r="D79" s="222"/>
      <c r="E79" s="222"/>
      <c r="F79" s="221"/>
      <c r="G79" s="220"/>
      <c r="H79" s="219"/>
      <c r="I79" s="223" t="str">
        <f t="shared" ca="1" si="4"/>
        <v/>
      </c>
      <c r="J79" s="217"/>
      <c r="K79" s="217"/>
      <c r="L79" s="217"/>
      <c r="M79" s="217"/>
      <c r="N79" s="222"/>
      <c r="O79" s="224"/>
      <c r="P79" s="225">
        <f t="shared" si="3"/>
        <v>0</v>
      </c>
      <c r="Q79" s="228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</row>
    <row r="80" spans="1:29" ht="15" hidden="1" customHeight="1">
      <c r="A80" s="216">
        <v>78</v>
      </c>
      <c r="B80" s="217"/>
      <c r="C80" s="217"/>
      <c r="D80" s="222"/>
      <c r="E80" s="222"/>
      <c r="F80" s="221"/>
      <c r="G80" s="220"/>
      <c r="H80" s="219"/>
      <c r="I80" s="223" t="str">
        <f t="shared" ca="1" si="4"/>
        <v/>
      </c>
      <c r="J80" s="217"/>
      <c r="K80" s="217"/>
      <c r="L80" s="217"/>
      <c r="M80" s="217"/>
      <c r="N80" s="222"/>
      <c r="O80" s="224"/>
      <c r="P80" s="225">
        <f t="shared" si="3"/>
        <v>0</v>
      </c>
      <c r="Q80" s="228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</row>
    <row r="81" spans="1:29" ht="15" hidden="1" customHeight="1">
      <c r="A81" s="216">
        <v>79</v>
      </c>
      <c r="B81" s="217"/>
      <c r="C81" s="217"/>
      <c r="D81" s="222"/>
      <c r="E81" s="222"/>
      <c r="F81" s="221"/>
      <c r="G81" s="220"/>
      <c r="H81" s="219"/>
      <c r="I81" s="223" t="str">
        <f t="shared" ca="1" si="4"/>
        <v/>
      </c>
      <c r="J81" s="217"/>
      <c r="K81" s="217"/>
      <c r="L81" s="217"/>
      <c r="M81" s="217"/>
      <c r="N81" s="222"/>
      <c r="O81" s="224"/>
      <c r="P81" s="225">
        <f t="shared" si="3"/>
        <v>0</v>
      </c>
      <c r="Q81" s="228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</row>
    <row r="82" spans="1:29" ht="15" hidden="1" customHeight="1">
      <c r="A82" s="216">
        <v>80</v>
      </c>
      <c r="B82" s="217"/>
      <c r="C82" s="217"/>
      <c r="D82" s="222"/>
      <c r="E82" s="222"/>
      <c r="F82" s="221"/>
      <c r="G82" s="220"/>
      <c r="H82" s="219"/>
      <c r="I82" s="223" t="str">
        <f t="shared" ca="1" si="4"/>
        <v/>
      </c>
      <c r="J82" s="217"/>
      <c r="K82" s="217"/>
      <c r="L82" s="217"/>
      <c r="M82" s="217"/>
      <c r="N82" s="222"/>
      <c r="O82" s="224"/>
      <c r="P82" s="225">
        <f t="shared" si="3"/>
        <v>0</v>
      </c>
      <c r="Q82" s="228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</row>
    <row r="83" spans="1:29" ht="15" hidden="1" customHeight="1">
      <c r="A83" s="216">
        <v>81</v>
      </c>
      <c r="B83" s="217"/>
      <c r="C83" s="217"/>
      <c r="D83" s="222"/>
      <c r="E83" s="222"/>
      <c r="F83" s="221"/>
      <c r="G83" s="220"/>
      <c r="H83" s="219"/>
      <c r="I83" s="223" t="str">
        <f t="shared" ca="1" si="4"/>
        <v/>
      </c>
      <c r="J83" s="217"/>
      <c r="K83" s="217"/>
      <c r="L83" s="217"/>
      <c r="M83" s="217"/>
      <c r="N83" s="222"/>
      <c r="O83" s="224"/>
      <c r="P83" s="225">
        <f t="shared" si="3"/>
        <v>0</v>
      </c>
      <c r="Q83" s="228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</row>
    <row r="84" spans="1:29" ht="15" hidden="1" customHeight="1">
      <c r="A84" s="216">
        <v>82</v>
      </c>
      <c r="B84" s="217"/>
      <c r="C84" s="217"/>
      <c r="D84" s="222"/>
      <c r="E84" s="222"/>
      <c r="F84" s="221"/>
      <c r="G84" s="220"/>
      <c r="H84" s="219"/>
      <c r="I84" s="223" t="str">
        <f t="shared" ca="1" si="4"/>
        <v/>
      </c>
      <c r="J84" s="217"/>
      <c r="K84" s="217"/>
      <c r="L84" s="217"/>
      <c r="M84" s="217"/>
      <c r="N84" s="222"/>
      <c r="O84" s="224"/>
      <c r="P84" s="225">
        <f t="shared" si="3"/>
        <v>0</v>
      </c>
      <c r="Q84" s="228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</row>
    <row r="85" spans="1:29" ht="15" hidden="1" customHeight="1">
      <c r="A85" s="216">
        <v>83</v>
      </c>
      <c r="B85" s="217"/>
      <c r="C85" s="217"/>
      <c r="D85" s="222"/>
      <c r="E85" s="222"/>
      <c r="F85" s="221"/>
      <c r="G85" s="220"/>
      <c r="H85" s="219"/>
      <c r="I85" s="223" t="str">
        <f t="shared" ca="1" si="4"/>
        <v/>
      </c>
      <c r="J85" s="217"/>
      <c r="K85" s="217"/>
      <c r="L85" s="217"/>
      <c r="M85" s="217"/>
      <c r="N85" s="222"/>
      <c r="O85" s="224"/>
      <c r="P85" s="225">
        <f t="shared" si="3"/>
        <v>0</v>
      </c>
      <c r="Q85" s="228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</row>
    <row r="86" spans="1:29" ht="15" hidden="1" customHeight="1">
      <c r="A86" s="216">
        <v>84</v>
      </c>
      <c r="B86" s="217"/>
      <c r="C86" s="217"/>
      <c r="D86" s="222"/>
      <c r="E86" s="222"/>
      <c r="F86" s="221"/>
      <c r="G86" s="220"/>
      <c r="H86" s="219"/>
      <c r="I86" s="223" t="str">
        <f t="shared" ca="1" si="4"/>
        <v/>
      </c>
      <c r="J86" s="217"/>
      <c r="K86" s="217"/>
      <c r="L86" s="217"/>
      <c r="M86" s="217"/>
      <c r="N86" s="222"/>
      <c r="O86" s="224"/>
      <c r="P86" s="225">
        <f t="shared" si="3"/>
        <v>0</v>
      </c>
      <c r="Q86" s="228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</row>
    <row r="87" spans="1:29" ht="15" hidden="1" customHeight="1">
      <c r="A87" s="216">
        <v>85</v>
      </c>
      <c r="B87" s="217"/>
      <c r="C87" s="217"/>
      <c r="D87" s="222"/>
      <c r="E87" s="222"/>
      <c r="F87" s="221"/>
      <c r="G87" s="220"/>
      <c r="H87" s="219"/>
      <c r="I87" s="223" t="str">
        <f t="shared" ca="1" si="4"/>
        <v/>
      </c>
      <c r="J87" s="217"/>
      <c r="K87" s="217"/>
      <c r="L87" s="217"/>
      <c r="M87" s="217"/>
      <c r="N87" s="222"/>
      <c r="O87" s="224"/>
      <c r="P87" s="225">
        <f t="shared" si="3"/>
        <v>0</v>
      </c>
      <c r="Q87" s="228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</row>
    <row r="88" spans="1:29" ht="15" hidden="1" customHeight="1">
      <c r="A88" s="216">
        <v>86</v>
      </c>
      <c r="B88" s="217"/>
      <c r="C88" s="217"/>
      <c r="D88" s="222"/>
      <c r="E88" s="222"/>
      <c r="F88" s="221"/>
      <c r="G88" s="220"/>
      <c r="H88" s="219"/>
      <c r="I88" s="223" t="str">
        <f t="shared" ca="1" si="4"/>
        <v/>
      </c>
      <c r="J88" s="217"/>
      <c r="K88" s="217"/>
      <c r="L88" s="217"/>
      <c r="M88" s="217"/>
      <c r="N88" s="222"/>
      <c r="O88" s="224"/>
      <c r="P88" s="225">
        <f t="shared" si="3"/>
        <v>0</v>
      </c>
      <c r="Q88" s="228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</row>
    <row r="89" spans="1:29" ht="15" hidden="1" customHeight="1">
      <c r="A89" s="216">
        <v>87</v>
      </c>
      <c r="B89" s="217"/>
      <c r="C89" s="217"/>
      <c r="D89" s="222"/>
      <c r="E89" s="222"/>
      <c r="F89" s="221"/>
      <c r="G89" s="220"/>
      <c r="H89" s="219"/>
      <c r="I89" s="223" t="str">
        <f t="shared" ca="1" si="4"/>
        <v/>
      </c>
      <c r="J89" s="217"/>
      <c r="K89" s="217"/>
      <c r="L89" s="217"/>
      <c r="M89" s="217"/>
      <c r="N89" s="222"/>
      <c r="O89" s="224"/>
      <c r="P89" s="225">
        <f t="shared" si="3"/>
        <v>0</v>
      </c>
      <c r="Q89" s="228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</row>
    <row r="90" spans="1:29" ht="15" hidden="1" customHeight="1">
      <c r="A90" s="216">
        <v>88</v>
      </c>
      <c r="B90" s="217"/>
      <c r="C90" s="217"/>
      <c r="D90" s="222"/>
      <c r="E90" s="222"/>
      <c r="F90" s="221"/>
      <c r="G90" s="220"/>
      <c r="H90" s="219"/>
      <c r="I90" s="223" t="str">
        <f t="shared" ca="1" si="4"/>
        <v/>
      </c>
      <c r="J90" s="217"/>
      <c r="K90" s="217"/>
      <c r="L90" s="217"/>
      <c r="M90" s="217"/>
      <c r="N90" s="222"/>
      <c r="O90" s="224"/>
      <c r="P90" s="225">
        <f t="shared" si="3"/>
        <v>0</v>
      </c>
      <c r="Q90" s="228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</row>
    <row r="91" spans="1:29" ht="15" hidden="1" customHeight="1">
      <c r="A91" s="216">
        <v>89</v>
      </c>
      <c r="B91" s="217"/>
      <c r="C91" s="217"/>
      <c r="D91" s="222"/>
      <c r="E91" s="222"/>
      <c r="F91" s="221"/>
      <c r="G91" s="220"/>
      <c r="H91" s="219"/>
      <c r="I91" s="223" t="str">
        <f t="shared" ca="1" si="4"/>
        <v/>
      </c>
      <c r="J91" s="217"/>
      <c r="K91" s="217"/>
      <c r="L91" s="217"/>
      <c r="M91" s="217"/>
      <c r="N91" s="222"/>
      <c r="O91" s="224"/>
      <c r="P91" s="225">
        <f t="shared" si="3"/>
        <v>0</v>
      </c>
      <c r="Q91" s="228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</row>
    <row r="92" spans="1:29" ht="15" hidden="1" customHeight="1">
      <c r="A92" s="216">
        <v>90</v>
      </c>
      <c r="B92" s="217"/>
      <c r="C92" s="217"/>
      <c r="D92" s="222"/>
      <c r="E92" s="222"/>
      <c r="F92" s="221"/>
      <c r="G92" s="220"/>
      <c r="H92" s="219"/>
      <c r="I92" s="223" t="str">
        <f t="shared" ca="1" si="4"/>
        <v/>
      </c>
      <c r="J92" s="217"/>
      <c r="K92" s="217"/>
      <c r="L92" s="217"/>
      <c r="M92" s="217"/>
      <c r="N92" s="222"/>
      <c r="O92" s="224"/>
      <c r="P92" s="225">
        <f t="shared" si="3"/>
        <v>0</v>
      </c>
      <c r="Q92" s="228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</row>
    <row r="93" spans="1:29" ht="15" hidden="1" customHeight="1">
      <c r="A93" s="216">
        <v>91</v>
      </c>
      <c r="B93" s="217"/>
      <c r="C93" s="217"/>
      <c r="D93" s="222"/>
      <c r="E93" s="222"/>
      <c r="F93" s="221"/>
      <c r="G93" s="220"/>
      <c r="H93" s="219"/>
      <c r="I93" s="223" t="str">
        <f t="shared" ca="1" si="4"/>
        <v/>
      </c>
      <c r="J93" s="217"/>
      <c r="K93" s="217"/>
      <c r="L93" s="217"/>
      <c r="M93" s="217"/>
      <c r="N93" s="222"/>
      <c r="O93" s="224"/>
      <c r="P93" s="225">
        <f t="shared" si="3"/>
        <v>0</v>
      </c>
      <c r="Q93" s="228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</row>
    <row r="94" spans="1:29" ht="15" hidden="1" customHeight="1">
      <c r="A94" s="216">
        <v>92</v>
      </c>
      <c r="B94" s="217"/>
      <c r="C94" s="217"/>
      <c r="D94" s="222"/>
      <c r="E94" s="222"/>
      <c r="F94" s="221"/>
      <c r="G94" s="220"/>
      <c r="H94" s="219"/>
      <c r="I94" s="223" t="str">
        <f t="shared" ca="1" si="4"/>
        <v/>
      </c>
      <c r="J94" s="217"/>
      <c r="K94" s="217"/>
      <c r="L94" s="217"/>
      <c r="M94" s="217"/>
      <c r="N94" s="222"/>
      <c r="O94" s="224"/>
      <c r="P94" s="225">
        <f t="shared" si="3"/>
        <v>0</v>
      </c>
      <c r="Q94" s="228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</row>
    <row r="95" spans="1:29" ht="15" hidden="1" customHeight="1">
      <c r="A95" s="216">
        <v>93</v>
      </c>
      <c r="B95" s="217"/>
      <c r="C95" s="217"/>
      <c r="D95" s="222"/>
      <c r="E95" s="222"/>
      <c r="F95" s="221"/>
      <c r="G95" s="220"/>
      <c r="H95" s="219"/>
      <c r="I95" s="223" t="str">
        <f t="shared" ca="1" si="4"/>
        <v/>
      </c>
      <c r="J95" s="217"/>
      <c r="K95" s="217"/>
      <c r="L95" s="217"/>
      <c r="M95" s="217"/>
      <c r="N95" s="222"/>
      <c r="O95" s="224"/>
      <c r="P95" s="225">
        <f t="shared" si="3"/>
        <v>0</v>
      </c>
      <c r="Q95" s="228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</row>
    <row r="96" spans="1:29" hidden="1">
      <c r="A96" s="216">
        <v>94</v>
      </c>
      <c r="B96" s="217"/>
      <c r="C96" s="217"/>
      <c r="D96" s="222"/>
      <c r="E96" s="222"/>
      <c r="F96" s="221"/>
      <c r="G96" s="220"/>
      <c r="H96" s="219"/>
      <c r="I96" s="223" t="str">
        <f t="shared" ca="1" si="4"/>
        <v/>
      </c>
      <c r="J96" s="217"/>
      <c r="K96" s="217"/>
      <c r="L96" s="217"/>
      <c r="M96" s="217"/>
      <c r="N96" s="222"/>
      <c r="O96" s="224"/>
      <c r="P96" s="225">
        <f t="shared" si="3"/>
        <v>0</v>
      </c>
      <c r="Q96" s="228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</row>
    <row r="97" spans="1:29" hidden="1">
      <c r="A97" s="216">
        <v>95</v>
      </c>
      <c r="B97" s="217"/>
      <c r="C97" s="217"/>
      <c r="D97" s="222"/>
      <c r="E97" s="222"/>
      <c r="F97" s="221"/>
      <c r="G97" s="220"/>
      <c r="H97" s="219"/>
      <c r="I97" s="223" t="str">
        <f t="shared" ca="1" si="4"/>
        <v/>
      </c>
      <c r="J97" s="217"/>
      <c r="K97" s="217"/>
      <c r="L97" s="217"/>
      <c r="M97" s="217"/>
      <c r="N97" s="222"/>
      <c r="O97" s="224"/>
      <c r="P97" s="225">
        <f t="shared" si="3"/>
        <v>0</v>
      </c>
      <c r="Q97" s="228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</row>
    <row r="98" spans="1:29" hidden="1">
      <c r="A98" s="216">
        <v>96</v>
      </c>
      <c r="B98" s="217"/>
      <c r="C98" s="217"/>
      <c r="D98" s="222"/>
      <c r="E98" s="222"/>
      <c r="F98" s="221"/>
      <c r="G98" s="220"/>
      <c r="H98" s="219"/>
      <c r="I98" s="223" t="str">
        <f t="shared" ca="1" si="4"/>
        <v/>
      </c>
      <c r="J98" s="217"/>
      <c r="K98" s="217"/>
      <c r="L98" s="217"/>
      <c r="M98" s="217"/>
      <c r="N98" s="222"/>
      <c r="O98" s="224"/>
      <c r="P98" s="225">
        <f t="shared" si="3"/>
        <v>0</v>
      </c>
      <c r="Q98" s="228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</row>
    <row r="99" spans="1:29" hidden="1">
      <c r="A99" s="216">
        <v>97</v>
      </c>
      <c r="B99" s="217"/>
      <c r="C99" s="217"/>
      <c r="D99" s="222"/>
      <c r="E99" s="222"/>
      <c r="F99" s="221"/>
      <c r="G99" s="220"/>
      <c r="H99" s="219"/>
      <c r="I99" s="223" t="str">
        <f t="shared" ca="1" si="4"/>
        <v/>
      </c>
      <c r="J99" s="217"/>
      <c r="K99" s="217"/>
      <c r="L99" s="217"/>
      <c r="M99" s="217"/>
      <c r="N99" s="222"/>
      <c r="O99" s="224"/>
      <c r="P99" s="225">
        <f t="shared" ref="P99:P102" si="5">IF(OR(M99="",M99="Active"),N99*IF(O99="",100%,O99),0)</f>
        <v>0</v>
      </c>
      <c r="Q99" s="228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</row>
    <row r="100" spans="1:29" hidden="1">
      <c r="A100" s="216">
        <v>98</v>
      </c>
      <c r="B100" s="217"/>
      <c r="C100" s="217"/>
      <c r="D100" s="222"/>
      <c r="E100" s="222"/>
      <c r="F100" s="221"/>
      <c r="G100" s="220"/>
      <c r="H100" s="219"/>
      <c r="I100" s="223" t="str">
        <f t="shared" ca="1" si="4"/>
        <v/>
      </c>
      <c r="J100" s="217"/>
      <c r="K100" s="217"/>
      <c r="L100" s="217"/>
      <c r="M100" s="217"/>
      <c r="N100" s="222"/>
      <c r="O100" s="224"/>
      <c r="P100" s="225">
        <f t="shared" si="5"/>
        <v>0</v>
      </c>
      <c r="Q100" s="228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</row>
    <row r="101" spans="1:29" hidden="1">
      <c r="A101" s="216">
        <v>99</v>
      </c>
      <c r="B101" s="217"/>
      <c r="C101" s="217"/>
      <c r="D101" s="222"/>
      <c r="E101" s="222"/>
      <c r="F101" s="221"/>
      <c r="G101" s="220"/>
      <c r="H101" s="219"/>
      <c r="I101" s="223" t="str">
        <f t="shared" ca="1" si="4"/>
        <v/>
      </c>
      <c r="J101" s="217"/>
      <c r="K101" s="217"/>
      <c r="L101" s="217"/>
      <c r="M101" s="217"/>
      <c r="N101" s="222"/>
      <c r="O101" s="224"/>
      <c r="P101" s="225">
        <f t="shared" si="5"/>
        <v>0</v>
      </c>
      <c r="Q101" s="228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</row>
    <row r="102" spans="1:29" hidden="1">
      <c r="A102" s="216">
        <v>100</v>
      </c>
      <c r="B102" s="217"/>
      <c r="C102" s="217"/>
      <c r="D102" s="222"/>
      <c r="E102" s="222"/>
      <c r="F102" s="221"/>
      <c r="G102" s="220"/>
      <c r="H102" s="219"/>
      <c r="I102" s="223" t="str">
        <f t="shared" ca="1" si="4"/>
        <v/>
      </c>
      <c r="J102" s="217"/>
      <c r="K102" s="217"/>
      <c r="L102" s="217"/>
      <c r="M102" s="217"/>
      <c r="N102" s="222"/>
      <c r="O102" s="224"/>
      <c r="P102" s="225">
        <f t="shared" si="5"/>
        <v>0</v>
      </c>
      <c r="Q102" s="228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</row>
    <row r="103" spans="1:29">
      <c r="L103" s="432" t="s">
        <v>562</v>
      </c>
      <c r="M103" s="433"/>
      <c r="N103" s="229">
        <f>SUM(P3:P102)</f>
        <v>0</v>
      </c>
      <c r="O103" s="230"/>
      <c r="P103" s="230"/>
    </row>
    <row r="104" spans="1:29">
      <c r="L104" s="434" t="s">
        <v>563</v>
      </c>
      <c r="M104" s="435"/>
      <c r="N104" s="229">
        <f>SUM(N3:N102)</f>
        <v>0</v>
      </c>
      <c r="O104" s="230"/>
      <c r="P104" s="230"/>
    </row>
    <row r="105" spans="1:29">
      <c r="L105" s="434" t="s">
        <v>564</v>
      </c>
      <c r="M105" s="435"/>
      <c r="N105" s="229">
        <f>N104-N103</f>
        <v>0</v>
      </c>
      <c r="O105" s="230"/>
      <c r="P105" s="230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M1:M2"/>
    <mergeCell ref="N1:N2"/>
    <mergeCell ref="O1:O2"/>
    <mergeCell ref="P1:P2"/>
    <mergeCell ref="Q1:Q2"/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dataValidations count="1">
    <dataValidation type="list" allowBlank="1" showInputMessage="1" showErrorMessage="1" sqref="M3:M102" xr:uid="{00000000-0002-0000-0C00-000001000000}">
      <formula1>"Active, Closed, Getting closed within 12 months, To be closed before our Disbursal, To be closed with our Disbursal"</formula1>
    </dataValidation>
  </dataValidations>
  <pageMargins left="0.69930555555555596" right="0.69930555555555596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18" workbookViewId="0">
      <selection activeCell="C22" sqref="C22:T22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13" t="s">
        <v>502</v>
      </c>
      <c r="B1" s="413"/>
      <c r="C1" s="414" t="str">
        <f>IF(PrimeConsolidated!B3="","",CONCATENATE(PrimeConsolidated!B3," (Consolidated Banking in Rs. Lacs)"))</f>
        <v>SONA NAVANI &amp; Group (Consolidated Banking in Rs. Lacs)</v>
      </c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248"/>
      <c r="V1" s="248"/>
    </row>
    <row r="2" spans="1:22" ht="51">
      <c r="A2" s="231" t="s">
        <v>502</v>
      </c>
      <c r="B2" s="415" t="s">
        <v>503</v>
      </c>
      <c r="C2" s="415"/>
      <c r="D2" s="415"/>
      <c r="E2" s="232" t="s">
        <v>504</v>
      </c>
      <c r="F2" s="232" t="s">
        <v>505</v>
      </c>
      <c r="G2" s="231" t="s">
        <v>506</v>
      </c>
      <c r="H2" s="231" t="s">
        <v>507</v>
      </c>
      <c r="I2" s="231" t="s">
        <v>508</v>
      </c>
      <c r="J2" s="232" t="s">
        <v>509</v>
      </c>
      <c r="K2" s="232" t="s">
        <v>510</v>
      </c>
      <c r="L2" s="416" t="s">
        <v>511</v>
      </c>
      <c r="M2" s="417"/>
      <c r="N2" s="416" t="s">
        <v>512</v>
      </c>
      <c r="O2" s="417"/>
      <c r="P2" s="231" t="s">
        <v>513</v>
      </c>
      <c r="Q2" s="231" t="s">
        <v>514</v>
      </c>
      <c r="R2" s="231" t="s">
        <v>515</v>
      </c>
      <c r="S2" s="231" t="s">
        <v>516</v>
      </c>
      <c r="T2" s="231" t="s">
        <v>517</v>
      </c>
      <c r="U2" s="231" t="s">
        <v>518</v>
      </c>
      <c r="V2" s="231" t="s">
        <v>519</v>
      </c>
    </row>
    <row r="3" spans="1:22">
      <c r="A3" s="231"/>
      <c r="B3" s="231">
        <v>10</v>
      </c>
      <c r="C3" s="231">
        <v>20</v>
      </c>
      <c r="D3" s="231">
        <v>30</v>
      </c>
      <c r="E3" s="231"/>
      <c r="F3" s="231"/>
      <c r="G3" s="231"/>
      <c r="H3" s="231"/>
      <c r="I3" s="231"/>
      <c r="J3" s="231"/>
      <c r="K3" s="231"/>
      <c r="L3" s="231" t="s">
        <v>520</v>
      </c>
      <c r="M3" s="231" t="s">
        <v>521</v>
      </c>
      <c r="N3" s="231" t="s">
        <v>520</v>
      </c>
      <c r="O3" s="231" t="s">
        <v>521</v>
      </c>
      <c r="P3" s="231"/>
      <c r="Q3" s="231"/>
      <c r="R3" s="231"/>
      <c r="S3" s="231"/>
      <c r="T3" s="231"/>
      <c r="U3" s="231"/>
      <c r="V3" s="231"/>
    </row>
    <row r="4" spans="1:22">
      <c r="A4" s="233">
        <f>IF($A$27="","",$A$27)</f>
        <v>45139</v>
      </c>
      <c r="B4" s="234">
        <f>(B27+B50+B73+B96+B119+B142+B165+B188+B211+B234+B257+B280+B303+B326+B349+B372+B395+B418+B441+B464)/100000</f>
        <v>0</v>
      </c>
      <c r="C4" s="234">
        <f t="shared" ref="C4:F4" si="0">(C27+C50+C73+C96+C119+C142+C165+C188+C211+C234+C257+C280+C303+C326+C349+C372+C395+C418+C441+C464)/100000</f>
        <v>0</v>
      </c>
      <c r="D4" s="234">
        <f t="shared" si="0"/>
        <v>0</v>
      </c>
      <c r="E4" s="235">
        <f t="shared" si="0"/>
        <v>0</v>
      </c>
      <c r="F4" s="235">
        <f t="shared" si="0"/>
        <v>0</v>
      </c>
      <c r="G4" s="236">
        <f t="shared" ref="G4:G15" si="1">AVERAGE(B4:D4)</f>
        <v>0</v>
      </c>
      <c r="H4" s="234">
        <f t="shared" ref="H4:P15" si="2">(H27+H50+H73+H96+H119+H142+H165+H188+H211+H234+H257+H280+H303+H326+H349+H372+H395+H418+H441+H464)/100000</f>
        <v>6.4999999999999997E-3</v>
      </c>
      <c r="I4" s="234">
        <f t="shared" si="2"/>
        <v>6.4999999999999997E-3</v>
      </c>
      <c r="J4" s="235">
        <f t="shared" si="2"/>
        <v>0</v>
      </c>
      <c r="K4" s="234">
        <f t="shared" si="2"/>
        <v>0</v>
      </c>
      <c r="L4" s="235">
        <f t="shared" si="2"/>
        <v>0</v>
      </c>
      <c r="M4" s="235">
        <f t="shared" si="2"/>
        <v>0</v>
      </c>
      <c r="N4" s="235">
        <f t="shared" si="2"/>
        <v>0</v>
      </c>
      <c r="O4" s="235">
        <f t="shared" si="2"/>
        <v>0</v>
      </c>
      <c r="P4" s="235">
        <f t="shared" si="2"/>
        <v>0</v>
      </c>
      <c r="Q4" s="249">
        <f>(Q27+Q50+Q73+Q96+Q119+Q142+Q165+Q188+Q211+Q234+Q257+Q280+Q303+Q326+Q349+Q372+Q395+Q418+Q441+Q464)</f>
        <v>0</v>
      </c>
      <c r="R4" s="249">
        <f t="shared" ref="R4:T4" si="3">(R27+R50+R73+R96+R119+R142+R165+R188+R211+R234+R257+R280+R303+R326+R349+R372+R395+R418+R441+R464)</f>
        <v>0</v>
      </c>
      <c r="S4" s="249">
        <f t="shared" si="3"/>
        <v>0</v>
      </c>
      <c r="T4" s="249">
        <f t="shared" si="3"/>
        <v>0</v>
      </c>
      <c r="U4" s="238">
        <f t="shared" ref="U4:V15" si="4">(U27+U50+U73+U96+U119+U142+U165+U188+U211+U234+U257+U280+U303+U326+U349+U372+U395+U418+U441+U464)/100000</f>
        <v>6.4999999999999997E-3</v>
      </c>
      <c r="V4" s="238">
        <f t="shared" si="4"/>
        <v>6.4999999999999997E-3</v>
      </c>
    </row>
    <row r="5" spans="1:22">
      <c r="A5" s="233">
        <f>IF($A$28="","",$A$28)</f>
        <v>45170</v>
      </c>
      <c r="B5" s="234">
        <f t="shared" ref="B5:F15" si="5">(B28+B51+B74+B97+B120+B143+B166+B189+B212+B235+B258+B281+B304+B327+B350+B373+B396+B419+B442+B465)/100000</f>
        <v>0.97999960000000008</v>
      </c>
      <c r="C5" s="234">
        <f t="shared" si="5"/>
        <v>1.49996E-2</v>
      </c>
      <c r="D5" s="234">
        <f t="shared" si="5"/>
        <v>2.2999600000000002E-2</v>
      </c>
      <c r="E5" s="235">
        <f t="shared" si="5"/>
        <v>0</v>
      </c>
      <c r="F5" s="235">
        <f t="shared" si="5"/>
        <v>1.0149996000000001</v>
      </c>
      <c r="G5" s="236">
        <f t="shared" si="1"/>
        <v>0.33933293333333331</v>
      </c>
      <c r="H5" s="234">
        <f t="shared" si="2"/>
        <v>2.0430000000000001</v>
      </c>
      <c r="I5" s="234">
        <f t="shared" si="2"/>
        <v>2.0200004000000003</v>
      </c>
      <c r="J5" s="235">
        <f t="shared" si="2"/>
        <v>0</v>
      </c>
      <c r="K5" s="234">
        <f t="shared" si="2"/>
        <v>0</v>
      </c>
      <c r="L5" s="235">
        <f t="shared" si="2"/>
        <v>0</v>
      </c>
      <c r="M5" s="235">
        <f t="shared" si="2"/>
        <v>0</v>
      </c>
      <c r="N5" s="235">
        <f t="shared" si="2"/>
        <v>0</v>
      </c>
      <c r="O5" s="235">
        <f t="shared" si="2"/>
        <v>0</v>
      </c>
      <c r="P5" s="235">
        <f t="shared" si="2"/>
        <v>2.2999599999999919E-2</v>
      </c>
      <c r="Q5" s="249">
        <f t="shared" ref="Q5:T15" si="6">(Q28+Q51+Q74+Q97+Q120+Q143+Q166+Q189+Q212+Q235+Q258+Q281+Q304+Q327+Q350+Q373+Q396+Q419+Q442+Q465)</f>
        <v>0</v>
      </c>
      <c r="R5" s="249">
        <f t="shared" si="6"/>
        <v>0</v>
      </c>
      <c r="S5" s="249">
        <f t="shared" si="6"/>
        <v>0</v>
      </c>
      <c r="T5" s="249">
        <f t="shared" si="6"/>
        <v>0</v>
      </c>
      <c r="U5" s="238">
        <f t="shared" si="4"/>
        <v>2.0430000000000001</v>
      </c>
      <c r="V5" s="238">
        <f t="shared" si="4"/>
        <v>2.0200004000000003</v>
      </c>
    </row>
    <row r="6" spans="1:22">
      <c r="A6" s="233">
        <f>IF($A$29="","",$A$29)</f>
        <v>45200</v>
      </c>
      <c r="B6" s="234">
        <f t="shared" si="5"/>
        <v>1.49996E-2</v>
      </c>
      <c r="C6" s="234">
        <f t="shared" si="5"/>
        <v>1.3431800000000001E-2</v>
      </c>
      <c r="D6" s="234">
        <f t="shared" si="5"/>
        <v>8.0017999999999999E-3</v>
      </c>
      <c r="E6" s="235">
        <f t="shared" si="5"/>
        <v>7.0017999999999999E-3</v>
      </c>
      <c r="F6" s="235">
        <f t="shared" si="5"/>
        <v>2.2999600000000002E-2</v>
      </c>
      <c r="G6" s="236">
        <f t="shared" si="1"/>
        <v>1.21444E-2</v>
      </c>
      <c r="H6" s="234">
        <f t="shared" si="2"/>
        <v>0.27700000000000002</v>
      </c>
      <c r="I6" s="234">
        <f t="shared" si="2"/>
        <v>0.29299779999999997</v>
      </c>
      <c r="J6" s="235">
        <f t="shared" si="2"/>
        <v>0</v>
      </c>
      <c r="K6" s="234">
        <f t="shared" si="2"/>
        <v>0</v>
      </c>
      <c r="L6" s="235">
        <f t="shared" si="2"/>
        <v>0</v>
      </c>
      <c r="M6" s="235">
        <f t="shared" si="2"/>
        <v>0</v>
      </c>
      <c r="N6" s="235">
        <f t="shared" si="2"/>
        <v>0</v>
      </c>
      <c r="O6" s="235">
        <f t="shared" si="2"/>
        <v>0</v>
      </c>
      <c r="P6" s="235">
        <f t="shared" si="2"/>
        <v>-1.5997799999999989E-2</v>
      </c>
      <c r="Q6" s="249">
        <f t="shared" si="6"/>
        <v>0</v>
      </c>
      <c r="R6" s="249">
        <f t="shared" si="6"/>
        <v>0</v>
      </c>
      <c r="S6" s="249">
        <f t="shared" si="6"/>
        <v>0</v>
      </c>
      <c r="T6" s="249">
        <f t="shared" si="6"/>
        <v>0</v>
      </c>
      <c r="U6" s="238">
        <f t="shared" si="4"/>
        <v>0.27700000000000002</v>
      </c>
      <c r="V6" s="238">
        <f t="shared" si="4"/>
        <v>0.29299779999999997</v>
      </c>
    </row>
    <row r="7" spans="1:22">
      <c r="A7" s="233">
        <f>IF($A$30="","",$A$30)</f>
        <v>45231</v>
      </c>
      <c r="B7" s="234">
        <f t="shared" si="5"/>
        <v>8.7680000000000006E-4</v>
      </c>
      <c r="C7" s="234">
        <f t="shared" si="5"/>
        <v>8.7680000000000006E-4</v>
      </c>
      <c r="D7" s="234">
        <f t="shared" si="5"/>
        <v>7.668000000000001E-4</v>
      </c>
      <c r="E7" s="235">
        <f t="shared" si="5"/>
        <v>7.668000000000001E-4</v>
      </c>
      <c r="F7" s="235">
        <f t="shared" si="5"/>
        <v>1.20018E-2</v>
      </c>
      <c r="G7" s="236">
        <f t="shared" si="1"/>
        <v>8.4013333333333344E-4</v>
      </c>
      <c r="H7" s="234">
        <f t="shared" si="2"/>
        <v>0.01</v>
      </c>
      <c r="I7" s="234">
        <f t="shared" si="2"/>
        <v>1.6234999999999999E-2</v>
      </c>
      <c r="J7" s="235">
        <f t="shared" si="2"/>
        <v>0</v>
      </c>
      <c r="K7" s="234">
        <f t="shared" si="2"/>
        <v>0</v>
      </c>
      <c r="L7" s="235">
        <f t="shared" si="2"/>
        <v>0</v>
      </c>
      <c r="M7" s="235">
        <f t="shared" si="2"/>
        <v>0</v>
      </c>
      <c r="N7" s="235">
        <f t="shared" si="2"/>
        <v>0</v>
      </c>
      <c r="O7" s="235">
        <f t="shared" si="2"/>
        <v>0</v>
      </c>
      <c r="P7" s="235">
        <f t="shared" si="2"/>
        <v>-6.2350000000000001E-3</v>
      </c>
      <c r="Q7" s="249">
        <f t="shared" si="6"/>
        <v>0</v>
      </c>
      <c r="R7" s="249">
        <f t="shared" si="6"/>
        <v>0</v>
      </c>
      <c r="S7" s="249">
        <f t="shared" si="6"/>
        <v>0</v>
      </c>
      <c r="T7" s="249">
        <f t="shared" si="6"/>
        <v>0</v>
      </c>
      <c r="U7" s="238">
        <f t="shared" si="4"/>
        <v>0.01</v>
      </c>
      <c r="V7" s="238">
        <f t="shared" si="4"/>
        <v>1.6234999999999999E-2</v>
      </c>
    </row>
    <row r="8" spans="1:22">
      <c r="A8" s="233">
        <f>IF($A$31="","",$A$31)</f>
        <v>45261</v>
      </c>
      <c r="B8" s="234">
        <f t="shared" si="5"/>
        <v>5.6967999999999993E-3</v>
      </c>
      <c r="C8" s="234">
        <f t="shared" si="5"/>
        <v>5.6967999999999993E-3</v>
      </c>
      <c r="D8" s="234">
        <f t="shared" si="5"/>
        <v>6.9680000000000002E-4</v>
      </c>
      <c r="E8" s="235">
        <f t="shared" si="5"/>
        <v>2.6679999999999998E-4</v>
      </c>
      <c r="F8" s="235">
        <f t="shared" si="5"/>
        <v>5.6967999999999993E-3</v>
      </c>
      <c r="G8" s="236">
        <f t="shared" si="1"/>
        <v>4.0301333333333323E-3</v>
      </c>
      <c r="H8" s="234">
        <f t="shared" si="2"/>
        <v>1.6979999999999999E-2</v>
      </c>
      <c r="I8" s="234">
        <f t="shared" si="2"/>
        <v>1.7049999999999999E-2</v>
      </c>
      <c r="J8" s="235">
        <f t="shared" si="2"/>
        <v>0</v>
      </c>
      <c r="K8" s="234">
        <f t="shared" si="2"/>
        <v>0</v>
      </c>
      <c r="L8" s="235">
        <f t="shared" si="2"/>
        <v>0</v>
      </c>
      <c r="M8" s="235">
        <f t="shared" si="2"/>
        <v>0</v>
      </c>
      <c r="N8" s="235">
        <f t="shared" si="2"/>
        <v>0</v>
      </c>
      <c r="O8" s="235">
        <f t="shared" si="2"/>
        <v>0</v>
      </c>
      <c r="P8" s="235">
        <f t="shared" si="2"/>
        <v>-6.9999999999999994E-5</v>
      </c>
      <c r="Q8" s="249">
        <f t="shared" si="6"/>
        <v>0</v>
      </c>
      <c r="R8" s="249">
        <f t="shared" si="6"/>
        <v>0</v>
      </c>
      <c r="S8" s="249">
        <f t="shared" si="6"/>
        <v>0</v>
      </c>
      <c r="T8" s="249">
        <f t="shared" si="6"/>
        <v>0</v>
      </c>
      <c r="U8" s="238">
        <f t="shared" si="4"/>
        <v>1.6979999999999999E-2</v>
      </c>
      <c r="V8" s="238">
        <f t="shared" si="4"/>
        <v>1.7049999999999999E-2</v>
      </c>
    </row>
    <row r="9" spans="1:22">
      <c r="A9" s="233">
        <f>IF($A$32="","",$A$32)</f>
        <v>45292</v>
      </c>
      <c r="B9" s="234">
        <f t="shared" si="5"/>
        <v>7.4680000000000005E-4</v>
      </c>
      <c r="C9" s="234">
        <f t="shared" si="5"/>
        <v>5.6979999999999997E-4</v>
      </c>
      <c r="D9" s="234">
        <f t="shared" si="5"/>
        <v>5.6979999999999997E-4</v>
      </c>
      <c r="E9" s="235">
        <f t="shared" si="5"/>
        <v>5.6979999999999997E-4</v>
      </c>
      <c r="F9" s="235">
        <f t="shared" si="5"/>
        <v>5.6967999999999993E-3</v>
      </c>
      <c r="G9" s="236">
        <f t="shared" si="1"/>
        <v>6.288E-4</v>
      </c>
      <c r="H9" s="234">
        <f t="shared" si="2"/>
        <v>5.0000000000000001E-3</v>
      </c>
      <c r="I9" s="234">
        <f t="shared" si="2"/>
        <v>5.1270000000000005E-3</v>
      </c>
      <c r="J9" s="235">
        <f t="shared" si="2"/>
        <v>0</v>
      </c>
      <c r="K9" s="234">
        <f t="shared" si="2"/>
        <v>0</v>
      </c>
      <c r="L9" s="235">
        <f t="shared" si="2"/>
        <v>0</v>
      </c>
      <c r="M9" s="235">
        <f t="shared" si="2"/>
        <v>0</v>
      </c>
      <c r="N9" s="235">
        <f t="shared" si="2"/>
        <v>0</v>
      </c>
      <c r="O9" s="235">
        <f t="shared" si="2"/>
        <v>0</v>
      </c>
      <c r="P9" s="235">
        <f t="shared" si="2"/>
        <v>-1.2700000000000046E-4</v>
      </c>
      <c r="Q9" s="249">
        <f t="shared" si="6"/>
        <v>0</v>
      </c>
      <c r="R9" s="249">
        <f t="shared" si="6"/>
        <v>0</v>
      </c>
      <c r="S9" s="249">
        <f t="shared" si="6"/>
        <v>0</v>
      </c>
      <c r="T9" s="249">
        <f t="shared" si="6"/>
        <v>0</v>
      </c>
      <c r="U9" s="238">
        <f t="shared" si="4"/>
        <v>5.0000000000000001E-3</v>
      </c>
      <c r="V9" s="238">
        <f t="shared" si="4"/>
        <v>5.1270000000000005E-3</v>
      </c>
    </row>
    <row r="10" spans="1:22" hidden="1">
      <c r="A10" s="233" t="str">
        <f>IF($A$33="","",$A$33)</f>
        <v/>
      </c>
      <c r="B10" s="234">
        <f t="shared" si="5"/>
        <v>0</v>
      </c>
      <c r="C10" s="234">
        <f t="shared" si="5"/>
        <v>0</v>
      </c>
      <c r="D10" s="234">
        <f t="shared" si="5"/>
        <v>0</v>
      </c>
      <c r="E10" s="235">
        <f t="shared" si="5"/>
        <v>0</v>
      </c>
      <c r="F10" s="235">
        <f t="shared" si="5"/>
        <v>0</v>
      </c>
      <c r="G10" s="236">
        <f t="shared" si="1"/>
        <v>0</v>
      </c>
      <c r="H10" s="234">
        <f t="shared" si="2"/>
        <v>0</v>
      </c>
      <c r="I10" s="234">
        <f t="shared" si="2"/>
        <v>0</v>
      </c>
      <c r="J10" s="235">
        <f t="shared" si="2"/>
        <v>0</v>
      </c>
      <c r="K10" s="234">
        <f t="shared" si="2"/>
        <v>0</v>
      </c>
      <c r="L10" s="235">
        <f t="shared" si="2"/>
        <v>0</v>
      </c>
      <c r="M10" s="235">
        <f t="shared" si="2"/>
        <v>0</v>
      </c>
      <c r="N10" s="235">
        <f t="shared" si="2"/>
        <v>0</v>
      </c>
      <c r="O10" s="235">
        <f t="shared" si="2"/>
        <v>0</v>
      </c>
      <c r="P10" s="235">
        <f t="shared" si="2"/>
        <v>0</v>
      </c>
      <c r="Q10" s="249">
        <f t="shared" si="6"/>
        <v>0</v>
      </c>
      <c r="R10" s="249">
        <f t="shared" si="6"/>
        <v>0</v>
      </c>
      <c r="S10" s="249">
        <f t="shared" si="6"/>
        <v>0</v>
      </c>
      <c r="T10" s="249">
        <f t="shared" si="6"/>
        <v>0</v>
      </c>
      <c r="U10" s="238">
        <f t="shared" si="4"/>
        <v>0</v>
      </c>
      <c r="V10" s="238">
        <f t="shared" si="4"/>
        <v>0</v>
      </c>
    </row>
    <row r="11" spans="1:22" hidden="1">
      <c r="A11" s="233" t="str">
        <f>IF($A$34="","",$A$34)</f>
        <v/>
      </c>
      <c r="B11" s="234">
        <f t="shared" si="5"/>
        <v>0</v>
      </c>
      <c r="C11" s="234">
        <f t="shared" si="5"/>
        <v>0</v>
      </c>
      <c r="D11" s="234">
        <f t="shared" si="5"/>
        <v>0</v>
      </c>
      <c r="E11" s="235">
        <f t="shared" si="5"/>
        <v>0</v>
      </c>
      <c r="F11" s="235">
        <f t="shared" si="5"/>
        <v>0</v>
      </c>
      <c r="G11" s="236">
        <f t="shared" si="1"/>
        <v>0</v>
      </c>
      <c r="H11" s="234">
        <f t="shared" si="2"/>
        <v>0</v>
      </c>
      <c r="I11" s="234">
        <f t="shared" si="2"/>
        <v>0</v>
      </c>
      <c r="J11" s="235">
        <f t="shared" si="2"/>
        <v>0</v>
      </c>
      <c r="K11" s="234">
        <f t="shared" si="2"/>
        <v>0</v>
      </c>
      <c r="L11" s="235">
        <f t="shared" si="2"/>
        <v>0</v>
      </c>
      <c r="M11" s="235">
        <f t="shared" si="2"/>
        <v>0</v>
      </c>
      <c r="N11" s="235">
        <f t="shared" si="2"/>
        <v>0</v>
      </c>
      <c r="O11" s="235">
        <f t="shared" si="2"/>
        <v>0</v>
      </c>
      <c r="P11" s="235">
        <f t="shared" si="2"/>
        <v>0</v>
      </c>
      <c r="Q11" s="249">
        <f t="shared" si="6"/>
        <v>0</v>
      </c>
      <c r="R11" s="249">
        <f t="shared" si="6"/>
        <v>0</v>
      </c>
      <c r="S11" s="249">
        <f t="shared" si="6"/>
        <v>0</v>
      </c>
      <c r="T11" s="249">
        <f t="shared" si="6"/>
        <v>0</v>
      </c>
      <c r="U11" s="238">
        <f t="shared" si="4"/>
        <v>0</v>
      </c>
      <c r="V11" s="238">
        <f t="shared" si="4"/>
        <v>0</v>
      </c>
    </row>
    <row r="12" spans="1:22" hidden="1">
      <c r="A12" s="233" t="str">
        <f>IF($A$35="","",$A$35)</f>
        <v/>
      </c>
      <c r="B12" s="234">
        <f t="shared" si="5"/>
        <v>0</v>
      </c>
      <c r="C12" s="234">
        <f t="shared" si="5"/>
        <v>0</v>
      </c>
      <c r="D12" s="234">
        <f t="shared" si="5"/>
        <v>0</v>
      </c>
      <c r="E12" s="235">
        <f t="shared" si="5"/>
        <v>0</v>
      </c>
      <c r="F12" s="235">
        <f t="shared" si="5"/>
        <v>0</v>
      </c>
      <c r="G12" s="236">
        <f t="shared" si="1"/>
        <v>0</v>
      </c>
      <c r="H12" s="234">
        <f t="shared" si="2"/>
        <v>0</v>
      </c>
      <c r="I12" s="234">
        <f t="shared" si="2"/>
        <v>0</v>
      </c>
      <c r="J12" s="235">
        <f t="shared" si="2"/>
        <v>0</v>
      </c>
      <c r="K12" s="234">
        <f t="shared" si="2"/>
        <v>0</v>
      </c>
      <c r="L12" s="235">
        <f t="shared" si="2"/>
        <v>0</v>
      </c>
      <c r="M12" s="235">
        <f t="shared" si="2"/>
        <v>0</v>
      </c>
      <c r="N12" s="235">
        <f t="shared" si="2"/>
        <v>0</v>
      </c>
      <c r="O12" s="235">
        <f t="shared" si="2"/>
        <v>0</v>
      </c>
      <c r="P12" s="235">
        <f t="shared" si="2"/>
        <v>0</v>
      </c>
      <c r="Q12" s="249">
        <f t="shared" si="6"/>
        <v>0</v>
      </c>
      <c r="R12" s="249">
        <f t="shared" si="6"/>
        <v>0</v>
      </c>
      <c r="S12" s="249">
        <f t="shared" si="6"/>
        <v>0</v>
      </c>
      <c r="T12" s="249">
        <f t="shared" si="6"/>
        <v>0</v>
      </c>
      <c r="U12" s="238">
        <f t="shared" si="4"/>
        <v>0</v>
      </c>
      <c r="V12" s="238">
        <f t="shared" si="4"/>
        <v>0</v>
      </c>
    </row>
    <row r="13" spans="1:22" hidden="1">
      <c r="A13" s="233" t="str">
        <f>IF($A$36="","",$A$36)</f>
        <v/>
      </c>
      <c r="B13" s="234">
        <f t="shared" si="5"/>
        <v>0</v>
      </c>
      <c r="C13" s="234">
        <f t="shared" si="5"/>
        <v>0</v>
      </c>
      <c r="D13" s="234">
        <f t="shared" si="5"/>
        <v>0</v>
      </c>
      <c r="E13" s="235">
        <f t="shared" si="5"/>
        <v>0</v>
      </c>
      <c r="F13" s="235">
        <f t="shared" si="5"/>
        <v>0</v>
      </c>
      <c r="G13" s="236">
        <f t="shared" si="1"/>
        <v>0</v>
      </c>
      <c r="H13" s="234">
        <f t="shared" si="2"/>
        <v>0</v>
      </c>
      <c r="I13" s="234">
        <f t="shared" si="2"/>
        <v>0</v>
      </c>
      <c r="J13" s="235">
        <f t="shared" si="2"/>
        <v>0</v>
      </c>
      <c r="K13" s="234">
        <f t="shared" si="2"/>
        <v>0</v>
      </c>
      <c r="L13" s="235">
        <f t="shared" si="2"/>
        <v>0</v>
      </c>
      <c r="M13" s="235">
        <f t="shared" si="2"/>
        <v>0</v>
      </c>
      <c r="N13" s="235">
        <f t="shared" si="2"/>
        <v>0</v>
      </c>
      <c r="O13" s="235">
        <f t="shared" si="2"/>
        <v>0</v>
      </c>
      <c r="P13" s="235">
        <f t="shared" si="2"/>
        <v>0</v>
      </c>
      <c r="Q13" s="249">
        <f t="shared" si="6"/>
        <v>0</v>
      </c>
      <c r="R13" s="249">
        <f t="shared" si="6"/>
        <v>0</v>
      </c>
      <c r="S13" s="249">
        <f t="shared" si="6"/>
        <v>0</v>
      </c>
      <c r="T13" s="249">
        <f t="shared" si="6"/>
        <v>0</v>
      </c>
      <c r="U13" s="238">
        <f t="shared" si="4"/>
        <v>0</v>
      </c>
      <c r="V13" s="238">
        <f t="shared" si="4"/>
        <v>0</v>
      </c>
    </row>
    <row r="14" spans="1:22" hidden="1">
      <c r="A14" s="233" t="str">
        <f>IF($A$37="","",$A$37)</f>
        <v/>
      </c>
      <c r="B14" s="234">
        <f t="shared" si="5"/>
        <v>0</v>
      </c>
      <c r="C14" s="234">
        <f t="shared" si="5"/>
        <v>0</v>
      </c>
      <c r="D14" s="234">
        <f t="shared" si="5"/>
        <v>0</v>
      </c>
      <c r="E14" s="235">
        <f t="shared" si="5"/>
        <v>0</v>
      </c>
      <c r="F14" s="235">
        <f t="shared" si="5"/>
        <v>0</v>
      </c>
      <c r="G14" s="236">
        <f t="shared" si="1"/>
        <v>0</v>
      </c>
      <c r="H14" s="234">
        <f t="shared" si="2"/>
        <v>0</v>
      </c>
      <c r="I14" s="234">
        <f t="shared" si="2"/>
        <v>0</v>
      </c>
      <c r="J14" s="235">
        <f t="shared" si="2"/>
        <v>0</v>
      </c>
      <c r="K14" s="234">
        <f t="shared" si="2"/>
        <v>0</v>
      </c>
      <c r="L14" s="235">
        <f t="shared" si="2"/>
        <v>0</v>
      </c>
      <c r="M14" s="235">
        <f t="shared" si="2"/>
        <v>0</v>
      </c>
      <c r="N14" s="235">
        <f t="shared" si="2"/>
        <v>0</v>
      </c>
      <c r="O14" s="235">
        <f t="shared" si="2"/>
        <v>0</v>
      </c>
      <c r="P14" s="235">
        <f t="shared" si="2"/>
        <v>0</v>
      </c>
      <c r="Q14" s="249">
        <f t="shared" si="6"/>
        <v>0</v>
      </c>
      <c r="R14" s="249">
        <f t="shared" si="6"/>
        <v>0</v>
      </c>
      <c r="S14" s="249">
        <f t="shared" si="6"/>
        <v>0</v>
      </c>
      <c r="T14" s="249">
        <f t="shared" si="6"/>
        <v>0</v>
      </c>
      <c r="U14" s="238">
        <f t="shared" si="4"/>
        <v>0</v>
      </c>
      <c r="V14" s="238">
        <f t="shared" si="4"/>
        <v>0</v>
      </c>
    </row>
    <row r="15" spans="1:22" hidden="1">
      <c r="A15" s="233" t="str">
        <f>IF($A$38="","",$A$38)</f>
        <v/>
      </c>
      <c r="B15" s="234">
        <f t="shared" si="5"/>
        <v>0</v>
      </c>
      <c r="C15" s="234">
        <f t="shared" si="5"/>
        <v>0</v>
      </c>
      <c r="D15" s="234">
        <f t="shared" si="5"/>
        <v>0</v>
      </c>
      <c r="E15" s="235">
        <f t="shared" si="5"/>
        <v>0</v>
      </c>
      <c r="F15" s="235">
        <f t="shared" si="5"/>
        <v>0</v>
      </c>
      <c r="G15" s="236">
        <f t="shared" si="1"/>
        <v>0</v>
      </c>
      <c r="H15" s="234">
        <f t="shared" si="2"/>
        <v>0</v>
      </c>
      <c r="I15" s="234">
        <f t="shared" si="2"/>
        <v>0</v>
      </c>
      <c r="J15" s="235">
        <f t="shared" si="2"/>
        <v>0</v>
      </c>
      <c r="K15" s="234">
        <f t="shared" si="2"/>
        <v>0</v>
      </c>
      <c r="L15" s="235">
        <f t="shared" si="2"/>
        <v>0</v>
      </c>
      <c r="M15" s="235">
        <f t="shared" si="2"/>
        <v>0</v>
      </c>
      <c r="N15" s="235">
        <f t="shared" si="2"/>
        <v>0</v>
      </c>
      <c r="O15" s="235">
        <f t="shared" si="2"/>
        <v>0</v>
      </c>
      <c r="P15" s="235">
        <f t="shared" si="2"/>
        <v>0</v>
      </c>
      <c r="Q15" s="249">
        <f t="shared" si="6"/>
        <v>0</v>
      </c>
      <c r="R15" s="249">
        <f t="shared" si="6"/>
        <v>0</v>
      </c>
      <c r="S15" s="249">
        <f t="shared" si="6"/>
        <v>0</v>
      </c>
      <c r="T15" s="249">
        <f t="shared" si="6"/>
        <v>0</v>
      </c>
      <c r="U15" s="238">
        <f t="shared" si="4"/>
        <v>0</v>
      </c>
      <c r="V15" s="238">
        <f t="shared" si="4"/>
        <v>0</v>
      </c>
    </row>
    <row r="16" spans="1:22">
      <c r="A16" s="237" t="s">
        <v>522</v>
      </c>
      <c r="B16" s="238">
        <f t="shared" ref="B16:V16" si="7">+SUM(B4:B15)</f>
        <v>1.0023196000000001</v>
      </c>
      <c r="C16" s="238">
        <f t="shared" si="7"/>
        <v>3.5574800000000004E-2</v>
      </c>
      <c r="D16" s="238">
        <f t="shared" si="7"/>
        <v>3.3034800000000003E-2</v>
      </c>
      <c r="E16" s="238">
        <f t="shared" ref="E16:F16" si="8">+SUM(E4:E15)</f>
        <v>8.6052000000000003E-3</v>
      </c>
      <c r="F16" s="238">
        <f t="shared" si="8"/>
        <v>1.0613945999999999</v>
      </c>
      <c r="G16" s="238">
        <f t="shared" si="7"/>
        <v>0.35697639999999997</v>
      </c>
      <c r="H16" s="238">
        <f t="shared" si="7"/>
        <v>2.3584800000000001</v>
      </c>
      <c r="I16" s="238">
        <f t="shared" si="7"/>
        <v>2.3579101999999996</v>
      </c>
      <c r="J16" s="238">
        <f t="shared" ref="J16:P16" si="9">+SUM(J4:J15)</f>
        <v>0</v>
      </c>
      <c r="K16" s="238">
        <f t="shared" si="9"/>
        <v>0</v>
      </c>
      <c r="L16" s="238">
        <f t="shared" si="9"/>
        <v>0</v>
      </c>
      <c r="M16" s="238">
        <f t="shared" si="9"/>
        <v>0</v>
      </c>
      <c r="N16" s="238">
        <f t="shared" si="9"/>
        <v>0</v>
      </c>
      <c r="O16" s="238">
        <f t="shared" si="9"/>
        <v>0</v>
      </c>
      <c r="P16" s="238">
        <f t="shared" si="9"/>
        <v>5.6979999999992907E-4</v>
      </c>
      <c r="Q16" s="245">
        <f t="shared" si="7"/>
        <v>0</v>
      </c>
      <c r="R16" s="245">
        <f t="shared" si="7"/>
        <v>0</v>
      </c>
      <c r="S16" s="245">
        <f t="shared" si="7"/>
        <v>0</v>
      </c>
      <c r="T16" s="245">
        <f t="shared" si="7"/>
        <v>0</v>
      </c>
      <c r="U16" s="238">
        <f t="shared" si="7"/>
        <v>2.3584800000000001</v>
      </c>
      <c r="V16" s="238">
        <f t="shared" si="7"/>
        <v>2.3579101999999996</v>
      </c>
    </row>
    <row r="17" spans="1:22">
      <c r="A17" s="237" t="s">
        <v>523</v>
      </c>
      <c r="B17" s="238">
        <f>IFERROR(B16/(COUNTA(A4:A15)-COUNTIF(A4:A15,"")),0)</f>
        <v>0.16705326666666667</v>
      </c>
      <c r="C17" s="238">
        <f>IFERROR(C16/(COUNTA(A4:A15)-COUNTIF(A4:A15,"")),0)</f>
        <v>5.9291333333333337E-3</v>
      </c>
      <c r="D17" s="238">
        <f>IFERROR(D16/(COUNTA(A4:A15)-COUNTIF(A4:A15,"")),0)</f>
        <v>5.5058000000000008E-3</v>
      </c>
      <c r="E17" s="238">
        <f>IFERROR(E16/(COUNTA(A4:A15)-COUNTIF(A4:A15,"")),0)</f>
        <v>1.4342000000000001E-3</v>
      </c>
      <c r="F17" s="238">
        <f>IFERROR(F16/(COUNTA(A4:A15)-COUNTIF(A4:A15,"")),0)</f>
        <v>0.17689909999999998</v>
      </c>
      <c r="G17" s="238">
        <f>IFERROR(G16/(COUNTA(A4:A15)-COUNTIF(A4:A15,"")),0)</f>
        <v>5.949606666666666E-2</v>
      </c>
      <c r="H17" s="238">
        <f>IFERROR(H16/(COUNTA(A4:A15)-COUNTIF(A4:A15,"")),0)</f>
        <v>0.39308000000000004</v>
      </c>
      <c r="I17" s="238">
        <f>IFERROR(I16/(COUNTA(A4:A15)-COUNTIF(A4:A15,"")),0)</f>
        <v>0.39298503333333329</v>
      </c>
      <c r="J17" s="238">
        <f>IFERROR(J16/(COUNTA(A4:A15)-COUNTIF(A4:A15,"")),0)</f>
        <v>0</v>
      </c>
      <c r="K17" s="238">
        <f>IFERROR(K16/(COUNTA(A4:A15)-COUNTIF(A4:A15,"")),0)</f>
        <v>0</v>
      </c>
      <c r="L17" s="238">
        <f>IFERROR(L16/(COUNTA(A4:A15)-COUNTIF(A4:A15,"")),0)</f>
        <v>0</v>
      </c>
      <c r="M17" s="238">
        <f>IFERROR(M16/(COUNTA(A4:A15)-COUNTIF(A4:A15,"")),0)</f>
        <v>0</v>
      </c>
      <c r="N17" s="238">
        <f>IFERROR(N16/(COUNTA(A4:A15)-COUNTIF(A4:A15,"")),0)</f>
        <v>0</v>
      </c>
      <c r="O17" s="238">
        <f>IFERROR(O16/(COUNTA(A4:A15)-COUNTIF(A4:A15,"")),0)</f>
        <v>0</v>
      </c>
      <c r="P17" s="238">
        <f>IFERROR(P16/(COUNTA(A4:A15)-COUNTIF(A4:A15,"")),0)</f>
        <v>9.4966666666654849E-5</v>
      </c>
      <c r="Q17" s="250"/>
      <c r="R17" s="250"/>
      <c r="S17" s="238">
        <f>IFERROR(R16/S16*100,0)</f>
        <v>0</v>
      </c>
      <c r="T17" s="238">
        <f>IFERROR(Q16/T16*100,0)</f>
        <v>0</v>
      </c>
      <c r="U17" s="238">
        <f>IFERROR(U16/(COUNTA(A4:A15)-COUNTIF(A4:A15,"")),0)</f>
        <v>0.39308000000000004</v>
      </c>
      <c r="V17" s="238">
        <f>IFERROR(V16/(COUNTA(A4:A15)-COUNTIF(A4:A15,"")),0)</f>
        <v>0.39298503333333329</v>
      </c>
    </row>
    <row r="18" spans="1:22" ht="38.25">
      <c r="A18" s="237" t="s">
        <v>524</v>
      </c>
      <c r="B18" s="238">
        <f>IFERROR((B41+B64+B87+B110+B133+B156+B179+B202+B225+B248+B271+B294+B317+B340+B363+B386+B409+B432+B455+B478)/100000,0)</f>
        <v>0.16705326666666664</v>
      </c>
      <c r="C18" s="238">
        <f t="shared" ref="C18:G18" si="10">IFERROR((C41+C64+C87+C110+C133+C156+C179+C202+C225+C248+C271+C294+C317+C340+C363+C386+C409+C432+C455+C478)/100000,0)</f>
        <v>5.9291333333333328E-3</v>
      </c>
      <c r="D18" s="238">
        <f t="shared" si="10"/>
        <v>5.5057999999999991E-3</v>
      </c>
      <c r="E18" s="238"/>
      <c r="F18" s="238"/>
      <c r="G18" s="238">
        <f t="shared" si="10"/>
        <v>5.9496066666666694E-2</v>
      </c>
      <c r="H18" s="238"/>
      <c r="I18" s="238"/>
      <c r="J18" s="238"/>
      <c r="K18" s="238"/>
      <c r="L18" s="238"/>
      <c r="M18" s="238"/>
      <c r="N18" s="238"/>
      <c r="O18" s="238"/>
      <c r="P18" s="238"/>
      <c r="Q18" s="250"/>
      <c r="R18" s="250"/>
      <c r="S18" s="251" t="s">
        <v>525</v>
      </c>
      <c r="T18" s="251" t="s">
        <v>526</v>
      </c>
      <c r="U18" s="251"/>
      <c r="V18" s="251"/>
    </row>
    <row r="19" spans="1:22"/>
    <row r="20" spans="1:22"/>
    <row r="21" spans="1:22"/>
    <row r="22" spans="1:22">
      <c r="A22" s="413" t="s">
        <v>502</v>
      </c>
      <c r="B22" s="413"/>
      <c r="C22" s="418" t="s">
        <v>16</v>
      </c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20"/>
      <c r="U22" s="239"/>
      <c r="V22" s="239"/>
    </row>
    <row r="23" spans="1:22">
      <c r="A23" s="413" t="s">
        <v>527</v>
      </c>
      <c r="B23" s="413"/>
      <c r="C23" s="421" t="s">
        <v>2037</v>
      </c>
      <c r="D23" s="421"/>
      <c r="E23" s="421"/>
      <c r="F23" s="421"/>
      <c r="G23" s="421"/>
      <c r="H23" s="422" t="s">
        <v>528</v>
      </c>
      <c r="I23" s="422"/>
      <c r="J23" s="421"/>
      <c r="K23" s="421"/>
      <c r="L23" s="421"/>
      <c r="M23" s="421"/>
      <c r="N23" s="421"/>
      <c r="O23" s="421"/>
      <c r="P23" s="421"/>
      <c r="Q23" s="421"/>
      <c r="R23" s="421"/>
      <c r="S23" s="421"/>
      <c r="T23" s="421"/>
      <c r="U23" s="239"/>
      <c r="V23" s="239"/>
    </row>
    <row r="24" spans="1:22" ht="25.5">
      <c r="A24" s="413" t="s">
        <v>529</v>
      </c>
      <c r="B24" s="413"/>
      <c r="C24" s="418" t="s">
        <v>2030</v>
      </c>
      <c r="D24" s="420"/>
      <c r="E24" s="241" t="s">
        <v>530</v>
      </c>
      <c r="F24" s="423" t="s">
        <v>2038</v>
      </c>
      <c r="G24" s="424"/>
      <c r="H24" s="424"/>
      <c r="I24" s="425"/>
      <c r="J24" s="241" t="s">
        <v>531</v>
      </c>
      <c r="K24" s="423"/>
      <c r="L24" s="424"/>
      <c r="M24" s="425"/>
      <c r="N24" s="240" t="s">
        <v>532</v>
      </c>
      <c r="O24" s="426"/>
      <c r="P24" s="427"/>
      <c r="Q24" s="427"/>
      <c r="R24" s="427"/>
      <c r="S24" s="427"/>
      <c r="T24" s="428"/>
      <c r="U24" s="252"/>
      <c r="V24" s="252"/>
    </row>
    <row r="25" spans="1:22" ht="51">
      <c r="A25" s="231" t="s">
        <v>163</v>
      </c>
      <c r="B25" s="415" t="s">
        <v>533</v>
      </c>
      <c r="C25" s="415"/>
      <c r="D25" s="415"/>
      <c r="E25" s="232" t="s">
        <v>534</v>
      </c>
      <c r="F25" s="232" t="s">
        <v>535</v>
      </c>
      <c r="G25" s="231" t="s">
        <v>536</v>
      </c>
      <c r="H25" s="231" t="s">
        <v>537</v>
      </c>
      <c r="I25" s="231" t="s">
        <v>538</v>
      </c>
      <c r="J25" s="232" t="s">
        <v>539</v>
      </c>
      <c r="K25" s="232" t="s">
        <v>540</v>
      </c>
      <c r="L25" s="416" t="s">
        <v>541</v>
      </c>
      <c r="M25" s="417"/>
      <c r="N25" s="416" t="s">
        <v>542</v>
      </c>
      <c r="O25" s="417"/>
      <c r="P25" s="231" t="s">
        <v>543</v>
      </c>
      <c r="Q25" s="231" t="s">
        <v>514</v>
      </c>
      <c r="R25" s="231" t="s">
        <v>515</v>
      </c>
      <c r="S25" s="231" t="s">
        <v>516</v>
      </c>
      <c r="T25" s="231" t="s">
        <v>517</v>
      </c>
      <c r="U25" s="231" t="s">
        <v>544</v>
      </c>
      <c r="V25" s="231" t="s">
        <v>545</v>
      </c>
    </row>
    <row r="26" spans="1:22">
      <c r="A26" s="231"/>
      <c r="B26" s="231">
        <v>10</v>
      </c>
      <c r="C26" s="231">
        <v>20</v>
      </c>
      <c r="D26" s="231">
        <v>30</v>
      </c>
      <c r="E26" s="231"/>
      <c r="F26" s="231"/>
      <c r="G26" s="231"/>
      <c r="H26" s="231"/>
      <c r="I26" s="231"/>
      <c r="J26" s="231"/>
      <c r="K26" s="231"/>
      <c r="L26" s="231" t="s">
        <v>520</v>
      </c>
      <c r="M26" s="231" t="s">
        <v>521</v>
      </c>
      <c r="N26" s="231" t="s">
        <v>520</v>
      </c>
      <c r="O26" s="231" t="s">
        <v>521</v>
      </c>
      <c r="P26" s="231"/>
      <c r="Q26" s="231"/>
      <c r="R26" s="231"/>
      <c r="S26" s="231"/>
      <c r="T26" s="231"/>
      <c r="U26" s="231"/>
      <c r="V26" s="231"/>
    </row>
    <row r="27" spans="1:22">
      <c r="A27" s="242">
        <v>45139</v>
      </c>
      <c r="B27" s="543">
        <v>0</v>
      </c>
      <c r="C27" s="543">
        <v>0</v>
      </c>
      <c r="D27" s="543">
        <v>0</v>
      </c>
      <c r="E27" s="542">
        <v>0</v>
      </c>
      <c r="F27" s="542">
        <v>0</v>
      </c>
      <c r="G27" s="244">
        <f>IFERROR(AVERAGE(B27:D27),0)</f>
        <v>0</v>
      </c>
      <c r="H27" s="542">
        <v>650</v>
      </c>
      <c r="I27" s="542">
        <v>650</v>
      </c>
      <c r="J27" s="243"/>
      <c r="K27" s="243"/>
      <c r="L27" s="243"/>
      <c r="M27" s="243"/>
      <c r="N27" s="243"/>
      <c r="O27" s="243"/>
      <c r="P27" s="247">
        <f>+H27-I27-J27-M27+L27</f>
        <v>0</v>
      </c>
      <c r="Q27" s="253"/>
      <c r="R27" s="253"/>
      <c r="S27" s="253"/>
      <c r="T27" s="253"/>
      <c r="U27" s="245">
        <f>H27-J27-M27</f>
        <v>650</v>
      </c>
      <c r="V27" s="245">
        <f>I27-L27</f>
        <v>650</v>
      </c>
    </row>
    <row r="28" spans="1:22">
      <c r="A28" s="242">
        <v>45170</v>
      </c>
      <c r="B28" s="543">
        <v>97999.96</v>
      </c>
      <c r="C28" s="543">
        <v>1499.96</v>
      </c>
      <c r="D28" s="543">
        <v>2299.96</v>
      </c>
      <c r="E28" s="542">
        <v>0</v>
      </c>
      <c r="F28" s="542">
        <v>101499.96</v>
      </c>
      <c r="G28" s="244">
        <f t="shared" ref="G28:G38" si="11">IFERROR(AVERAGE(B28:D28),0)</f>
        <v>33933.293333333342</v>
      </c>
      <c r="H28" s="542">
        <v>204300</v>
      </c>
      <c r="I28" s="542">
        <v>202000.04</v>
      </c>
      <c r="J28" s="243"/>
      <c r="K28" s="243"/>
      <c r="L28" s="243"/>
      <c r="M28" s="243"/>
      <c r="N28" s="243"/>
      <c r="O28" s="243"/>
      <c r="P28" s="247">
        <f t="shared" ref="P28:P38" si="12">+H28-I28-J28-M28+L28</f>
        <v>2299.9599999999919</v>
      </c>
      <c r="Q28" s="253"/>
      <c r="R28" s="253"/>
      <c r="S28" s="253"/>
      <c r="T28" s="253"/>
      <c r="U28" s="245">
        <f t="shared" ref="U28:U38" si="13">H28-J28-M28</f>
        <v>204300</v>
      </c>
      <c r="V28" s="245">
        <f t="shared" ref="V28:V38" si="14">I28-L28</f>
        <v>202000.04</v>
      </c>
    </row>
    <row r="29" spans="1:22">
      <c r="A29" s="242">
        <v>45200</v>
      </c>
      <c r="B29" s="543">
        <v>1499.96</v>
      </c>
      <c r="C29" s="543">
        <v>1343.18</v>
      </c>
      <c r="D29" s="543">
        <v>800.18</v>
      </c>
      <c r="E29" s="542">
        <v>700.18</v>
      </c>
      <c r="F29" s="542">
        <v>2299.96</v>
      </c>
      <c r="G29" s="244">
        <f t="shared" si="11"/>
        <v>1214.44</v>
      </c>
      <c r="H29" s="542">
        <v>27700</v>
      </c>
      <c r="I29" s="542">
        <v>29299.78</v>
      </c>
      <c r="J29" s="243"/>
      <c r="K29" s="243"/>
      <c r="L29" s="243"/>
      <c r="M29" s="243"/>
      <c r="N29" s="243"/>
      <c r="O29" s="243"/>
      <c r="P29" s="247">
        <f t="shared" si="12"/>
        <v>-1599.7799999999988</v>
      </c>
      <c r="Q29" s="253"/>
      <c r="R29" s="253"/>
      <c r="S29" s="253"/>
      <c r="T29" s="253"/>
      <c r="U29" s="245">
        <f t="shared" si="13"/>
        <v>27700</v>
      </c>
      <c r="V29" s="245">
        <f t="shared" si="14"/>
        <v>29299.78</v>
      </c>
    </row>
    <row r="30" spans="1:22">
      <c r="A30" s="242">
        <v>45231</v>
      </c>
      <c r="B30" s="543">
        <v>87.68</v>
      </c>
      <c r="C30" s="543">
        <v>87.68</v>
      </c>
      <c r="D30" s="543">
        <v>76.680000000000007</v>
      </c>
      <c r="E30" s="542">
        <v>76.680000000000007</v>
      </c>
      <c r="F30" s="542">
        <v>1200.18</v>
      </c>
      <c r="G30" s="244">
        <f t="shared" si="11"/>
        <v>84.013333333333335</v>
      </c>
      <c r="H30" s="542">
        <v>1000</v>
      </c>
      <c r="I30" s="542">
        <v>1623.5</v>
      </c>
      <c r="J30" s="243"/>
      <c r="K30" s="243"/>
      <c r="L30" s="243"/>
      <c r="M30" s="243"/>
      <c r="N30" s="243"/>
      <c r="O30" s="243"/>
      <c r="P30" s="247">
        <f t="shared" si="12"/>
        <v>-623.5</v>
      </c>
      <c r="Q30" s="253"/>
      <c r="R30" s="253"/>
      <c r="S30" s="253"/>
      <c r="T30" s="253"/>
      <c r="U30" s="245">
        <f t="shared" si="13"/>
        <v>1000</v>
      </c>
      <c r="V30" s="245">
        <f t="shared" si="14"/>
        <v>1623.5</v>
      </c>
    </row>
    <row r="31" spans="1:22">
      <c r="A31" s="242">
        <v>45261</v>
      </c>
      <c r="B31" s="543">
        <v>569.67999999999995</v>
      </c>
      <c r="C31" s="543">
        <v>569.67999999999995</v>
      </c>
      <c r="D31" s="543">
        <v>69.680000000000007</v>
      </c>
      <c r="E31" s="542">
        <v>26.68</v>
      </c>
      <c r="F31" s="542">
        <v>569.67999999999995</v>
      </c>
      <c r="G31" s="244">
        <f t="shared" si="11"/>
        <v>403.01333333333332</v>
      </c>
      <c r="H31" s="542">
        <v>1698</v>
      </c>
      <c r="I31" s="542">
        <v>1705</v>
      </c>
      <c r="J31" s="243"/>
      <c r="K31" s="243"/>
      <c r="L31" s="243"/>
      <c r="M31" s="243"/>
      <c r="N31" s="243"/>
      <c r="O31" s="243"/>
      <c r="P31" s="247">
        <f t="shared" si="12"/>
        <v>-7</v>
      </c>
      <c r="Q31" s="253"/>
      <c r="R31" s="253"/>
      <c r="S31" s="253"/>
      <c r="T31" s="253"/>
      <c r="U31" s="245">
        <f t="shared" si="13"/>
        <v>1698</v>
      </c>
      <c r="V31" s="245">
        <f t="shared" si="14"/>
        <v>1705</v>
      </c>
    </row>
    <row r="32" spans="1:22">
      <c r="A32" s="242">
        <v>45292</v>
      </c>
      <c r="B32" s="543">
        <v>74.680000000000007</v>
      </c>
      <c r="C32" s="543">
        <v>56.98</v>
      </c>
      <c r="D32" s="543">
        <v>56.98</v>
      </c>
      <c r="E32" s="542">
        <v>56.98</v>
      </c>
      <c r="F32" s="542">
        <v>569.67999999999995</v>
      </c>
      <c r="G32" s="244">
        <f t="shared" si="11"/>
        <v>62.879999999999995</v>
      </c>
      <c r="H32" s="542">
        <v>500</v>
      </c>
      <c r="I32" s="542">
        <v>512.70000000000005</v>
      </c>
      <c r="J32" s="243"/>
      <c r="K32" s="243"/>
      <c r="L32" s="243"/>
      <c r="M32" s="243"/>
      <c r="N32" s="243"/>
      <c r="O32" s="243"/>
      <c r="P32" s="247">
        <f t="shared" si="12"/>
        <v>-12.700000000000045</v>
      </c>
      <c r="Q32" s="253"/>
      <c r="R32" s="253"/>
      <c r="S32" s="253"/>
      <c r="T32" s="253"/>
      <c r="U32" s="245">
        <f t="shared" si="13"/>
        <v>500</v>
      </c>
      <c r="V32" s="245">
        <f t="shared" si="14"/>
        <v>512.70000000000005</v>
      </c>
    </row>
    <row r="33" spans="1:22" hidden="1">
      <c r="A33" s="242"/>
      <c r="B33" s="243"/>
      <c r="C33" s="243"/>
      <c r="D33" s="243"/>
      <c r="E33" s="243"/>
      <c r="F33" s="243"/>
      <c r="G33" s="244">
        <f t="shared" si="11"/>
        <v>0</v>
      </c>
      <c r="H33" s="243"/>
      <c r="I33" s="243"/>
      <c r="J33" s="243"/>
      <c r="K33" s="243"/>
      <c r="L33" s="243"/>
      <c r="M33" s="243"/>
      <c r="N33" s="243"/>
      <c r="O33" s="243"/>
      <c r="P33" s="247">
        <f t="shared" si="12"/>
        <v>0</v>
      </c>
      <c r="Q33" s="253"/>
      <c r="R33" s="253"/>
      <c r="S33" s="253"/>
      <c r="T33" s="253"/>
      <c r="U33" s="245">
        <f t="shared" si="13"/>
        <v>0</v>
      </c>
      <c r="V33" s="245">
        <f t="shared" si="14"/>
        <v>0</v>
      </c>
    </row>
    <row r="34" spans="1:22" hidden="1">
      <c r="A34" s="242"/>
      <c r="B34" s="243"/>
      <c r="C34" s="243"/>
      <c r="D34" s="243"/>
      <c r="E34" s="243"/>
      <c r="F34" s="243"/>
      <c r="G34" s="244">
        <f t="shared" si="11"/>
        <v>0</v>
      </c>
      <c r="H34" s="243"/>
      <c r="I34" s="243"/>
      <c r="J34" s="243"/>
      <c r="K34" s="243"/>
      <c r="L34" s="243"/>
      <c r="M34" s="243"/>
      <c r="N34" s="243"/>
      <c r="O34" s="243"/>
      <c r="P34" s="247">
        <f t="shared" si="12"/>
        <v>0</v>
      </c>
      <c r="Q34" s="253"/>
      <c r="R34" s="253"/>
      <c r="S34" s="253"/>
      <c r="T34" s="253"/>
      <c r="U34" s="245">
        <f t="shared" si="13"/>
        <v>0</v>
      </c>
      <c r="V34" s="245">
        <f t="shared" si="14"/>
        <v>0</v>
      </c>
    </row>
    <row r="35" spans="1:22" hidden="1">
      <c r="A35" s="242"/>
      <c r="B35" s="243"/>
      <c r="C35" s="243"/>
      <c r="D35" s="243"/>
      <c r="E35" s="243"/>
      <c r="F35" s="243"/>
      <c r="G35" s="244">
        <f t="shared" si="11"/>
        <v>0</v>
      </c>
      <c r="H35" s="243"/>
      <c r="I35" s="243"/>
      <c r="J35" s="243"/>
      <c r="K35" s="243"/>
      <c r="L35" s="243"/>
      <c r="M35" s="243"/>
      <c r="N35" s="243"/>
      <c r="O35" s="243"/>
      <c r="P35" s="247">
        <f t="shared" si="12"/>
        <v>0</v>
      </c>
      <c r="Q35" s="253"/>
      <c r="R35" s="253"/>
      <c r="S35" s="253"/>
      <c r="T35" s="253"/>
      <c r="U35" s="245">
        <f t="shared" si="13"/>
        <v>0</v>
      </c>
      <c r="V35" s="245">
        <f t="shared" si="14"/>
        <v>0</v>
      </c>
    </row>
    <row r="36" spans="1:22" hidden="1">
      <c r="A36" s="242"/>
      <c r="B36" s="243"/>
      <c r="C36" s="243"/>
      <c r="D36" s="243"/>
      <c r="E36" s="243"/>
      <c r="F36" s="243"/>
      <c r="G36" s="244">
        <f t="shared" si="11"/>
        <v>0</v>
      </c>
      <c r="H36" s="243"/>
      <c r="I36" s="243"/>
      <c r="J36" s="243"/>
      <c r="K36" s="243"/>
      <c r="L36" s="243"/>
      <c r="M36" s="243"/>
      <c r="N36" s="243"/>
      <c r="O36" s="243"/>
      <c r="P36" s="247">
        <f t="shared" si="12"/>
        <v>0</v>
      </c>
      <c r="Q36" s="253"/>
      <c r="R36" s="253"/>
      <c r="S36" s="253"/>
      <c r="T36" s="253"/>
      <c r="U36" s="245">
        <f t="shared" si="13"/>
        <v>0</v>
      </c>
      <c r="V36" s="245">
        <f t="shared" si="14"/>
        <v>0</v>
      </c>
    </row>
    <row r="37" spans="1:22" hidden="1">
      <c r="A37" s="242"/>
      <c r="B37" s="243"/>
      <c r="C37" s="243"/>
      <c r="D37" s="243"/>
      <c r="E37" s="243"/>
      <c r="F37" s="243"/>
      <c r="G37" s="244">
        <f t="shared" si="11"/>
        <v>0</v>
      </c>
      <c r="H37" s="243"/>
      <c r="I37" s="243"/>
      <c r="J37" s="243"/>
      <c r="K37" s="243"/>
      <c r="L37" s="243"/>
      <c r="M37" s="243"/>
      <c r="N37" s="243"/>
      <c r="O37" s="243"/>
      <c r="P37" s="247">
        <f t="shared" si="12"/>
        <v>0</v>
      </c>
      <c r="Q37" s="253"/>
      <c r="R37" s="253"/>
      <c r="S37" s="253"/>
      <c r="T37" s="253"/>
      <c r="U37" s="245">
        <f t="shared" si="13"/>
        <v>0</v>
      </c>
      <c r="V37" s="245">
        <f t="shared" si="14"/>
        <v>0</v>
      </c>
    </row>
    <row r="38" spans="1:22" hidden="1">
      <c r="A38" s="242"/>
      <c r="B38" s="243"/>
      <c r="C38" s="243"/>
      <c r="D38" s="243"/>
      <c r="E38" s="243"/>
      <c r="F38" s="243"/>
      <c r="G38" s="244">
        <f t="shared" si="11"/>
        <v>0</v>
      </c>
      <c r="H38" s="243"/>
      <c r="I38" s="243"/>
      <c r="J38" s="243"/>
      <c r="K38" s="243"/>
      <c r="L38" s="243"/>
      <c r="M38" s="243"/>
      <c r="N38" s="243"/>
      <c r="O38" s="243"/>
      <c r="P38" s="247">
        <f t="shared" si="12"/>
        <v>0</v>
      </c>
      <c r="Q38" s="253"/>
      <c r="R38" s="253"/>
      <c r="S38" s="253"/>
      <c r="T38" s="253"/>
      <c r="U38" s="245">
        <f t="shared" si="13"/>
        <v>0</v>
      </c>
      <c r="V38" s="245">
        <f t="shared" si="14"/>
        <v>0</v>
      </c>
    </row>
    <row r="39" spans="1:22">
      <c r="A39" s="237" t="s">
        <v>522</v>
      </c>
      <c r="B39" s="245">
        <f t="shared" ref="B39:T39" si="15">+SUM(B27:B38)</f>
        <v>100231.95999999999</v>
      </c>
      <c r="C39" s="245">
        <f t="shared" si="15"/>
        <v>3557.48</v>
      </c>
      <c r="D39" s="245">
        <f t="shared" si="15"/>
        <v>3303.4799999999996</v>
      </c>
      <c r="E39" s="245">
        <f t="shared" ref="E39:F39" si="16">+SUM(E27:E38)</f>
        <v>860.51999999999987</v>
      </c>
      <c r="F39" s="245">
        <f t="shared" si="16"/>
        <v>106139.45999999999</v>
      </c>
      <c r="G39" s="245">
        <f t="shared" si="15"/>
        <v>35697.640000000014</v>
      </c>
      <c r="H39" s="245">
        <f t="shared" si="15"/>
        <v>235848</v>
      </c>
      <c r="I39" s="245">
        <f t="shared" si="15"/>
        <v>235791.02000000002</v>
      </c>
      <c r="J39" s="245">
        <f t="shared" ref="J39:O39" si="17">+SUM(J27:J38)</f>
        <v>0</v>
      </c>
      <c r="K39" s="245">
        <f t="shared" si="17"/>
        <v>0</v>
      </c>
      <c r="L39" s="245">
        <f t="shared" si="17"/>
        <v>0</v>
      </c>
      <c r="M39" s="245">
        <f t="shared" si="17"/>
        <v>0</v>
      </c>
      <c r="N39" s="245">
        <f t="shared" si="17"/>
        <v>0</v>
      </c>
      <c r="O39" s="245">
        <f t="shared" si="17"/>
        <v>0</v>
      </c>
      <c r="P39" s="245">
        <f t="shared" si="15"/>
        <v>56.97999999999297</v>
      </c>
      <c r="Q39" s="245">
        <f t="shared" si="15"/>
        <v>0</v>
      </c>
      <c r="R39" s="245">
        <f t="shared" si="15"/>
        <v>0</v>
      </c>
      <c r="S39" s="245">
        <f t="shared" si="15"/>
        <v>0</v>
      </c>
      <c r="T39" s="245">
        <f t="shared" si="15"/>
        <v>0</v>
      </c>
      <c r="U39" s="245">
        <f t="shared" ref="U39:V39" si="18">+SUM(U27:U38)</f>
        <v>235848</v>
      </c>
      <c r="V39" s="245">
        <f t="shared" si="18"/>
        <v>235791.02000000002</v>
      </c>
    </row>
    <row r="40" spans="1:22">
      <c r="A40" s="237" t="s">
        <v>523</v>
      </c>
      <c r="B40" s="245">
        <f>IFERROR(B39/(12-COUNTIF(A27:A38,"")),0)</f>
        <v>16705.326666666664</v>
      </c>
      <c r="C40" s="245">
        <f>IFERROR(C39/(12-COUNTIF(A27:A38,"")),0)</f>
        <v>592.9133333333333</v>
      </c>
      <c r="D40" s="245">
        <f>IFERROR(D39/(12-COUNTIF(A27:A38,"")),0)</f>
        <v>550.57999999999993</v>
      </c>
      <c r="E40" s="245">
        <f>IFERROR(E39/(12-COUNTIF(A27:A38,"")),0)</f>
        <v>143.41999999999999</v>
      </c>
      <c r="F40" s="245">
        <f>IFERROR(F39/(12-COUNTIF(A27:A38,"")),0)</f>
        <v>17689.91</v>
      </c>
      <c r="G40" s="245">
        <f>IFERROR(G39/(12-COUNTIF(A27:A38,"")),0)</f>
        <v>5949.6066666666693</v>
      </c>
      <c r="H40" s="245">
        <f>IFERROR(H39/(12-COUNTIF(A27:A38,"")),0)</f>
        <v>39308</v>
      </c>
      <c r="I40" s="245">
        <f>IFERROR(I39/(12-COUNTIF(A27:A38,"")),0)</f>
        <v>39298.503333333334</v>
      </c>
      <c r="J40" s="238">
        <f>IFERROR(J39/(12-COUNTIF(A27:A38,"")),0)</f>
        <v>0</v>
      </c>
      <c r="K40" s="245">
        <f>IFERROR(K39/(12-COUNTIF(A27:A38,"")),0)</f>
        <v>0</v>
      </c>
      <c r="L40" s="245">
        <f>IFERROR(L39/(12-COUNTIF(A27:A38,"")),0)</f>
        <v>0</v>
      </c>
      <c r="M40" s="245">
        <f>IFERROR(M39/(12-COUNTIF(A27:A38,"")),0)</f>
        <v>0</v>
      </c>
      <c r="N40" s="245">
        <f>IFERROR(N39/(12-COUNTIF(A27:A38,"")),0)</f>
        <v>0</v>
      </c>
      <c r="O40" s="245">
        <f>IFERROR(O39/(12-COUNTIF(A27:A38,"")),0)</f>
        <v>0</v>
      </c>
      <c r="P40" s="245">
        <f>IFERROR(P39/(12-COUNTIF(A27:A38,"")),0)</f>
        <v>9.4966666666654955</v>
      </c>
      <c r="Q40" s="250"/>
      <c r="R40" s="250"/>
      <c r="S40" s="238">
        <f>IFERROR(R39/S39*100,0)</f>
        <v>0</v>
      </c>
      <c r="T40" s="238">
        <f>IFERROR(Q39/T39*100,0)</f>
        <v>0</v>
      </c>
      <c r="U40" s="245">
        <f>IFERROR(U39/(12-COUNTIF(A27:A38,"")),0)</f>
        <v>39308</v>
      </c>
      <c r="V40" s="245">
        <f>IFERROR(V39/(12-COUNTIF(A27:A38,"")),0)</f>
        <v>39298.503333333334</v>
      </c>
    </row>
    <row r="41" spans="1:22" ht="38.25">
      <c r="A41" s="237" t="s">
        <v>524</v>
      </c>
      <c r="B41" s="245">
        <f>O24+B40</f>
        <v>16705.326666666664</v>
      </c>
      <c r="C41" s="245">
        <f>O24+C40</f>
        <v>592.9133333333333</v>
      </c>
      <c r="D41" s="245">
        <f>O24+D40</f>
        <v>550.57999999999993</v>
      </c>
      <c r="E41" s="245"/>
      <c r="F41" s="245"/>
      <c r="G41" s="245">
        <f>O24+G40</f>
        <v>5949.6066666666693</v>
      </c>
      <c r="H41" s="245"/>
      <c r="I41" s="245"/>
      <c r="J41" s="245"/>
      <c r="K41" s="245"/>
      <c r="L41" s="245"/>
      <c r="M41" s="245"/>
      <c r="N41" s="245"/>
      <c r="O41" s="245"/>
      <c r="P41" s="245"/>
      <c r="Q41" s="250"/>
      <c r="R41" s="250"/>
      <c r="S41" s="251" t="s">
        <v>525</v>
      </c>
      <c r="T41" s="251" t="s">
        <v>526</v>
      </c>
      <c r="U41" s="251"/>
      <c r="V41" s="251"/>
    </row>
    <row r="42" spans="1:22"/>
    <row r="45" spans="1:22" ht="12.75" hidden="1" customHeight="1">
      <c r="A45" s="413" t="s">
        <v>502</v>
      </c>
      <c r="B45" s="413"/>
      <c r="C45" s="418"/>
      <c r="D45" s="419"/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20"/>
      <c r="U45" s="239"/>
      <c r="V45" s="239"/>
    </row>
    <row r="46" spans="1:22" ht="12.75" hidden="1" customHeight="1">
      <c r="A46" s="413" t="s">
        <v>527</v>
      </c>
      <c r="B46" s="413"/>
      <c r="C46" s="421"/>
      <c r="D46" s="421"/>
      <c r="E46" s="421"/>
      <c r="F46" s="421"/>
      <c r="G46" s="421"/>
      <c r="H46" s="422" t="s">
        <v>528</v>
      </c>
      <c r="I46" s="422"/>
      <c r="J46" s="421"/>
      <c r="K46" s="421"/>
      <c r="L46" s="421"/>
      <c r="M46" s="421"/>
      <c r="N46" s="421"/>
      <c r="O46" s="421"/>
      <c r="P46" s="421"/>
      <c r="Q46" s="421"/>
      <c r="R46" s="421"/>
      <c r="S46" s="421"/>
      <c r="T46" s="421"/>
      <c r="U46" s="239"/>
      <c r="V46" s="239"/>
    </row>
    <row r="47" spans="1:22" ht="25.5" hidden="1" customHeight="1">
      <c r="A47" s="413" t="s">
        <v>529</v>
      </c>
      <c r="B47" s="413"/>
      <c r="C47" s="418"/>
      <c r="D47" s="420"/>
      <c r="E47" s="241" t="s">
        <v>530</v>
      </c>
      <c r="F47" s="423"/>
      <c r="G47" s="424"/>
      <c r="H47" s="424"/>
      <c r="I47" s="425"/>
      <c r="J47" s="241" t="s">
        <v>531</v>
      </c>
      <c r="K47" s="423"/>
      <c r="L47" s="424"/>
      <c r="M47" s="425"/>
      <c r="N47" s="240" t="s">
        <v>532</v>
      </c>
      <c r="O47" s="426"/>
      <c r="P47" s="427"/>
      <c r="Q47" s="427"/>
      <c r="R47" s="427"/>
      <c r="S47" s="427"/>
      <c r="T47" s="428"/>
      <c r="U47" s="252"/>
      <c r="V47" s="252"/>
    </row>
    <row r="48" spans="1:22" ht="51" hidden="1" customHeight="1">
      <c r="A48" s="231" t="s">
        <v>163</v>
      </c>
      <c r="B48" s="415" t="s">
        <v>533</v>
      </c>
      <c r="C48" s="415"/>
      <c r="D48" s="415"/>
      <c r="E48" s="232" t="s">
        <v>534</v>
      </c>
      <c r="F48" s="232" t="s">
        <v>535</v>
      </c>
      <c r="G48" s="231" t="s">
        <v>536</v>
      </c>
      <c r="H48" s="231" t="s">
        <v>537</v>
      </c>
      <c r="I48" s="231" t="s">
        <v>538</v>
      </c>
      <c r="J48" s="232" t="s">
        <v>539</v>
      </c>
      <c r="K48" s="232" t="s">
        <v>540</v>
      </c>
      <c r="L48" s="416" t="s">
        <v>541</v>
      </c>
      <c r="M48" s="417"/>
      <c r="N48" s="416" t="s">
        <v>542</v>
      </c>
      <c r="O48" s="417"/>
      <c r="P48" s="231" t="s">
        <v>543</v>
      </c>
      <c r="Q48" s="231" t="s">
        <v>514</v>
      </c>
      <c r="R48" s="231" t="s">
        <v>515</v>
      </c>
      <c r="S48" s="231" t="s">
        <v>516</v>
      </c>
      <c r="T48" s="231" t="s">
        <v>517</v>
      </c>
      <c r="U48" s="231" t="s">
        <v>544</v>
      </c>
      <c r="V48" s="231" t="s">
        <v>545</v>
      </c>
    </row>
    <row r="49" spans="1:22" hidden="1">
      <c r="A49" s="231"/>
      <c r="B49" s="231">
        <v>10</v>
      </c>
      <c r="C49" s="231">
        <v>20</v>
      </c>
      <c r="D49" s="231">
        <v>30</v>
      </c>
      <c r="E49" s="231"/>
      <c r="F49" s="231"/>
      <c r="G49" s="231"/>
      <c r="H49" s="231"/>
      <c r="I49" s="231"/>
      <c r="J49" s="231"/>
      <c r="K49" s="231"/>
      <c r="L49" s="231" t="s">
        <v>520</v>
      </c>
      <c r="M49" s="231" t="s">
        <v>521</v>
      </c>
      <c r="N49" s="231" t="s">
        <v>520</v>
      </c>
      <c r="O49" s="231" t="s">
        <v>521</v>
      </c>
      <c r="P49" s="231"/>
      <c r="Q49" s="231"/>
      <c r="R49" s="231"/>
      <c r="S49" s="231"/>
      <c r="T49" s="231"/>
      <c r="U49" s="231"/>
      <c r="V49" s="231"/>
    </row>
    <row r="50" spans="1:22" hidden="1">
      <c r="A50" s="246">
        <f>IF($A$27="","",$A$27)</f>
        <v>45139</v>
      </c>
      <c r="B50" s="243"/>
      <c r="C50" s="243"/>
      <c r="D50" s="243"/>
      <c r="E50" s="243"/>
      <c r="F50" s="243"/>
      <c r="G50" s="244">
        <f>IFERROR(AVERAGE(B50:D50),0)</f>
        <v>0</v>
      </c>
      <c r="H50" s="243"/>
      <c r="I50" s="243"/>
      <c r="J50" s="243"/>
      <c r="K50" s="243"/>
      <c r="L50" s="243"/>
      <c r="M50" s="243"/>
      <c r="N50" s="243"/>
      <c r="O50" s="243"/>
      <c r="P50" s="247">
        <f t="shared" ref="P50:P61" si="19">+H50-I50-J50-M50+L50</f>
        <v>0</v>
      </c>
      <c r="Q50" s="253"/>
      <c r="R50" s="253"/>
      <c r="S50" s="253"/>
      <c r="T50" s="253"/>
      <c r="U50" s="245">
        <f>H50-J50-M50</f>
        <v>0</v>
      </c>
      <c r="V50" s="245">
        <f>I50-L50</f>
        <v>0</v>
      </c>
    </row>
    <row r="51" spans="1:22" hidden="1">
      <c r="A51" s="246">
        <f>IF($A$28="","",$A$28)</f>
        <v>45170</v>
      </c>
      <c r="B51" s="243"/>
      <c r="C51" s="243"/>
      <c r="D51" s="243"/>
      <c r="E51" s="243"/>
      <c r="F51" s="243"/>
      <c r="G51" s="244">
        <f t="shared" ref="G51:G61" si="20">IFERROR(AVERAGE(B51:D51),0)</f>
        <v>0</v>
      </c>
      <c r="H51" s="243"/>
      <c r="I51" s="243"/>
      <c r="J51" s="243"/>
      <c r="K51" s="243"/>
      <c r="L51" s="243"/>
      <c r="M51" s="243"/>
      <c r="N51" s="243"/>
      <c r="O51" s="243"/>
      <c r="P51" s="247">
        <f t="shared" si="19"/>
        <v>0</v>
      </c>
      <c r="Q51" s="253"/>
      <c r="R51" s="253"/>
      <c r="S51" s="253"/>
      <c r="T51" s="253"/>
      <c r="U51" s="245">
        <f t="shared" ref="U51:U61" si="21">H51-J51-M51</f>
        <v>0</v>
      </c>
      <c r="V51" s="245">
        <f t="shared" ref="V51:V61" si="22">I51-L51</f>
        <v>0</v>
      </c>
    </row>
    <row r="52" spans="1:22" hidden="1">
      <c r="A52" s="246">
        <f>IF($A$29="","",$A$29)</f>
        <v>45200</v>
      </c>
      <c r="B52" s="243"/>
      <c r="C52" s="243"/>
      <c r="D52" s="243"/>
      <c r="E52" s="243"/>
      <c r="F52" s="243"/>
      <c r="G52" s="244">
        <f t="shared" si="20"/>
        <v>0</v>
      </c>
      <c r="H52" s="243"/>
      <c r="I52" s="243"/>
      <c r="J52" s="243"/>
      <c r="K52" s="243"/>
      <c r="L52" s="243"/>
      <c r="M52" s="243"/>
      <c r="N52" s="243"/>
      <c r="O52" s="243"/>
      <c r="P52" s="247">
        <f t="shared" si="19"/>
        <v>0</v>
      </c>
      <c r="Q52" s="253"/>
      <c r="R52" s="253"/>
      <c r="S52" s="253"/>
      <c r="T52" s="253"/>
      <c r="U52" s="245">
        <f t="shared" si="21"/>
        <v>0</v>
      </c>
      <c r="V52" s="245">
        <f t="shared" si="22"/>
        <v>0</v>
      </c>
    </row>
    <row r="53" spans="1:22" hidden="1">
      <c r="A53" s="246">
        <f>IF($A$30="","",$A$30)</f>
        <v>45231</v>
      </c>
      <c r="B53" s="243"/>
      <c r="C53" s="243"/>
      <c r="D53" s="243"/>
      <c r="E53" s="243"/>
      <c r="F53" s="243"/>
      <c r="G53" s="244">
        <f t="shared" si="20"/>
        <v>0</v>
      </c>
      <c r="H53" s="243"/>
      <c r="I53" s="243"/>
      <c r="J53" s="243"/>
      <c r="K53" s="243"/>
      <c r="L53" s="243"/>
      <c r="M53" s="243"/>
      <c r="N53" s="243"/>
      <c r="O53" s="243"/>
      <c r="P53" s="247">
        <f t="shared" si="19"/>
        <v>0</v>
      </c>
      <c r="Q53" s="253"/>
      <c r="R53" s="253"/>
      <c r="S53" s="253"/>
      <c r="T53" s="253"/>
      <c r="U53" s="245">
        <f t="shared" si="21"/>
        <v>0</v>
      </c>
      <c r="V53" s="245">
        <f t="shared" si="22"/>
        <v>0</v>
      </c>
    </row>
    <row r="54" spans="1:22" hidden="1">
      <c r="A54" s="246">
        <f>IF($A$31="","",$A$31)</f>
        <v>45261</v>
      </c>
      <c r="B54" s="243"/>
      <c r="C54" s="243"/>
      <c r="D54" s="243"/>
      <c r="E54" s="243"/>
      <c r="F54" s="243"/>
      <c r="G54" s="244">
        <f t="shared" si="20"/>
        <v>0</v>
      </c>
      <c r="H54" s="243"/>
      <c r="I54" s="243"/>
      <c r="J54" s="243"/>
      <c r="K54" s="243"/>
      <c r="L54" s="243"/>
      <c r="M54" s="243"/>
      <c r="N54" s="243"/>
      <c r="O54" s="243"/>
      <c r="P54" s="247">
        <f t="shared" si="19"/>
        <v>0</v>
      </c>
      <c r="Q54" s="253"/>
      <c r="R54" s="253"/>
      <c r="S54" s="253"/>
      <c r="T54" s="253"/>
      <c r="U54" s="245">
        <f t="shared" si="21"/>
        <v>0</v>
      </c>
      <c r="V54" s="245">
        <f t="shared" si="22"/>
        <v>0</v>
      </c>
    </row>
    <row r="55" spans="1:22" hidden="1">
      <c r="A55" s="246">
        <f>IF($A$32="","",$A$32)</f>
        <v>45292</v>
      </c>
      <c r="B55" s="243"/>
      <c r="C55" s="243"/>
      <c r="D55" s="243"/>
      <c r="E55" s="243"/>
      <c r="F55" s="243"/>
      <c r="G55" s="244">
        <f t="shared" si="20"/>
        <v>0</v>
      </c>
      <c r="H55" s="243"/>
      <c r="I55" s="243"/>
      <c r="J55" s="243"/>
      <c r="K55" s="243"/>
      <c r="L55" s="243"/>
      <c r="M55" s="243"/>
      <c r="N55" s="243"/>
      <c r="O55" s="243"/>
      <c r="P55" s="247">
        <f t="shared" si="19"/>
        <v>0</v>
      </c>
      <c r="Q55" s="253"/>
      <c r="R55" s="253"/>
      <c r="S55" s="253"/>
      <c r="T55" s="253"/>
      <c r="U55" s="245">
        <f t="shared" si="21"/>
        <v>0</v>
      </c>
      <c r="V55" s="245">
        <f t="shared" si="22"/>
        <v>0</v>
      </c>
    </row>
    <row r="56" spans="1:22" hidden="1">
      <c r="A56" s="246" t="str">
        <f>IF($A$33="","",$A$33)</f>
        <v/>
      </c>
      <c r="B56" s="243"/>
      <c r="C56" s="243"/>
      <c r="D56" s="243"/>
      <c r="E56" s="243"/>
      <c r="F56" s="243"/>
      <c r="G56" s="244">
        <f t="shared" si="20"/>
        <v>0</v>
      </c>
      <c r="H56" s="243"/>
      <c r="I56" s="243"/>
      <c r="J56" s="243"/>
      <c r="K56" s="243"/>
      <c r="L56" s="243"/>
      <c r="M56" s="243"/>
      <c r="N56" s="243"/>
      <c r="O56" s="243"/>
      <c r="P56" s="247">
        <f t="shared" si="19"/>
        <v>0</v>
      </c>
      <c r="Q56" s="253"/>
      <c r="R56" s="253"/>
      <c r="S56" s="253"/>
      <c r="T56" s="253"/>
      <c r="U56" s="245">
        <f t="shared" si="21"/>
        <v>0</v>
      </c>
      <c r="V56" s="245">
        <f t="shared" si="22"/>
        <v>0</v>
      </c>
    </row>
    <row r="57" spans="1:22" hidden="1">
      <c r="A57" s="246" t="str">
        <f>IF($A$34="","",$A$34)</f>
        <v/>
      </c>
      <c r="B57" s="243"/>
      <c r="C57" s="243"/>
      <c r="D57" s="243"/>
      <c r="E57" s="243"/>
      <c r="F57" s="243"/>
      <c r="G57" s="244">
        <f t="shared" si="20"/>
        <v>0</v>
      </c>
      <c r="H57" s="243"/>
      <c r="I57" s="243"/>
      <c r="J57" s="243"/>
      <c r="K57" s="243"/>
      <c r="L57" s="243"/>
      <c r="M57" s="243"/>
      <c r="N57" s="243"/>
      <c r="O57" s="243"/>
      <c r="P57" s="247">
        <f t="shared" si="19"/>
        <v>0</v>
      </c>
      <c r="Q57" s="253"/>
      <c r="R57" s="253"/>
      <c r="S57" s="253"/>
      <c r="T57" s="253"/>
      <c r="U57" s="245">
        <f t="shared" si="21"/>
        <v>0</v>
      </c>
      <c r="V57" s="245">
        <f t="shared" si="22"/>
        <v>0</v>
      </c>
    </row>
    <row r="58" spans="1:22" hidden="1">
      <c r="A58" s="246" t="str">
        <f>IF($A$35="","",$A$35)</f>
        <v/>
      </c>
      <c r="B58" s="243"/>
      <c r="C58" s="243"/>
      <c r="D58" s="243"/>
      <c r="E58" s="243"/>
      <c r="F58" s="243"/>
      <c r="G58" s="244">
        <f t="shared" si="20"/>
        <v>0</v>
      </c>
      <c r="H58" s="243"/>
      <c r="I58" s="243"/>
      <c r="J58" s="243"/>
      <c r="K58" s="243"/>
      <c r="L58" s="243"/>
      <c r="M58" s="243"/>
      <c r="N58" s="243"/>
      <c r="O58" s="243"/>
      <c r="P58" s="247">
        <f t="shared" si="19"/>
        <v>0</v>
      </c>
      <c r="Q58" s="253"/>
      <c r="R58" s="253"/>
      <c r="S58" s="253"/>
      <c r="T58" s="253"/>
      <c r="U58" s="245">
        <f t="shared" si="21"/>
        <v>0</v>
      </c>
      <c r="V58" s="245">
        <f t="shared" si="22"/>
        <v>0</v>
      </c>
    </row>
    <row r="59" spans="1:22" hidden="1">
      <c r="A59" s="246" t="str">
        <f>IF($A$36="","",$A$36)</f>
        <v/>
      </c>
      <c r="B59" s="243"/>
      <c r="C59" s="243"/>
      <c r="D59" s="243"/>
      <c r="E59" s="243"/>
      <c r="F59" s="243"/>
      <c r="G59" s="244">
        <f t="shared" si="20"/>
        <v>0</v>
      </c>
      <c r="H59" s="243"/>
      <c r="I59" s="243"/>
      <c r="J59" s="243"/>
      <c r="K59" s="243"/>
      <c r="L59" s="243"/>
      <c r="M59" s="243"/>
      <c r="N59" s="243"/>
      <c r="O59" s="243"/>
      <c r="P59" s="247">
        <f t="shared" si="19"/>
        <v>0</v>
      </c>
      <c r="Q59" s="253"/>
      <c r="R59" s="253"/>
      <c r="S59" s="253"/>
      <c r="T59" s="253"/>
      <c r="U59" s="245">
        <f t="shared" si="21"/>
        <v>0</v>
      </c>
      <c r="V59" s="245">
        <f t="shared" si="22"/>
        <v>0</v>
      </c>
    </row>
    <row r="60" spans="1:22" hidden="1">
      <c r="A60" s="246" t="str">
        <f>IF($A$37="","",$A$37)</f>
        <v/>
      </c>
      <c r="B60" s="243"/>
      <c r="C60" s="243"/>
      <c r="D60" s="243"/>
      <c r="E60" s="243"/>
      <c r="F60" s="243"/>
      <c r="G60" s="244">
        <f t="shared" si="20"/>
        <v>0</v>
      </c>
      <c r="H60" s="243"/>
      <c r="I60" s="243"/>
      <c r="J60" s="243"/>
      <c r="K60" s="243"/>
      <c r="L60" s="243"/>
      <c r="M60" s="243"/>
      <c r="N60" s="243"/>
      <c r="O60" s="243"/>
      <c r="P60" s="247">
        <f t="shared" si="19"/>
        <v>0</v>
      </c>
      <c r="Q60" s="253"/>
      <c r="R60" s="253"/>
      <c r="S60" s="253"/>
      <c r="T60" s="253"/>
      <c r="U60" s="245">
        <f t="shared" si="21"/>
        <v>0</v>
      </c>
      <c r="V60" s="245">
        <f t="shared" si="22"/>
        <v>0</v>
      </c>
    </row>
    <row r="61" spans="1:22" hidden="1">
      <c r="A61" s="246" t="str">
        <f>IF($A$38="","",$A$38)</f>
        <v/>
      </c>
      <c r="B61" s="243"/>
      <c r="C61" s="243"/>
      <c r="D61" s="243"/>
      <c r="E61" s="243"/>
      <c r="F61" s="243"/>
      <c r="G61" s="244">
        <f t="shared" si="20"/>
        <v>0</v>
      </c>
      <c r="H61" s="243"/>
      <c r="I61" s="243"/>
      <c r="J61" s="243"/>
      <c r="K61" s="243"/>
      <c r="L61" s="243"/>
      <c r="M61" s="243"/>
      <c r="N61" s="243"/>
      <c r="O61" s="243"/>
      <c r="P61" s="247">
        <f t="shared" si="19"/>
        <v>0</v>
      </c>
      <c r="Q61" s="253"/>
      <c r="R61" s="253"/>
      <c r="S61" s="253"/>
      <c r="T61" s="253"/>
      <c r="U61" s="245">
        <f t="shared" si="21"/>
        <v>0</v>
      </c>
      <c r="V61" s="245">
        <f t="shared" si="22"/>
        <v>0</v>
      </c>
    </row>
    <row r="62" spans="1:22" hidden="1">
      <c r="A62" s="237" t="s">
        <v>522</v>
      </c>
      <c r="B62" s="245">
        <f t="shared" ref="B62:V62" si="23">+SUM(B50:B61)</f>
        <v>0</v>
      </c>
      <c r="C62" s="245">
        <f t="shared" si="23"/>
        <v>0</v>
      </c>
      <c r="D62" s="245">
        <f t="shared" si="23"/>
        <v>0</v>
      </c>
      <c r="E62" s="245">
        <f t="shared" ref="E62:F62" si="24">+SUM(E50:E61)</f>
        <v>0</v>
      </c>
      <c r="F62" s="245">
        <f t="shared" si="24"/>
        <v>0</v>
      </c>
      <c r="G62" s="245">
        <f t="shared" si="23"/>
        <v>0</v>
      </c>
      <c r="H62" s="245">
        <f t="shared" si="23"/>
        <v>0</v>
      </c>
      <c r="I62" s="245">
        <f t="shared" si="23"/>
        <v>0</v>
      </c>
      <c r="J62" s="245">
        <f t="shared" ref="J62:O62" si="25">+SUM(J50:J61)</f>
        <v>0</v>
      </c>
      <c r="K62" s="245">
        <f t="shared" si="25"/>
        <v>0</v>
      </c>
      <c r="L62" s="245">
        <f t="shared" si="25"/>
        <v>0</v>
      </c>
      <c r="M62" s="245">
        <f t="shared" si="25"/>
        <v>0</v>
      </c>
      <c r="N62" s="245">
        <f t="shared" si="25"/>
        <v>0</v>
      </c>
      <c r="O62" s="245">
        <f t="shared" si="25"/>
        <v>0</v>
      </c>
      <c r="P62" s="245">
        <f t="shared" si="23"/>
        <v>0</v>
      </c>
      <c r="Q62" s="245">
        <f t="shared" si="23"/>
        <v>0</v>
      </c>
      <c r="R62" s="245">
        <f t="shared" si="23"/>
        <v>0</v>
      </c>
      <c r="S62" s="245">
        <f t="shared" si="23"/>
        <v>0</v>
      </c>
      <c r="T62" s="245">
        <f t="shared" si="23"/>
        <v>0</v>
      </c>
      <c r="U62" s="245">
        <f t="shared" si="23"/>
        <v>0</v>
      </c>
      <c r="V62" s="245">
        <f t="shared" si="23"/>
        <v>0</v>
      </c>
    </row>
    <row r="63" spans="1:22" hidden="1">
      <c r="A63" s="237" t="s">
        <v>523</v>
      </c>
      <c r="B63" s="245">
        <f>IFERROR(B62/(COUNTA(A50:A61)-COUNTIF(A50:A61,"")),0)</f>
        <v>0</v>
      </c>
      <c r="C63" s="245">
        <f>IFERROR(C62/(COUNTA(A50:A61)-COUNTIF(A50:A61,"")),0)</f>
        <v>0</v>
      </c>
      <c r="D63" s="245">
        <f>IFERROR(D62/(COUNTA(A50:A61)-COUNTIF(A50:A61,"")),0)</f>
        <v>0</v>
      </c>
      <c r="E63" s="245">
        <f>IFERROR(E62/(COUNTA(A50:A61)-COUNTIF(A50:A61,"")),0)</f>
        <v>0</v>
      </c>
      <c r="F63" s="245">
        <f>IFERROR(F62/(COUNTA(A50:A61)-COUNTIF(A50:A61,"")),0)</f>
        <v>0</v>
      </c>
      <c r="G63" s="245">
        <f>IFERROR(G62/(COUNTA(A50:A61)-COUNTIF(A50:A61,"")),0)</f>
        <v>0</v>
      </c>
      <c r="H63" s="245">
        <f>IFERROR(H62/(COUNTA(A50:A61)-COUNTIF(A50:A61,"")),0)</f>
        <v>0</v>
      </c>
      <c r="I63" s="245">
        <f>IFERROR(I62/(COUNTA(A50:A61)-COUNTIF(A50:A61,"")),0)</f>
        <v>0</v>
      </c>
      <c r="J63" s="245">
        <f>IFERROR(J62/(COUNTA(A50:A61)-COUNTIF(A50:A61,"")),0)</f>
        <v>0</v>
      </c>
      <c r="K63" s="245">
        <f>IFERROR(K62/(COUNTA(A50:A61)-COUNTIF(A50:A61,"")),0)</f>
        <v>0</v>
      </c>
      <c r="L63" s="245">
        <f>IFERROR(L62/(COUNTA(A50:A61)-COUNTIF(A50:A61,"")),0)</f>
        <v>0</v>
      </c>
      <c r="M63" s="245">
        <f>IFERROR(M62/(COUNTA(A50:A61)-COUNTIF(A50:A61,"")),0)</f>
        <v>0</v>
      </c>
      <c r="N63" s="245">
        <f>IFERROR(N62/(COUNTA(A50:A61)-COUNTIF(A50:A61,"")),0)</f>
        <v>0</v>
      </c>
      <c r="O63" s="245">
        <f>IFERROR(O62/(COUNTA(A50:A61)-COUNTIF(A50:A61,"")),0)</f>
        <v>0</v>
      </c>
      <c r="P63" s="245">
        <f>IFERROR(P62/(COUNTA(A50:A61)-COUNTIF(A50:A61,"")),0)</f>
        <v>0</v>
      </c>
      <c r="Q63" s="250"/>
      <c r="R63" s="250"/>
      <c r="S63" s="238">
        <f>IFERROR(R62/S62*100,0)</f>
        <v>0</v>
      </c>
      <c r="T63" s="238">
        <f>IFERROR(Q62/T62*100,0)</f>
        <v>0</v>
      </c>
      <c r="U63" s="245">
        <f>IFERROR(U62/COUNTA(A50:A61),0)</f>
        <v>0</v>
      </c>
      <c r="V63" s="245">
        <f>IFERROR(V62/COUNTA(A50:A61),0)</f>
        <v>0</v>
      </c>
    </row>
    <row r="64" spans="1:22" ht="38.25" hidden="1">
      <c r="A64" s="237" t="s">
        <v>524</v>
      </c>
      <c r="B64" s="245">
        <f>O47+B63</f>
        <v>0</v>
      </c>
      <c r="C64" s="245">
        <f>O47+C63</f>
        <v>0</v>
      </c>
      <c r="D64" s="245">
        <f>O47+D63</f>
        <v>0</v>
      </c>
      <c r="E64" s="245"/>
      <c r="F64" s="245"/>
      <c r="G64" s="245">
        <f>O47+G63</f>
        <v>0</v>
      </c>
      <c r="H64" s="245"/>
      <c r="I64" s="245"/>
      <c r="J64" s="245"/>
      <c r="K64" s="245"/>
      <c r="L64" s="245"/>
      <c r="M64" s="245"/>
      <c r="N64" s="245"/>
      <c r="O64" s="245"/>
      <c r="P64" s="245"/>
      <c r="Q64" s="250"/>
      <c r="R64" s="250"/>
      <c r="S64" s="251" t="s">
        <v>525</v>
      </c>
      <c r="T64" s="251" t="s">
        <v>526</v>
      </c>
      <c r="U64" s="251"/>
      <c r="V64" s="251"/>
    </row>
    <row r="68" spans="1:22" ht="12.75" hidden="1" customHeight="1">
      <c r="A68" s="413" t="s">
        <v>502</v>
      </c>
      <c r="B68" s="413"/>
      <c r="C68" s="418"/>
      <c r="D68" s="419"/>
      <c r="E68" s="419"/>
      <c r="F68" s="419"/>
      <c r="G68" s="419"/>
      <c r="H68" s="419"/>
      <c r="I68" s="419"/>
      <c r="J68" s="419"/>
      <c r="K68" s="419"/>
      <c r="L68" s="419"/>
      <c r="M68" s="419"/>
      <c r="N68" s="419"/>
      <c r="O68" s="419"/>
      <c r="P68" s="419"/>
      <c r="Q68" s="419"/>
      <c r="R68" s="419"/>
      <c r="S68" s="419"/>
      <c r="T68" s="420"/>
      <c r="U68" s="239"/>
      <c r="V68" s="239"/>
    </row>
    <row r="69" spans="1:22" ht="12.75" hidden="1" customHeight="1">
      <c r="A69" s="413" t="s">
        <v>527</v>
      </c>
      <c r="B69" s="413"/>
      <c r="C69" s="421"/>
      <c r="D69" s="421"/>
      <c r="E69" s="421"/>
      <c r="F69" s="421"/>
      <c r="G69" s="421"/>
      <c r="H69" s="422" t="s">
        <v>528</v>
      </c>
      <c r="I69" s="422"/>
      <c r="J69" s="421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239"/>
      <c r="V69" s="239"/>
    </row>
    <row r="70" spans="1:22" ht="25.5" hidden="1" customHeight="1">
      <c r="A70" s="413" t="s">
        <v>529</v>
      </c>
      <c r="B70" s="413"/>
      <c r="C70" s="418"/>
      <c r="D70" s="420"/>
      <c r="E70" s="241" t="s">
        <v>530</v>
      </c>
      <c r="F70" s="423"/>
      <c r="G70" s="424"/>
      <c r="H70" s="424"/>
      <c r="I70" s="425"/>
      <c r="J70" s="241" t="s">
        <v>531</v>
      </c>
      <c r="K70" s="423"/>
      <c r="L70" s="424"/>
      <c r="M70" s="425"/>
      <c r="N70" s="240" t="s">
        <v>532</v>
      </c>
      <c r="O70" s="426"/>
      <c r="P70" s="427"/>
      <c r="Q70" s="427"/>
      <c r="R70" s="427"/>
      <c r="S70" s="427"/>
      <c r="T70" s="428"/>
      <c r="U70" s="252"/>
      <c r="V70" s="252"/>
    </row>
    <row r="71" spans="1:22" ht="38.25" hidden="1" customHeight="1">
      <c r="A71" s="231" t="s">
        <v>163</v>
      </c>
      <c r="B71" s="415" t="s">
        <v>533</v>
      </c>
      <c r="C71" s="415"/>
      <c r="D71" s="415"/>
      <c r="E71" s="232" t="s">
        <v>534</v>
      </c>
      <c r="F71" s="232" t="s">
        <v>535</v>
      </c>
      <c r="G71" s="231" t="s">
        <v>536</v>
      </c>
      <c r="H71" s="231" t="s">
        <v>537</v>
      </c>
      <c r="I71" s="231" t="s">
        <v>538</v>
      </c>
      <c r="J71" s="232" t="s">
        <v>539</v>
      </c>
      <c r="K71" s="232" t="s">
        <v>540</v>
      </c>
      <c r="L71" s="416" t="s">
        <v>541</v>
      </c>
      <c r="M71" s="417"/>
      <c r="N71" s="416" t="s">
        <v>542</v>
      </c>
      <c r="O71" s="417"/>
      <c r="P71" s="231" t="s">
        <v>543</v>
      </c>
      <c r="Q71" s="231" t="s">
        <v>514</v>
      </c>
      <c r="R71" s="231" t="s">
        <v>515</v>
      </c>
      <c r="S71" s="231" t="s">
        <v>516</v>
      </c>
      <c r="T71" s="231" t="s">
        <v>517</v>
      </c>
      <c r="U71" s="231" t="s">
        <v>544</v>
      </c>
      <c r="V71" s="231" t="s">
        <v>545</v>
      </c>
    </row>
    <row r="72" spans="1:22" hidden="1">
      <c r="A72" s="231"/>
      <c r="B72" s="231">
        <v>10</v>
      </c>
      <c r="C72" s="231">
        <v>20</v>
      </c>
      <c r="D72" s="231">
        <v>30</v>
      </c>
      <c r="E72" s="231"/>
      <c r="F72" s="231"/>
      <c r="G72" s="231"/>
      <c r="H72" s="231"/>
      <c r="I72" s="231"/>
      <c r="J72" s="231"/>
      <c r="K72" s="231"/>
      <c r="L72" s="231" t="s">
        <v>520</v>
      </c>
      <c r="M72" s="231" t="s">
        <v>521</v>
      </c>
      <c r="N72" s="231" t="s">
        <v>520</v>
      </c>
      <c r="O72" s="231" t="s">
        <v>521</v>
      </c>
      <c r="P72" s="231"/>
      <c r="Q72" s="231"/>
      <c r="R72" s="231"/>
      <c r="S72" s="231"/>
      <c r="T72" s="231"/>
      <c r="U72" s="231"/>
      <c r="V72" s="231"/>
    </row>
    <row r="73" spans="1:22" hidden="1">
      <c r="A73" s="246">
        <f>IF($A$27="","",$A$27)</f>
        <v>45139</v>
      </c>
      <c r="B73" s="243"/>
      <c r="C73" s="243"/>
      <c r="D73" s="243"/>
      <c r="E73" s="243"/>
      <c r="F73" s="243"/>
      <c r="G73" s="244">
        <f>IFERROR(AVERAGE(B73:D73),0)</f>
        <v>0</v>
      </c>
      <c r="H73" s="243"/>
      <c r="I73" s="243"/>
      <c r="J73" s="243"/>
      <c r="K73" s="243"/>
      <c r="L73" s="243"/>
      <c r="M73" s="243"/>
      <c r="N73" s="243"/>
      <c r="O73" s="243"/>
      <c r="P73" s="247">
        <f t="shared" ref="P73:P84" si="26">+H73-I73-J73-M73+L73</f>
        <v>0</v>
      </c>
      <c r="Q73" s="253"/>
      <c r="R73" s="253"/>
      <c r="S73" s="253"/>
      <c r="T73" s="253"/>
      <c r="U73" s="245">
        <f>H73-J73-M73</f>
        <v>0</v>
      </c>
      <c r="V73" s="245">
        <f>I73-L73</f>
        <v>0</v>
      </c>
    </row>
    <row r="74" spans="1:22" hidden="1">
      <c r="A74" s="246">
        <f>IF($A$28="","",$A$28)</f>
        <v>45170</v>
      </c>
      <c r="B74" s="243"/>
      <c r="C74" s="243"/>
      <c r="D74" s="243"/>
      <c r="E74" s="243"/>
      <c r="F74" s="243"/>
      <c r="G74" s="244">
        <f t="shared" ref="G74:G84" si="27">IFERROR(AVERAGE(B74:D74),0)</f>
        <v>0</v>
      </c>
      <c r="H74" s="243"/>
      <c r="I74" s="243"/>
      <c r="J74" s="243"/>
      <c r="K74" s="243"/>
      <c r="L74" s="243"/>
      <c r="M74" s="243"/>
      <c r="N74" s="243"/>
      <c r="O74" s="243"/>
      <c r="P74" s="247">
        <f t="shared" si="26"/>
        <v>0</v>
      </c>
      <c r="Q74" s="253"/>
      <c r="R74" s="253"/>
      <c r="S74" s="253"/>
      <c r="T74" s="253"/>
      <c r="U74" s="245">
        <f t="shared" ref="U74:U84" si="28">H74-J74-M74</f>
        <v>0</v>
      </c>
      <c r="V74" s="245">
        <f t="shared" ref="V74:V84" si="29">I74-L74</f>
        <v>0</v>
      </c>
    </row>
    <row r="75" spans="1:22" hidden="1">
      <c r="A75" s="246">
        <f>IF($A$29="","",$A$29)</f>
        <v>45200</v>
      </c>
      <c r="B75" s="243"/>
      <c r="C75" s="243"/>
      <c r="D75" s="243"/>
      <c r="E75" s="243"/>
      <c r="F75" s="243"/>
      <c r="G75" s="244">
        <f t="shared" si="27"/>
        <v>0</v>
      </c>
      <c r="H75" s="243"/>
      <c r="I75" s="243"/>
      <c r="J75" s="243"/>
      <c r="K75" s="243"/>
      <c r="L75" s="243"/>
      <c r="M75" s="243"/>
      <c r="N75" s="243"/>
      <c r="O75" s="243"/>
      <c r="P75" s="247">
        <f t="shared" si="26"/>
        <v>0</v>
      </c>
      <c r="Q75" s="253"/>
      <c r="R75" s="253"/>
      <c r="S75" s="253"/>
      <c r="T75" s="253"/>
      <c r="U75" s="245">
        <f t="shared" si="28"/>
        <v>0</v>
      </c>
      <c r="V75" s="245">
        <f t="shared" si="29"/>
        <v>0</v>
      </c>
    </row>
    <row r="76" spans="1:22" hidden="1">
      <c r="A76" s="246">
        <f>IF($A$30="","",$A$30)</f>
        <v>45231</v>
      </c>
      <c r="B76" s="243"/>
      <c r="C76" s="243"/>
      <c r="D76" s="243"/>
      <c r="E76" s="243"/>
      <c r="F76" s="243"/>
      <c r="G76" s="244">
        <f t="shared" si="27"/>
        <v>0</v>
      </c>
      <c r="H76" s="243"/>
      <c r="I76" s="243"/>
      <c r="J76" s="243"/>
      <c r="K76" s="243"/>
      <c r="L76" s="243"/>
      <c r="M76" s="243"/>
      <c r="N76" s="243"/>
      <c r="O76" s="243"/>
      <c r="P76" s="247">
        <f t="shared" si="26"/>
        <v>0</v>
      </c>
      <c r="Q76" s="253"/>
      <c r="R76" s="253"/>
      <c r="S76" s="253"/>
      <c r="T76" s="253"/>
      <c r="U76" s="245">
        <f t="shared" si="28"/>
        <v>0</v>
      </c>
      <c r="V76" s="245">
        <f t="shared" si="29"/>
        <v>0</v>
      </c>
    </row>
    <row r="77" spans="1:22" hidden="1">
      <c r="A77" s="246">
        <f>IF($A$31="","",$A$31)</f>
        <v>45261</v>
      </c>
      <c r="B77" s="243"/>
      <c r="C77" s="243"/>
      <c r="D77" s="243"/>
      <c r="E77" s="243"/>
      <c r="F77" s="243"/>
      <c r="G77" s="244">
        <f t="shared" si="27"/>
        <v>0</v>
      </c>
      <c r="H77" s="243"/>
      <c r="I77" s="243"/>
      <c r="J77" s="243"/>
      <c r="K77" s="243"/>
      <c r="L77" s="243"/>
      <c r="M77" s="243"/>
      <c r="N77" s="243"/>
      <c r="O77" s="243"/>
      <c r="P77" s="247">
        <f t="shared" si="26"/>
        <v>0</v>
      </c>
      <c r="Q77" s="253"/>
      <c r="R77" s="253"/>
      <c r="S77" s="253"/>
      <c r="T77" s="253"/>
      <c r="U77" s="245">
        <f t="shared" si="28"/>
        <v>0</v>
      </c>
      <c r="V77" s="245">
        <f t="shared" si="29"/>
        <v>0</v>
      </c>
    </row>
    <row r="78" spans="1:22" hidden="1">
      <c r="A78" s="246">
        <f>IF($A$32="","",$A$32)</f>
        <v>45292</v>
      </c>
      <c r="B78" s="243"/>
      <c r="C78" s="243"/>
      <c r="D78" s="243"/>
      <c r="E78" s="243"/>
      <c r="F78" s="243"/>
      <c r="G78" s="244">
        <f t="shared" si="27"/>
        <v>0</v>
      </c>
      <c r="H78" s="243"/>
      <c r="I78" s="243"/>
      <c r="J78" s="243"/>
      <c r="K78" s="243"/>
      <c r="L78" s="243"/>
      <c r="M78" s="243"/>
      <c r="N78" s="243"/>
      <c r="O78" s="243"/>
      <c r="P78" s="247">
        <f t="shared" si="26"/>
        <v>0</v>
      </c>
      <c r="Q78" s="253"/>
      <c r="R78" s="253"/>
      <c r="S78" s="253"/>
      <c r="T78" s="253"/>
      <c r="U78" s="245">
        <f t="shared" si="28"/>
        <v>0</v>
      </c>
      <c r="V78" s="245">
        <f t="shared" si="29"/>
        <v>0</v>
      </c>
    </row>
    <row r="79" spans="1:22" hidden="1">
      <c r="A79" s="246" t="str">
        <f>IF($A$33="","",$A$33)</f>
        <v/>
      </c>
      <c r="B79" s="243"/>
      <c r="C79" s="243"/>
      <c r="D79" s="243"/>
      <c r="E79" s="243"/>
      <c r="F79" s="243"/>
      <c r="G79" s="244">
        <f t="shared" si="27"/>
        <v>0</v>
      </c>
      <c r="H79" s="243"/>
      <c r="I79" s="243"/>
      <c r="J79" s="243"/>
      <c r="K79" s="243"/>
      <c r="L79" s="243"/>
      <c r="M79" s="243"/>
      <c r="N79" s="243"/>
      <c r="O79" s="243"/>
      <c r="P79" s="247">
        <f t="shared" si="26"/>
        <v>0</v>
      </c>
      <c r="Q79" s="253"/>
      <c r="R79" s="253"/>
      <c r="S79" s="253"/>
      <c r="T79" s="253"/>
      <c r="U79" s="245">
        <f t="shared" si="28"/>
        <v>0</v>
      </c>
      <c r="V79" s="245">
        <f t="shared" si="29"/>
        <v>0</v>
      </c>
    </row>
    <row r="80" spans="1:22" hidden="1">
      <c r="A80" s="246" t="str">
        <f>IF($A$34="","",$A$34)</f>
        <v/>
      </c>
      <c r="B80" s="243"/>
      <c r="C80" s="243"/>
      <c r="D80" s="243"/>
      <c r="E80" s="243"/>
      <c r="F80" s="243"/>
      <c r="G80" s="244">
        <f t="shared" si="27"/>
        <v>0</v>
      </c>
      <c r="H80" s="243"/>
      <c r="I80" s="243"/>
      <c r="J80" s="243"/>
      <c r="K80" s="243"/>
      <c r="L80" s="243"/>
      <c r="M80" s="243"/>
      <c r="N80" s="243"/>
      <c r="O80" s="243"/>
      <c r="P80" s="247">
        <f t="shared" si="26"/>
        <v>0</v>
      </c>
      <c r="Q80" s="253"/>
      <c r="R80" s="253"/>
      <c r="S80" s="253"/>
      <c r="T80" s="253"/>
      <c r="U80" s="245">
        <f t="shared" si="28"/>
        <v>0</v>
      </c>
      <c r="V80" s="245">
        <f t="shared" si="29"/>
        <v>0</v>
      </c>
    </row>
    <row r="81" spans="1:22" hidden="1">
      <c r="A81" s="246" t="str">
        <f>IF($A$35="","",$A$35)</f>
        <v/>
      </c>
      <c r="B81" s="243"/>
      <c r="C81" s="243"/>
      <c r="D81" s="243"/>
      <c r="E81" s="243"/>
      <c r="F81" s="243"/>
      <c r="G81" s="244">
        <f t="shared" si="27"/>
        <v>0</v>
      </c>
      <c r="H81" s="243"/>
      <c r="I81" s="243"/>
      <c r="J81" s="243"/>
      <c r="K81" s="243"/>
      <c r="L81" s="243"/>
      <c r="M81" s="243"/>
      <c r="N81" s="243"/>
      <c r="O81" s="243"/>
      <c r="P81" s="247">
        <f t="shared" si="26"/>
        <v>0</v>
      </c>
      <c r="Q81" s="253"/>
      <c r="R81" s="253"/>
      <c r="S81" s="253"/>
      <c r="T81" s="253"/>
      <c r="U81" s="245">
        <f t="shared" si="28"/>
        <v>0</v>
      </c>
      <c r="V81" s="245">
        <f t="shared" si="29"/>
        <v>0</v>
      </c>
    </row>
    <row r="82" spans="1:22" hidden="1">
      <c r="A82" s="246" t="str">
        <f>IF($A$36="","",$A$36)</f>
        <v/>
      </c>
      <c r="B82" s="243"/>
      <c r="C82" s="243"/>
      <c r="D82" s="243"/>
      <c r="E82" s="243"/>
      <c r="F82" s="243"/>
      <c r="G82" s="244">
        <f t="shared" si="27"/>
        <v>0</v>
      </c>
      <c r="H82" s="243"/>
      <c r="I82" s="243"/>
      <c r="J82" s="243"/>
      <c r="K82" s="243"/>
      <c r="L82" s="243"/>
      <c r="M82" s="243"/>
      <c r="N82" s="243"/>
      <c r="O82" s="243"/>
      <c r="P82" s="247">
        <f t="shared" si="26"/>
        <v>0</v>
      </c>
      <c r="Q82" s="253"/>
      <c r="R82" s="253"/>
      <c r="S82" s="253"/>
      <c r="T82" s="253"/>
      <c r="U82" s="245">
        <f t="shared" si="28"/>
        <v>0</v>
      </c>
      <c r="V82" s="245">
        <f t="shared" si="29"/>
        <v>0</v>
      </c>
    </row>
    <row r="83" spans="1:22" hidden="1">
      <c r="A83" s="246" t="str">
        <f>IF($A$37="","",$A$37)</f>
        <v/>
      </c>
      <c r="B83" s="243"/>
      <c r="C83" s="243"/>
      <c r="D83" s="243"/>
      <c r="E83" s="243"/>
      <c r="F83" s="243"/>
      <c r="G83" s="244">
        <f t="shared" si="27"/>
        <v>0</v>
      </c>
      <c r="H83" s="243"/>
      <c r="I83" s="243"/>
      <c r="J83" s="243"/>
      <c r="K83" s="243"/>
      <c r="L83" s="243"/>
      <c r="M83" s="243"/>
      <c r="N83" s="243"/>
      <c r="O83" s="243"/>
      <c r="P83" s="247">
        <f t="shared" si="26"/>
        <v>0</v>
      </c>
      <c r="Q83" s="253"/>
      <c r="R83" s="253"/>
      <c r="S83" s="253"/>
      <c r="T83" s="253"/>
      <c r="U83" s="245">
        <f t="shared" si="28"/>
        <v>0</v>
      </c>
      <c r="V83" s="245">
        <f t="shared" si="29"/>
        <v>0</v>
      </c>
    </row>
    <row r="84" spans="1:22" hidden="1">
      <c r="A84" s="246" t="str">
        <f>IF($A$38="","",$A$38)</f>
        <v/>
      </c>
      <c r="B84" s="243"/>
      <c r="C84" s="243"/>
      <c r="D84" s="243"/>
      <c r="E84" s="243"/>
      <c r="F84" s="243"/>
      <c r="G84" s="244">
        <f t="shared" si="27"/>
        <v>0</v>
      </c>
      <c r="H84" s="243"/>
      <c r="I84" s="243"/>
      <c r="J84" s="243"/>
      <c r="K84" s="243"/>
      <c r="L84" s="243"/>
      <c r="M84" s="243"/>
      <c r="N84" s="243"/>
      <c r="O84" s="243"/>
      <c r="P84" s="247">
        <f t="shared" si="26"/>
        <v>0</v>
      </c>
      <c r="Q84" s="253"/>
      <c r="R84" s="253"/>
      <c r="S84" s="253"/>
      <c r="T84" s="253"/>
      <c r="U84" s="245">
        <f t="shared" si="28"/>
        <v>0</v>
      </c>
      <c r="V84" s="245">
        <f t="shared" si="29"/>
        <v>0</v>
      </c>
    </row>
    <row r="85" spans="1:22" hidden="1">
      <c r="A85" s="237" t="s">
        <v>522</v>
      </c>
      <c r="B85" s="245">
        <f t="shared" ref="B85:I85" si="30">+SUM(B73:B84)</f>
        <v>0</v>
      </c>
      <c r="C85" s="245">
        <f t="shared" si="30"/>
        <v>0</v>
      </c>
      <c r="D85" s="245">
        <f t="shared" si="30"/>
        <v>0</v>
      </c>
      <c r="E85" s="245">
        <f t="shared" si="30"/>
        <v>0</v>
      </c>
      <c r="F85" s="245">
        <f t="shared" si="30"/>
        <v>0</v>
      </c>
      <c r="G85" s="245">
        <f t="shared" si="30"/>
        <v>0</v>
      </c>
      <c r="H85" s="245">
        <f t="shared" si="30"/>
        <v>0</v>
      </c>
      <c r="I85" s="245">
        <f t="shared" si="30"/>
        <v>0</v>
      </c>
      <c r="J85" s="245">
        <f t="shared" ref="J85:O85" si="31">+SUM(J73:J84)</f>
        <v>0</v>
      </c>
      <c r="K85" s="245">
        <f t="shared" si="31"/>
        <v>0</v>
      </c>
      <c r="L85" s="245">
        <f t="shared" si="31"/>
        <v>0</v>
      </c>
      <c r="M85" s="245">
        <f t="shared" si="31"/>
        <v>0</v>
      </c>
      <c r="N85" s="245">
        <f t="shared" si="31"/>
        <v>0</v>
      </c>
      <c r="O85" s="245">
        <f t="shared" si="31"/>
        <v>0</v>
      </c>
      <c r="P85" s="245">
        <f t="shared" ref="P85:V85" si="32">+SUM(P73:P84)</f>
        <v>0</v>
      </c>
      <c r="Q85" s="245">
        <f t="shared" si="32"/>
        <v>0</v>
      </c>
      <c r="R85" s="245">
        <f t="shared" si="32"/>
        <v>0</v>
      </c>
      <c r="S85" s="245">
        <f t="shared" si="32"/>
        <v>0</v>
      </c>
      <c r="T85" s="245">
        <f t="shared" si="32"/>
        <v>0</v>
      </c>
      <c r="U85" s="245">
        <f t="shared" si="32"/>
        <v>0</v>
      </c>
      <c r="V85" s="245">
        <f t="shared" si="32"/>
        <v>0</v>
      </c>
    </row>
    <row r="86" spans="1:22" hidden="1">
      <c r="A86" s="237" t="s">
        <v>523</v>
      </c>
      <c r="B86" s="245">
        <f>IFERROR(B85/(COUNTA(A73:A84)-COUNTIF(A73:A84,"")),0)</f>
        <v>0</v>
      </c>
      <c r="C86" s="245">
        <f>IFERROR(C85/(COUNTA(A73:A84)-COUNTIF(A73:A84,"")),0)</f>
        <v>0</v>
      </c>
      <c r="D86" s="245">
        <f>IFERROR(D85/(COUNTA(A73:A84)-COUNTIF(A73:A84,"")),0)</f>
        <v>0</v>
      </c>
      <c r="E86" s="245">
        <f>IFERROR(E85/(COUNTA(A73:A84)-COUNTIF(A73:A84,"")),0)</f>
        <v>0</v>
      </c>
      <c r="F86" s="245">
        <f>IFERROR(F85/(COUNTA(A73:A84)-COUNTIF(A73:A84,"")),0)</f>
        <v>0</v>
      </c>
      <c r="G86" s="245">
        <f>IFERROR(G85/(COUNTA(A73:A84)-COUNTIF(A73:A84,"")),0)</f>
        <v>0</v>
      </c>
      <c r="H86" s="245">
        <f>IFERROR(H85/(COUNTA(A73:A84)-COUNTIF(A73:A84,"")),0)</f>
        <v>0</v>
      </c>
      <c r="I86" s="245">
        <f>IFERROR(I85/(COUNTA(A73:A84)-COUNTIF(A73:A84,"")),0)</f>
        <v>0</v>
      </c>
      <c r="J86" s="245">
        <f>IFERROR(J85/(COUNTA(A73:A84)-COUNTIF(A73:A84,"")),0)</f>
        <v>0</v>
      </c>
      <c r="K86" s="245">
        <f>IFERROR(K85/(COUNTA(A73:A84)-COUNTIF(A73:A84,"")),0)</f>
        <v>0</v>
      </c>
      <c r="L86" s="245">
        <f>IFERROR(L85/(COUNTA(A73:A84)-COUNTIF(A73:A84,"")),0)</f>
        <v>0</v>
      </c>
      <c r="M86" s="245">
        <f>IFERROR(M85/(COUNTA(A73:A84)-COUNTIF(A73:A84,"")),0)</f>
        <v>0</v>
      </c>
      <c r="N86" s="245">
        <f>IFERROR(N85/(COUNTA(A73:A84)-COUNTIF(A73:A84,"")),0)</f>
        <v>0</v>
      </c>
      <c r="O86" s="245">
        <f>IFERROR(O85/(COUNTA(A73:A84)-COUNTIF(A73:A84,"")),0)</f>
        <v>0</v>
      </c>
      <c r="P86" s="245">
        <f>IFERROR(P85/(COUNTA(A73:A84)-COUNTIF(A73:A84,"")),0)</f>
        <v>0</v>
      </c>
      <c r="Q86" s="250"/>
      <c r="R86" s="250"/>
      <c r="S86" s="238">
        <f>IFERROR(R85/S85*100,0)</f>
        <v>0</v>
      </c>
      <c r="T86" s="238">
        <f>IFERROR(Q85/T85*100,0)</f>
        <v>0</v>
      </c>
      <c r="U86" s="245">
        <f>IFERROR(U85/COUNTA(A73:A84),0)</f>
        <v>0</v>
      </c>
      <c r="V86" s="245">
        <f>IFERROR(V85/COUNTA(A73:A84),0)</f>
        <v>0</v>
      </c>
    </row>
    <row r="87" spans="1:22" ht="38.25" hidden="1">
      <c r="A87" s="237" t="s">
        <v>524</v>
      </c>
      <c r="B87" s="245">
        <f>O70+B86</f>
        <v>0</v>
      </c>
      <c r="C87" s="245">
        <f>O70+C86</f>
        <v>0</v>
      </c>
      <c r="D87" s="245">
        <f>O70+D86</f>
        <v>0</v>
      </c>
      <c r="E87" s="245"/>
      <c r="F87" s="245"/>
      <c r="G87" s="245">
        <f>O70+G86</f>
        <v>0</v>
      </c>
      <c r="H87" s="245"/>
      <c r="I87" s="245"/>
      <c r="J87" s="245"/>
      <c r="K87" s="245"/>
      <c r="L87" s="245"/>
      <c r="M87" s="245"/>
      <c r="N87" s="245"/>
      <c r="O87" s="245"/>
      <c r="P87" s="245"/>
      <c r="Q87" s="250"/>
      <c r="R87" s="250"/>
      <c r="S87" s="251" t="s">
        <v>525</v>
      </c>
      <c r="T87" s="251" t="s">
        <v>526</v>
      </c>
      <c r="U87" s="251"/>
      <c r="V87" s="251"/>
    </row>
    <row r="91" spans="1:22" ht="12.75" hidden="1" customHeight="1">
      <c r="A91" s="413" t="s">
        <v>502</v>
      </c>
      <c r="B91" s="413"/>
      <c r="C91" s="418"/>
      <c r="D91" s="419"/>
      <c r="E91" s="419"/>
      <c r="F91" s="419"/>
      <c r="G91" s="419"/>
      <c r="H91" s="419"/>
      <c r="I91" s="419"/>
      <c r="J91" s="419"/>
      <c r="K91" s="419"/>
      <c r="L91" s="419"/>
      <c r="M91" s="419"/>
      <c r="N91" s="419"/>
      <c r="O91" s="419"/>
      <c r="P91" s="419"/>
      <c r="Q91" s="419"/>
      <c r="R91" s="419"/>
      <c r="S91" s="419"/>
      <c r="T91" s="420"/>
      <c r="U91" s="239"/>
      <c r="V91" s="239"/>
    </row>
    <row r="92" spans="1:22" ht="12.75" hidden="1" customHeight="1">
      <c r="A92" s="413" t="s">
        <v>527</v>
      </c>
      <c r="B92" s="413"/>
      <c r="C92" s="421"/>
      <c r="D92" s="421"/>
      <c r="E92" s="421"/>
      <c r="F92" s="421"/>
      <c r="G92" s="421"/>
      <c r="H92" s="422" t="s">
        <v>528</v>
      </c>
      <c r="I92" s="422"/>
      <c r="J92" s="421"/>
      <c r="K92" s="421"/>
      <c r="L92" s="421"/>
      <c r="M92" s="421"/>
      <c r="N92" s="421"/>
      <c r="O92" s="421"/>
      <c r="P92" s="421"/>
      <c r="Q92" s="421"/>
      <c r="R92" s="421"/>
      <c r="S92" s="421"/>
      <c r="T92" s="421"/>
      <c r="U92" s="239"/>
      <c r="V92" s="239"/>
    </row>
    <row r="93" spans="1:22" ht="25.5" hidden="1" customHeight="1">
      <c r="A93" s="413" t="s">
        <v>529</v>
      </c>
      <c r="B93" s="413"/>
      <c r="C93" s="418"/>
      <c r="D93" s="420"/>
      <c r="E93" s="241" t="s">
        <v>530</v>
      </c>
      <c r="F93" s="423"/>
      <c r="G93" s="424"/>
      <c r="H93" s="424"/>
      <c r="I93" s="425"/>
      <c r="J93" s="241" t="s">
        <v>531</v>
      </c>
      <c r="K93" s="423"/>
      <c r="L93" s="424"/>
      <c r="M93" s="425"/>
      <c r="N93" s="240" t="s">
        <v>532</v>
      </c>
      <c r="O93" s="426"/>
      <c r="P93" s="427"/>
      <c r="Q93" s="427"/>
      <c r="R93" s="427"/>
      <c r="S93" s="427"/>
      <c r="T93" s="428"/>
      <c r="U93" s="252"/>
      <c r="V93" s="252"/>
    </row>
    <row r="94" spans="1:22" ht="38.25" hidden="1" customHeight="1">
      <c r="A94" s="231" t="s">
        <v>163</v>
      </c>
      <c r="B94" s="415" t="s">
        <v>533</v>
      </c>
      <c r="C94" s="415"/>
      <c r="D94" s="415"/>
      <c r="E94" s="232" t="s">
        <v>534</v>
      </c>
      <c r="F94" s="232" t="s">
        <v>535</v>
      </c>
      <c r="G94" s="231" t="s">
        <v>536</v>
      </c>
      <c r="H94" s="231" t="s">
        <v>537</v>
      </c>
      <c r="I94" s="231" t="s">
        <v>538</v>
      </c>
      <c r="J94" s="232" t="s">
        <v>539</v>
      </c>
      <c r="K94" s="232" t="s">
        <v>540</v>
      </c>
      <c r="L94" s="416" t="s">
        <v>541</v>
      </c>
      <c r="M94" s="417"/>
      <c r="N94" s="416" t="s">
        <v>542</v>
      </c>
      <c r="O94" s="417"/>
      <c r="P94" s="231" t="s">
        <v>543</v>
      </c>
      <c r="Q94" s="231" t="s">
        <v>514</v>
      </c>
      <c r="R94" s="231" t="s">
        <v>515</v>
      </c>
      <c r="S94" s="231" t="s">
        <v>516</v>
      </c>
      <c r="T94" s="231" t="s">
        <v>517</v>
      </c>
      <c r="U94" s="231" t="s">
        <v>544</v>
      </c>
      <c r="V94" s="231" t="s">
        <v>545</v>
      </c>
    </row>
    <row r="95" spans="1:22" hidden="1">
      <c r="A95" s="231"/>
      <c r="B95" s="231">
        <v>10</v>
      </c>
      <c r="C95" s="231">
        <v>20</v>
      </c>
      <c r="D95" s="231">
        <v>30</v>
      </c>
      <c r="E95" s="231"/>
      <c r="F95" s="231"/>
      <c r="G95" s="231"/>
      <c r="H95" s="231"/>
      <c r="I95" s="231"/>
      <c r="J95" s="231"/>
      <c r="K95" s="231"/>
      <c r="L95" s="231" t="s">
        <v>520</v>
      </c>
      <c r="M95" s="231" t="s">
        <v>521</v>
      </c>
      <c r="N95" s="231" t="s">
        <v>520</v>
      </c>
      <c r="O95" s="231" t="s">
        <v>521</v>
      </c>
      <c r="P95" s="231"/>
      <c r="Q95" s="231"/>
      <c r="R95" s="231"/>
      <c r="S95" s="231"/>
      <c r="T95" s="231"/>
      <c r="U95" s="231"/>
      <c r="V95" s="231"/>
    </row>
    <row r="96" spans="1:22" hidden="1">
      <c r="A96" s="246">
        <f>IF($A$27="","",$A$27)</f>
        <v>45139</v>
      </c>
      <c r="B96" s="243"/>
      <c r="C96" s="243"/>
      <c r="D96" s="243"/>
      <c r="E96" s="243"/>
      <c r="F96" s="243"/>
      <c r="G96" s="244">
        <f>IFERROR(AVERAGE(B96:D96),0)</f>
        <v>0</v>
      </c>
      <c r="H96" s="243"/>
      <c r="I96" s="243"/>
      <c r="J96" s="243"/>
      <c r="K96" s="243"/>
      <c r="L96" s="243"/>
      <c r="M96" s="243"/>
      <c r="N96" s="243"/>
      <c r="O96" s="243"/>
      <c r="P96" s="247">
        <f t="shared" ref="P96:P107" si="33">+H96-I96-J96-M96+L96</f>
        <v>0</v>
      </c>
      <c r="Q96" s="253"/>
      <c r="R96" s="253"/>
      <c r="S96" s="253"/>
      <c r="T96" s="253"/>
      <c r="U96" s="245">
        <f>H96-J96-M96</f>
        <v>0</v>
      </c>
      <c r="V96" s="245">
        <f>I96-L96</f>
        <v>0</v>
      </c>
    </row>
    <row r="97" spans="1:22" hidden="1">
      <c r="A97" s="246">
        <f>IF($A$28="","",$A$28)</f>
        <v>45170</v>
      </c>
      <c r="B97" s="243"/>
      <c r="C97" s="243"/>
      <c r="D97" s="243"/>
      <c r="E97" s="243"/>
      <c r="F97" s="243"/>
      <c r="G97" s="244">
        <f t="shared" ref="G97:G107" si="34">IFERROR(AVERAGE(B97:D97),0)</f>
        <v>0</v>
      </c>
      <c r="H97" s="243"/>
      <c r="I97" s="243"/>
      <c r="J97" s="243"/>
      <c r="K97" s="243"/>
      <c r="L97" s="243"/>
      <c r="M97" s="243"/>
      <c r="N97" s="243"/>
      <c r="O97" s="243"/>
      <c r="P97" s="247">
        <f t="shared" si="33"/>
        <v>0</v>
      </c>
      <c r="Q97" s="253"/>
      <c r="R97" s="253"/>
      <c r="S97" s="253"/>
      <c r="T97" s="253"/>
      <c r="U97" s="245">
        <f t="shared" ref="U97:U107" si="35">H97-J97-M97</f>
        <v>0</v>
      </c>
      <c r="V97" s="245">
        <f t="shared" ref="V97:V107" si="36">I97-L97</f>
        <v>0</v>
      </c>
    </row>
    <row r="98" spans="1:22" hidden="1">
      <c r="A98" s="246">
        <f>IF($A$29="","",$A$29)</f>
        <v>45200</v>
      </c>
      <c r="B98" s="243"/>
      <c r="C98" s="243"/>
      <c r="D98" s="243"/>
      <c r="E98" s="243"/>
      <c r="F98" s="243"/>
      <c r="G98" s="244">
        <f t="shared" si="34"/>
        <v>0</v>
      </c>
      <c r="H98" s="243"/>
      <c r="I98" s="243"/>
      <c r="J98" s="243"/>
      <c r="K98" s="243"/>
      <c r="L98" s="243"/>
      <c r="M98" s="243"/>
      <c r="N98" s="243"/>
      <c r="O98" s="243"/>
      <c r="P98" s="247">
        <f t="shared" si="33"/>
        <v>0</v>
      </c>
      <c r="Q98" s="253"/>
      <c r="R98" s="253"/>
      <c r="S98" s="253"/>
      <c r="T98" s="253"/>
      <c r="U98" s="245">
        <f t="shared" si="35"/>
        <v>0</v>
      </c>
      <c r="V98" s="245">
        <f t="shared" si="36"/>
        <v>0</v>
      </c>
    </row>
    <row r="99" spans="1:22" hidden="1">
      <c r="A99" s="246">
        <f>IF($A$30="","",$A$30)</f>
        <v>45231</v>
      </c>
      <c r="B99" s="243"/>
      <c r="C99" s="243"/>
      <c r="D99" s="243"/>
      <c r="E99" s="243"/>
      <c r="F99" s="243"/>
      <c r="G99" s="244">
        <f t="shared" si="34"/>
        <v>0</v>
      </c>
      <c r="H99" s="243"/>
      <c r="I99" s="243"/>
      <c r="J99" s="243"/>
      <c r="K99" s="243"/>
      <c r="L99" s="243"/>
      <c r="M99" s="243"/>
      <c r="N99" s="243"/>
      <c r="O99" s="243"/>
      <c r="P99" s="247">
        <f t="shared" si="33"/>
        <v>0</v>
      </c>
      <c r="Q99" s="253"/>
      <c r="R99" s="253"/>
      <c r="S99" s="253"/>
      <c r="T99" s="253"/>
      <c r="U99" s="245">
        <f t="shared" si="35"/>
        <v>0</v>
      </c>
      <c r="V99" s="245">
        <f t="shared" si="36"/>
        <v>0</v>
      </c>
    </row>
    <row r="100" spans="1:22" hidden="1">
      <c r="A100" s="246">
        <f>IF($A$31="","",$A$31)</f>
        <v>45261</v>
      </c>
      <c r="B100" s="243"/>
      <c r="C100" s="243"/>
      <c r="D100" s="243"/>
      <c r="E100" s="243"/>
      <c r="F100" s="243"/>
      <c r="G100" s="244">
        <f t="shared" si="34"/>
        <v>0</v>
      </c>
      <c r="H100" s="243"/>
      <c r="I100" s="243"/>
      <c r="J100" s="243"/>
      <c r="K100" s="243"/>
      <c r="L100" s="243"/>
      <c r="M100" s="243"/>
      <c r="N100" s="243"/>
      <c r="O100" s="243"/>
      <c r="P100" s="247">
        <f t="shared" si="33"/>
        <v>0</v>
      </c>
      <c r="Q100" s="253"/>
      <c r="R100" s="253"/>
      <c r="S100" s="253"/>
      <c r="T100" s="253"/>
      <c r="U100" s="245">
        <f t="shared" si="35"/>
        <v>0</v>
      </c>
      <c r="V100" s="245">
        <f t="shared" si="36"/>
        <v>0</v>
      </c>
    </row>
    <row r="101" spans="1:22" hidden="1">
      <c r="A101" s="246">
        <f>IF($A$32="","",$A$32)</f>
        <v>45292</v>
      </c>
      <c r="B101" s="243"/>
      <c r="C101" s="243"/>
      <c r="D101" s="243"/>
      <c r="E101" s="243"/>
      <c r="F101" s="243"/>
      <c r="G101" s="244">
        <f t="shared" si="34"/>
        <v>0</v>
      </c>
      <c r="H101" s="243"/>
      <c r="I101" s="243"/>
      <c r="J101" s="243"/>
      <c r="K101" s="243"/>
      <c r="L101" s="243"/>
      <c r="M101" s="243"/>
      <c r="N101" s="243"/>
      <c r="O101" s="243"/>
      <c r="P101" s="247">
        <f t="shared" si="33"/>
        <v>0</v>
      </c>
      <c r="Q101" s="253"/>
      <c r="R101" s="253"/>
      <c r="S101" s="253"/>
      <c r="T101" s="253"/>
      <c r="U101" s="245">
        <f t="shared" si="35"/>
        <v>0</v>
      </c>
      <c r="V101" s="245">
        <f t="shared" si="36"/>
        <v>0</v>
      </c>
    </row>
    <row r="102" spans="1:22" hidden="1">
      <c r="A102" s="246" t="str">
        <f>IF($A$33="","",$A$33)</f>
        <v/>
      </c>
      <c r="B102" s="243"/>
      <c r="C102" s="243"/>
      <c r="D102" s="243"/>
      <c r="E102" s="243"/>
      <c r="F102" s="243"/>
      <c r="G102" s="244">
        <f t="shared" si="34"/>
        <v>0</v>
      </c>
      <c r="H102" s="243"/>
      <c r="I102" s="243"/>
      <c r="J102" s="243"/>
      <c r="K102" s="243"/>
      <c r="L102" s="243"/>
      <c r="M102" s="243"/>
      <c r="N102" s="243"/>
      <c r="O102" s="243"/>
      <c r="P102" s="247">
        <f t="shared" si="33"/>
        <v>0</v>
      </c>
      <c r="Q102" s="253"/>
      <c r="R102" s="253"/>
      <c r="S102" s="253"/>
      <c r="T102" s="253"/>
      <c r="U102" s="245">
        <f t="shared" si="35"/>
        <v>0</v>
      </c>
      <c r="V102" s="245">
        <f t="shared" si="36"/>
        <v>0</v>
      </c>
    </row>
    <row r="103" spans="1:22" hidden="1">
      <c r="A103" s="246" t="str">
        <f>IF($A$34="","",$A$34)</f>
        <v/>
      </c>
      <c r="B103" s="243"/>
      <c r="C103" s="243"/>
      <c r="D103" s="243"/>
      <c r="E103" s="243"/>
      <c r="F103" s="243"/>
      <c r="G103" s="244">
        <f t="shared" si="34"/>
        <v>0</v>
      </c>
      <c r="H103" s="243"/>
      <c r="I103" s="243"/>
      <c r="J103" s="243"/>
      <c r="K103" s="243"/>
      <c r="L103" s="243"/>
      <c r="M103" s="243"/>
      <c r="N103" s="243"/>
      <c r="O103" s="243"/>
      <c r="P103" s="247">
        <f t="shared" si="33"/>
        <v>0</v>
      </c>
      <c r="Q103" s="253"/>
      <c r="R103" s="253"/>
      <c r="S103" s="253"/>
      <c r="T103" s="253"/>
      <c r="U103" s="245">
        <f t="shared" si="35"/>
        <v>0</v>
      </c>
      <c r="V103" s="245">
        <f t="shared" si="36"/>
        <v>0</v>
      </c>
    </row>
    <row r="104" spans="1:22" hidden="1">
      <c r="A104" s="246" t="str">
        <f>IF($A$35="","",$A$35)</f>
        <v/>
      </c>
      <c r="B104" s="243"/>
      <c r="C104" s="243"/>
      <c r="D104" s="243"/>
      <c r="E104" s="243"/>
      <c r="F104" s="243"/>
      <c r="G104" s="244">
        <f t="shared" si="34"/>
        <v>0</v>
      </c>
      <c r="H104" s="243"/>
      <c r="I104" s="243"/>
      <c r="J104" s="243"/>
      <c r="K104" s="243"/>
      <c r="L104" s="243"/>
      <c r="M104" s="243"/>
      <c r="N104" s="243"/>
      <c r="O104" s="243"/>
      <c r="P104" s="247">
        <f t="shared" si="33"/>
        <v>0</v>
      </c>
      <c r="Q104" s="253"/>
      <c r="R104" s="253"/>
      <c r="S104" s="253"/>
      <c r="T104" s="253"/>
      <c r="U104" s="245">
        <f t="shared" si="35"/>
        <v>0</v>
      </c>
      <c r="V104" s="245">
        <f t="shared" si="36"/>
        <v>0</v>
      </c>
    </row>
    <row r="105" spans="1:22" hidden="1">
      <c r="A105" s="246" t="str">
        <f>IF($A$36="","",$A$36)</f>
        <v/>
      </c>
      <c r="B105" s="243"/>
      <c r="C105" s="243"/>
      <c r="D105" s="243"/>
      <c r="E105" s="243"/>
      <c r="F105" s="243"/>
      <c r="G105" s="244">
        <f t="shared" si="34"/>
        <v>0</v>
      </c>
      <c r="H105" s="243"/>
      <c r="I105" s="243"/>
      <c r="J105" s="243"/>
      <c r="K105" s="243"/>
      <c r="L105" s="243"/>
      <c r="M105" s="243"/>
      <c r="N105" s="243"/>
      <c r="O105" s="243"/>
      <c r="P105" s="247">
        <f t="shared" si="33"/>
        <v>0</v>
      </c>
      <c r="Q105" s="253"/>
      <c r="R105" s="253"/>
      <c r="S105" s="253"/>
      <c r="T105" s="253"/>
      <c r="U105" s="245">
        <f t="shared" si="35"/>
        <v>0</v>
      </c>
      <c r="V105" s="245">
        <f t="shared" si="36"/>
        <v>0</v>
      </c>
    </row>
    <row r="106" spans="1:22" hidden="1">
      <c r="A106" s="246" t="str">
        <f>IF($A$37="","",$A$37)</f>
        <v/>
      </c>
      <c r="B106" s="243"/>
      <c r="C106" s="243"/>
      <c r="D106" s="243"/>
      <c r="E106" s="243"/>
      <c r="F106" s="243"/>
      <c r="G106" s="244">
        <f t="shared" si="34"/>
        <v>0</v>
      </c>
      <c r="H106" s="243"/>
      <c r="I106" s="243"/>
      <c r="J106" s="243"/>
      <c r="K106" s="243"/>
      <c r="L106" s="243"/>
      <c r="M106" s="243"/>
      <c r="N106" s="243"/>
      <c r="O106" s="243"/>
      <c r="P106" s="247">
        <f t="shared" si="33"/>
        <v>0</v>
      </c>
      <c r="Q106" s="253"/>
      <c r="R106" s="253"/>
      <c r="S106" s="253"/>
      <c r="T106" s="253"/>
      <c r="U106" s="245">
        <f t="shared" si="35"/>
        <v>0</v>
      </c>
      <c r="V106" s="245">
        <f t="shared" si="36"/>
        <v>0</v>
      </c>
    </row>
    <row r="107" spans="1:22" hidden="1">
      <c r="A107" s="246" t="str">
        <f>IF($A$38="","",$A$38)</f>
        <v/>
      </c>
      <c r="B107" s="243"/>
      <c r="C107" s="243"/>
      <c r="D107" s="243"/>
      <c r="E107" s="243"/>
      <c r="F107" s="243"/>
      <c r="G107" s="244">
        <f t="shared" si="34"/>
        <v>0</v>
      </c>
      <c r="H107" s="243"/>
      <c r="I107" s="243"/>
      <c r="J107" s="243"/>
      <c r="K107" s="243"/>
      <c r="L107" s="243"/>
      <c r="M107" s="243"/>
      <c r="N107" s="243"/>
      <c r="O107" s="243"/>
      <c r="P107" s="247">
        <f t="shared" si="33"/>
        <v>0</v>
      </c>
      <c r="Q107" s="253"/>
      <c r="R107" s="253"/>
      <c r="S107" s="253"/>
      <c r="T107" s="253"/>
      <c r="U107" s="245">
        <f t="shared" si="35"/>
        <v>0</v>
      </c>
      <c r="V107" s="245">
        <f t="shared" si="36"/>
        <v>0</v>
      </c>
    </row>
    <row r="108" spans="1:22" hidden="1">
      <c r="A108" s="237" t="s">
        <v>522</v>
      </c>
      <c r="B108" s="245">
        <f t="shared" ref="B108:I108" si="37">+SUM(B96:B107)</f>
        <v>0</v>
      </c>
      <c r="C108" s="245">
        <f t="shared" si="37"/>
        <v>0</v>
      </c>
      <c r="D108" s="245">
        <f t="shared" si="37"/>
        <v>0</v>
      </c>
      <c r="E108" s="245">
        <f t="shared" si="37"/>
        <v>0</v>
      </c>
      <c r="F108" s="245">
        <f t="shared" si="37"/>
        <v>0</v>
      </c>
      <c r="G108" s="245">
        <f t="shared" si="37"/>
        <v>0</v>
      </c>
      <c r="H108" s="245">
        <f t="shared" si="37"/>
        <v>0</v>
      </c>
      <c r="I108" s="245">
        <f t="shared" si="37"/>
        <v>0</v>
      </c>
      <c r="J108" s="245">
        <f t="shared" ref="J108:O108" si="38">+SUM(J96:J107)</f>
        <v>0</v>
      </c>
      <c r="K108" s="245">
        <f t="shared" si="38"/>
        <v>0</v>
      </c>
      <c r="L108" s="245">
        <f t="shared" si="38"/>
        <v>0</v>
      </c>
      <c r="M108" s="245">
        <f t="shared" si="38"/>
        <v>0</v>
      </c>
      <c r="N108" s="245">
        <f t="shared" si="38"/>
        <v>0</v>
      </c>
      <c r="O108" s="245">
        <f t="shared" si="38"/>
        <v>0</v>
      </c>
      <c r="P108" s="245">
        <f t="shared" ref="P108:V108" si="39">+SUM(P96:P107)</f>
        <v>0</v>
      </c>
      <c r="Q108" s="245">
        <f t="shared" si="39"/>
        <v>0</v>
      </c>
      <c r="R108" s="245">
        <f t="shared" si="39"/>
        <v>0</v>
      </c>
      <c r="S108" s="245">
        <f t="shared" si="39"/>
        <v>0</v>
      </c>
      <c r="T108" s="245">
        <f t="shared" si="39"/>
        <v>0</v>
      </c>
      <c r="U108" s="245">
        <f t="shared" si="39"/>
        <v>0</v>
      </c>
      <c r="V108" s="245">
        <f t="shared" si="39"/>
        <v>0</v>
      </c>
    </row>
    <row r="109" spans="1:22" hidden="1">
      <c r="A109" s="237" t="s">
        <v>523</v>
      </c>
      <c r="B109" s="245">
        <f>IFERROR(B108/(COUNTA(A96:A107)-COUNTIF(A96:A107,"")),0)</f>
        <v>0</v>
      </c>
      <c r="C109" s="245">
        <f>IFERROR(C108/(COUNTA(A96:A107)-COUNTIF(A96:A107,"")),0)</f>
        <v>0</v>
      </c>
      <c r="D109" s="245">
        <f>IFERROR(D108/(COUNTA(A96:A107)-COUNTIF(A96:A107,"")),0)</f>
        <v>0</v>
      </c>
      <c r="E109" s="245">
        <f>IFERROR(E108/(COUNTA(A96:A107)-COUNTIF(A96:A107,"")),0)</f>
        <v>0</v>
      </c>
      <c r="F109" s="245">
        <f>IFERROR(F108/(COUNTA(A96:A107)-COUNTIF(A96:A107,"")),0)</f>
        <v>0</v>
      </c>
      <c r="G109" s="245">
        <f>IFERROR(G108/(COUNTA(A96:A107)-COUNTIF(A96:A107,"")),0)</f>
        <v>0</v>
      </c>
      <c r="H109" s="245">
        <f>IFERROR(H108/(COUNTA(A96:A107)-COUNTIF(A96:A107,"")),0)</f>
        <v>0</v>
      </c>
      <c r="I109" s="245">
        <f>IFERROR(I108/(COUNTA(A96:A107)-COUNTIF(A96:A107,"")),0)</f>
        <v>0</v>
      </c>
      <c r="J109" s="245">
        <f>IFERROR(J108/(COUNTA(A96:A107)-COUNTIF(A96:A107,"")),0)</f>
        <v>0</v>
      </c>
      <c r="K109" s="245">
        <f>IFERROR(K108/(COUNTA(A96:A107)-COUNTIF(A96:A107,"")),0)</f>
        <v>0</v>
      </c>
      <c r="L109" s="245">
        <f>IFERROR(L108/(COUNTA(A96:A107)-COUNTIF(A96:A107,"")),0)</f>
        <v>0</v>
      </c>
      <c r="M109" s="245">
        <f>IFERROR(M108/(COUNTA(A96:A107)-COUNTIF(A96:A107,"")),0)</f>
        <v>0</v>
      </c>
      <c r="N109" s="245">
        <f>IFERROR(N108/(COUNTA(A96:A107)-COUNTIF(A96:A107,"")),0)</f>
        <v>0</v>
      </c>
      <c r="O109" s="245">
        <f>IFERROR(O108/(COUNTA(A96:A107)-COUNTIF(A96:A107,"")),0)</f>
        <v>0</v>
      </c>
      <c r="P109" s="245">
        <f>IFERROR(P108/(COUNTA(A96:A107)-COUNTIF(A96:A107,"")),0)</f>
        <v>0</v>
      </c>
      <c r="Q109" s="250"/>
      <c r="R109" s="250"/>
      <c r="S109" s="238">
        <f>IFERROR(R108/S108*100,0)</f>
        <v>0</v>
      </c>
      <c r="T109" s="238">
        <f>IFERROR(Q108/T108*100,0)</f>
        <v>0</v>
      </c>
      <c r="U109" s="245">
        <f>IFERROR(U108/COUNTA(A96:A107),0)</f>
        <v>0</v>
      </c>
      <c r="V109" s="245">
        <f>IFERROR(V108/COUNTA(A96:A107),0)</f>
        <v>0</v>
      </c>
    </row>
    <row r="110" spans="1:22" ht="38.25" hidden="1">
      <c r="A110" s="237" t="s">
        <v>524</v>
      </c>
      <c r="B110" s="245">
        <f>O93+B109</f>
        <v>0</v>
      </c>
      <c r="C110" s="245">
        <f>O93+C109</f>
        <v>0</v>
      </c>
      <c r="D110" s="245">
        <f>O93+D109</f>
        <v>0</v>
      </c>
      <c r="E110" s="245"/>
      <c r="F110" s="245"/>
      <c r="G110" s="245">
        <f>O93+G109</f>
        <v>0</v>
      </c>
      <c r="H110" s="245"/>
      <c r="I110" s="245"/>
      <c r="J110" s="245"/>
      <c r="K110" s="245"/>
      <c r="L110" s="245"/>
      <c r="M110" s="245"/>
      <c r="N110" s="245"/>
      <c r="O110" s="245"/>
      <c r="P110" s="245"/>
      <c r="Q110" s="250"/>
      <c r="R110" s="250"/>
      <c r="S110" s="251" t="s">
        <v>525</v>
      </c>
      <c r="T110" s="251" t="s">
        <v>526</v>
      </c>
      <c r="U110" s="251"/>
      <c r="V110" s="251"/>
    </row>
    <row r="114" spans="1:22" ht="12.75" hidden="1" customHeight="1">
      <c r="A114" s="413" t="s">
        <v>502</v>
      </c>
      <c r="B114" s="413"/>
      <c r="C114" s="418"/>
      <c r="D114" s="419"/>
      <c r="E114" s="419"/>
      <c r="F114" s="419"/>
      <c r="G114" s="419"/>
      <c r="H114" s="419"/>
      <c r="I114" s="419"/>
      <c r="J114" s="419"/>
      <c r="K114" s="419"/>
      <c r="L114" s="419"/>
      <c r="M114" s="419"/>
      <c r="N114" s="419"/>
      <c r="O114" s="419"/>
      <c r="P114" s="419"/>
      <c r="Q114" s="419"/>
      <c r="R114" s="419"/>
      <c r="S114" s="419"/>
      <c r="T114" s="420"/>
      <c r="U114" s="239"/>
      <c r="V114" s="239"/>
    </row>
    <row r="115" spans="1:22" ht="12.75" hidden="1" customHeight="1">
      <c r="A115" s="413" t="s">
        <v>527</v>
      </c>
      <c r="B115" s="413"/>
      <c r="C115" s="421"/>
      <c r="D115" s="421"/>
      <c r="E115" s="421"/>
      <c r="F115" s="421"/>
      <c r="G115" s="421"/>
      <c r="H115" s="422" t="s">
        <v>528</v>
      </c>
      <c r="I115" s="422"/>
      <c r="J115" s="421"/>
      <c r="K115" s="421"/>
      <c r="L115" s="421"/>
      <c r="M115" s="421"/>
      <c r="N115" s="421"/>
      <c r="O115" s="421"/>
      <c r="P115" s="421"/>
      <c r="Q115" s="421"/>
      <c r="R115" s="421"/>
      <c r="S115" s="421"/>
      <c r="T115" s="421"/>
      <c r="U115" s="239"/>
      <c r="V115" s="239"/>
    </row>
    <row r="116" spans="1:22" ht="25.5" hidden="1" customHeight="1">
      <c r="A116" s="413" t="s">
        <v>529</v>
      </c>
      <c r="B116" s="413"/>
      <c r="C116" s="418"/>
      <c r="D116" s="420"/>
      <c r="E116" s="241" t="s">
        <v>530</v>
      </c>
      <c r="F116" s="423"/>
      <c r="G116" s="424"/>
      <c r="H116" s="424"/>
      <c r="I116" s="425"/>
      <c r="J116" s="241" t="s">
        <v>531</v>
      </c>
      <c r="K116" s="423"/>
      <c r="L116" s="424"/>
      <c r="M116" s="425"/>
      <c r="N116" s="240" t="s">
        <v>532</v>
      </c>
      <c r="O116" s="426"/>
      <c r="P116" s="427"/>
      <c r="Q116" s="427"/>
      <c r="R116" s="427"/>
      <c r="S116" s="427"/>
      <c r="T116" s="428"/>
      <c r="U116" s="252"/>
      <c r="V116" s="252"/>
    </row>
    <row r="117" spans="1:22" ht="38.25" hidden="1" customHeight="1">
      <c r="A117" s="231" t="s">
        <v>163</v>
      </c>
      <c r="B117" s="415" t="s">
        <v>533</v>
      </c>
      <c r="C117" s="415"/>
      <c r="D117" s="415"/>
      <c r="E117" s="232" t="s">
        <v>534</v>
      </c>
      <c r="F117" s="232" t="s">
        <v>535</v>
      </c>
      <c r="G117" s="231" t="s">
        <v>536</v>
      </c>
      <c r="H117" s="231" t="s">
        <v>537</v>
      </c>
      <c r="I117" s="231" t="s">
        <v>538</v>
      </c>
      <c r="J117" s="232" t="s">
        <v>539</v>
      </c>
      <c r="K117" s="232" t="s">
        <v>540</v>
      </c>
      <c r="L117" s="416" t="s">
        <v>541</v>
      </c>
      <c r="M117" s="417"/>
      <c r="N117" s="416" t="s">
        <v>542</v>
      </c>
      <c r="O117" s="417"/>
      <c r="P117" s="231" t="s">
        <v>543</v>
      </c>
      <c r="Q117" s="231" t="s">
        <v>514</v>
      </c>
      <c r="R117" s="231" t="s">
        <v>515</v>
      </c>
      <c r="S117" s="231" t="s">
        <v>516</v>
      </c>
      <c r="T117" s="231" t="s">
        <v>517</v>
      </c>
      <c r="U117" s="231" t="s">
        <v>544</v>
      </c>
      <c r="V117" s="231" t="s">
        <v>545</v>
      </c>
    </row>
    <row r="118" spans="1:22" hidden="1">
      <c r="A118" s="231"/>
      <c r="B118" s="231">
        <v>10</v>
      </c>
      <c r="C118" s="231">
        <v>20</v>
      </c>
      <c r="D118" s="231">
        <v>30</v>
      </c>
      <c r="E118" s="231"/>
      <c r="F118" s="231"/>
      <c r="G118" s="231"/>
      <c r="H118" s="231"/>
      <c r="I118" s="231"/>
      <c r="J118" s="231"/>
      <c r="K118" s="231"/>
      <c r="L118" s="231" t="s">
        <v>520</v>
      </c>
      <c r="M118" s="231" t="s">
        <v>521</v>
      </c>
      <c r="N118" s="231" t="s">
        <v>520</v>
      </c>
      <c r="O118" s="231" t="s">
        <v>521</v>
      </c>
      <c r="P118" s="231"/>
      <c r="Q118" s="231"/>
      <c r="R118" s="231"/>
      <c r="S118" s="231"/>
      <c r="T118" s="231"/>
      <c r="U118" s="231"/>
      <c r="V118" s="231"/>
    </row>
    <row r="119" spans="1:22" hidden="1">
      <c r="A119" s="246">
        <f>IF($A$27="","",$A$27)</f>
        <v>45139</v>
      </c>
      <c r="B119" s="243"/>
      <c r="C119" s="243"/>
      <c r="D119" s="243"/>
      <c r="E119" s="243"/>
      <c r="F119" s="243"/>
      <c r="G119" s="244">
        <f>IFERROR(AVERAGE(B119:D119),0)</f>
        <v>0</v>
      </c>
      <c r="H119" s="243"/>
      <c r="I119" s="243"/>
      <c r="J119" s="243"/>
      <c r="K119" s="243"/>
      <c r="L119" s="243"/>
      <c r="M119" s="243"/>
      <c r="N119" s="243"/>
      <c r="O119" s="243"/>
      <c r="P119" s="247">
        <f t="shared" ref="P119:P130" si="40">+H119-I119-J119-M119+L119</f>
        <v>0</v>
      </c>
      <c r="Q119" s="253"/>
      <c r="R119" s="253"/>
      <c r="S119" s="253"/>
      <c r="T119" s="253"/>
      <c r="U119" s="245">
        <f>H119-J119-M119</f>
        <v>0</v>
      </c>
      <c r="V119" s="245">
        <f>I119-L119</f>
        <v>0</v>
      </c>
    </row>
    <row r="120" spans="1:22" hidden="1">
      <c r="A120" s="246">
        <f>IF($A$28="","",$A$28)</f>
        <v>45170</v>
      </c>
      <c r="B120" s="243"/>
      <c r="C120" s="243"/>
      <c r="D120" s="243"/>
      <c r="E120" s="243"/>
      <c r="F120" s="243"/>
      <c r="G120" s="244">
        <f t="shared" ref="G120:G130" si="41">IFERROR(AVERAGE(B120:D120),0)</f>
        <v>0</v>
      </c>
      <c r="H120" s="243"/>
      <c r="I120" s="243"/>
      <c r="J120" s="243"/>
      <c r="K120" s="243"/>
      <c r="L120" s="243"/>
      <c r="M120" s="243"/>
      <c r="N120" s="243"/>
      <c r="O120" s="243"/>
      <c r="P120" s="247">
        <f t="shared" si="40"/>
        <v>0</v>
      </c>
      <c r="Q120" s="253"/>
      <c r="R120" s="253"/>
      <c r="S120" s="253"/>
      <c r="T120" s="253"/>
      <c r="U120" s="245">
        <f t="shared" ref="U120:U130" si="42">H120-J120-M120</f>
        <v>0</v>
      </c>
      <c r="V120" s="245">
        <f t="shared" ref="V120:V130" si="43">I120-L120</f>
        <v>0</v>
      </c>
    </row>
    <row r="121" spans="1:22" hidden="1">
      <c r="A121" s="246">
        <f>IF($A$29="","",$A$29)</f>
        <v>45200</v>
      </c>
      <c r="B121" s="243"/>
      <c r="C121" s="243"/>
      <c r="D121" s="243"/>
      <c r="E121" s="243"/>
      <c r="F121" s="243"/>
      <c r="G121" s="244">
        <f t="shared" si="41"/>
        <v>0</v>
      </c>
      <c r="H121" s="243"/>
      <c r="I121" s="243"/>
      <c r="J121" s="243"/>
      <c r="K121" s="243"/>
      <c r="L121" s="243"/>
      <c r="M121" s="243"/>
      <c r="N121" s="243"/>
      <c r="O121" s="243"/>
      <c r="P121" s="247">
        <f t="shared" si="40"/>
        <v>0</v>
      </c>
      <c r="Q121" s="253"/>
      <c r="R121" s="253"/>
      <c r="S121" s="253"/>
      <c r="T121" s="253"/>
      <c r="U121" s="245">
        <f t="shared" si="42"/>
        <v>0</v>
      </c>
      <c r="V121" s="245">
        <f t="shared" si="43"/>
        <v>0</v>
      </c>
    </row>
    <row r="122" spans="1:22" hidden="1">
      <c r="A122" s="246">
        <f>IF($A$30="","",$A$30)</f>
        <v>45231</v>
      </c>
      <c r="B122" s="243"/>
      <c r="C122" s="243"/>
      <c r="D122" s="243"/>
      <c r="E122" s="243"/>
      <c r="F122" s="243"/>
      <c r="G122" s="244">
        <f t="shared" si="41"/>
        <v>0</v>
      </c>
      <c r="H122" s="243"/>
      <c r="I122" s="243"/>
      <c r="J122" s="243"/>
      <c r="K122" s="243"/>
      <c r="L122" s="243"/>
      <c r="M122" s="243"/>
      <c r="N122" s="243"/>
      <c r="O122" s="243"/>
      <c r="P122" s="247">
        <f t="shared" si="40"/>
        <v>0</v>
      </c>
      <c r="Q122" s="253"/>
      <c r="R122" s="253"/>
      <c r="S122" s="253"/>
      <c r="T122" s="253"/>
      <c r="U122" s="245">
        <f t="shared" si="42"/>
        <v>0</v>
      </c>
      <c r="V122" s="245">
        <f t="shared" si="43"/>
        <v>0</v>
      </c>
    </row>
    <row r="123" spans="1:22" hidden="1">
      <c r="A123" s="246">
        <f>IF($A$31="","",$A$31)</f>
        <v>45261</v>
      </c>
      <c r="B123" s="243"/>
      <c r="C123" s="243"/>
      <c r="D123" s="243"/>
      <c r="E123" s="243"/>
      <c r="F123" s="243"/>
      <c r="G123" s="244">
        <f t="shared" si="41"/>
        <v>0</v>
      </c>
      <c r="H123" s="243"/>
      <c r="I123" s="243"/>
      <c r="J123" s="243"/>
      <c r="K123" s="243"/>
      <c r="L123" s="243"/>
      <c r="M123" s="243"/>
      <c r="N123" s="243"/>
      <c r="O123" s="243"/>
      <c r="P123" s="247">
        <f t="shared" si="40"/>
        <v>0</v>
      </c>
      <c r="Q123" s="253"/>
      <c r="R123" s="253"/>
      <c r="S123" s="253"/>
      <c r="T123" s="253"/>
      <c r="U123" s="245">
        <f t="shared" si="42"/>
        <v>0</v>
      </c>
      <c r="V123" s="245">
        <f t="shared" si="43"/>
        <v>0</v>
      </c>
    </row>
    <row r="124" spans="1:22" hidden="1">
      <c r="A124" s="246">
        <f>IF($A$32="","",$A$32)</f>
        <v>45292</v>
      </c>
      <c r="B124" s="243"/>
      <c r="C124" s="243"/>
      <c r="D124" s="243"/>
      <c r="E124" s="243"/>
      <c r="F124" s="243"/>
      <c r="G124" s="244">
        <f t="shared" si="41"/>
        <v>0</v>
      </c>
      <c r="H124" s="243"/>
      <c r="I124" s="243"/>
      <c r="J124" s="243"/>
      <c r="K124" s="243"/>
      <c r="L124" s="243"/>
      <c r="M124" s="243"/>
      <c r="N124" s="243"/>
      <c r="O124" s="243"/>
      <c r="P124" s="247">
        <f t="shared" si="40"/>
        <v>0</v>
      </c>
      <c r="Q124" s="253"/>
      <c r="R124" s="253"/>
      <c r="S124" s="253"/>
      <c r="T124" s="253"/>
      <c r="U124" s="245">
        <f t="shared" si="42"/>
        <v>0</v>
      </c>
      <c r="V124" s="245">
        <f t="shared" si="43"/>
        <v>0</v>
      </c>
    </row>
    <row r="125" spans="1:22" hidden="1">
      <c r="A125" s="246" t="str">
        <f>IF($A$33="","",$A$33)</f>
        <v/>
      </c>
      <c r="B125" s="243"/>
      <c r="C125" s="243"/>
      <c r="D125" s="243"/>
      <c r="E125" s="243"/>
      <c r="F125" s="243"/>
      <c r="G125" s="244">
        <f t="shared" si="41"/>
        <v>0</v>
      </c>
      <c r="H125" s="243"/>
      <c r="I125" s="243"/>
      <c r="J125" s="243"/>
      <c r="K125" s="243"/>
      <c r="L125" s="243"/>
      <c r="M125" s="243"/>
      <c r="N125" s="243"/>
      <c r="O125" s="243"/>
      <c r="P125" s="247">
        <f t="shared" si="40"/>
        <v>0</v>
      </c>
      <c r="Q125" s="253"/>
      <c r="R125" s="253"/>
      <c r="S125" s="253"/>
      <c r="T125" s="253"/>
      <c r="U125" s="245">
        <f t="shared" si="42"/>
        <v>0</v>
      </c>
      <c r="V125" s="245">
        <f t="shared" si="43"/>
        <v>0</v>
      </c>
    </row>
    <row r="126" spans="1:22" hidden="1">
      <c r="A126" s="246" t="str">
        <f>IF($A$34="","",$A$34)</f>
        <v/>
      </c>
      <c r="B126" s="243"/>
      <c r="C126" s="243"/>
      <c r="D126" s="243"/>
      <c r="E126" s="243"/>
      <c r="F126" s="243"/>
      <c r="G126" s="244">
        <f t="shared" si="41"/>
        <v>0</v>
      </c>
      <c r="H126" s="243"/>
      <c r="I126" s="243"/>
      <c r="J126" s="243"/>
      <c r="K126" s="243"/>
      <c r="L126" s="243"/>
      <c r="M126" s="243"/>
      <c r="N126" s="243"/>
      <c r="O126" s="243"/>
      <c r="P126" s="247">
        <f t="shared" si="40"/>
        <v>0</v>
      </c>
      <c r="Q126" s="253"/>
      <c r="R126" s="253"/>
      <c r="S126" s="253"/>
      <c r="T126" s="253"/>
      <c r="U126" s="245">
        <f t="shared" si="42"/>
        <v>0</v>
      </c>
      <c r="V126" s="245">
        <f t="shared" si="43"/>
        <v>0</v>
      </c>
    </row>
    <row r="127" spans="1:22" hidden="1">
      <c r="A127" s="246" t="str">
        <f>IF($A$35="","",$A$35)</f>
        <v/>
      </c>
      <c r="B127" s="243"/>
      <c r="C127" s="243"/>
      <c r="D127" s="243"/>
      <c r="E127" s="243"/>
      <c r="F127" s="243"/>
      <c r="G127" s="244">
        <f t="shared" si="41"/>
        <v>0</v>
      </c>
      <c r="H127" s="243"/>
      <c r="I127" s="243"/>
      <c r="J127" s="243"/>
      <c r="K127" s="243"/>
      <c r="L127" s="243"/>
      <c r="M127" s="243"/>
      <c r="N127" s="243"/>
      <c r="O127" s="243"/>
      <c r="P127" s="247">
        <f t="shared" si="40"/>
        <v>0</v>
      </c>
      <c r="Q127" s="253"/>
      <c r="R127" s="253"/>
      <c r="S127" s="253"/>
      <c r="T127" s="253"/>
      <c r="U127" s="245">
        <f t="shared" si="42"/>
        <v>0</v>
      </c>
      <c r="V127" s="245">
        <f t="shared" si="43"/>
        <v>0</v>
      </c>
    </row>
    <row r="128" spans="1:22" hidden="1">
      <c r="A128" s="246" t="str">
        <f>IF($A$36="","",$A$36)</f>
        <v/>
      </c>
      <c r="B128" s="243"/>
      <c r="C128" s="243"/>
      <c r="D128" s="243"/>
      <c r="E128" s="243"/>
      <c r="F128" s="243"/>
      <c r="G128" s="244">
        <f t="shared" si="41"/>
        <v>0</v>
      </c>
      <c r="H128" s="243"/>
      <c r="I128" s="243"/>
      <c r="J128" s="243"/>
      <c r="K128" s="243"/>
      <c r="L128" s="243"/>
      <c r="M128" s="243"/>
      <c r="N128" s="243"/>
      <c r="O128" s="243"/>
      <c r="P128" s="247">
        <f t="shared" si="40"/>
        <v>0</v>
      </c>
      <c r="Q128" s="253"/>
      <c r="R128" s="253"/>
      <c r="S128" s="253"/>
      <c r="T128" s="253"/>
      <c r="U128" s="245">
        <f t="shared" si="42"/>
        <v>0</v>
      </c>
      <c r="V128" s="245">
        <f t="shared" si="43"/>
        <v>0</v>
      </c>
    </row>
    <row r="129" spans="1:22" hidden="1">
      <c r="A129" s="246" t="str">
        <f>IF($A$37="","",$A$37)</f>
        <v/>
      </c>
      <c r="B129" s="243"/>
      <c r="C129" s="243"/>
      <c r="D129" s="243"/>
      <c r="E129" s="243"/>
      <c r="F129" s="243"/>
      <c r="G129" s="244">
        <f t="shared" si="41"/>
        <v>0</v>
      </c>
      <c r="H129" s="243"/>
      <c r="I129" s="243"/>
      <c r="J129" s="243"/>
      <c r="K129" s="243"/>
      <c r="L129" s="243"/>
      <c r="M129" s="243"/>
      <c r="N129" s="243"/>
      <c r="O129" s="243"/>
      <c r="P129" s="247">
        <f t="shared" si="40"/>
        <v>0</v>
      </c>
      <c r="Q129" s="253"/>
      <c r="R129" s="253"/>
      <c r="S129" s="253"/>
      <c r="T129" s="253"/>
      <c r="U129" s="245">
        <f t="shared" si="42"/>
        <v>0</v>
      </c>
      <c r="V129" s="245">
        <f t="shared" si="43"/>
        <v>0</v>
      </c>
    </row>
    <row r="130" spans="1:22" hidden="1">
      <c r="A130" s="246" t="str">
        <f>IF($A$38="","",$A$38)</f>
        <v/>
      </c>
      <c r="B130" s="243"/>
      <c r="C130" s="243"/>
      <c r="D130" s="243"/>
      <c r="E130" s="243"/>
      <c r="F130" s="243"/>
      <c r="G130" s="244">
        <f t="shared" si="41"/>
        <v>0</v>
      </c>
      <c r="H130" s="243"/>
      <c r="I130" s="243"/>
      <c r="J130" s="243"/>
      <c r="K130" s="243"/>
      <c r="L130" s="243"/>
      <c r="M130" s="243"/>
      <c r="N130" s="243"/>
      <c r="O130" s="243"/>
      <c r="P130" s="247">
        <f t="shared" si="40"/>
        <v>0</v>
      </c>
      <c r="Q130" s="253"/>
      <c r="R130" s="253"/>
      <c r="S130" s="253"/>
      <c r="T130" s="253"/>
      <c r="U130" s="245">
        <f t="shared" si="42"/>
        <v>0</v>
      </c>
      <c r="V130" s="245">
        <f t="shared" si="43"/>
        <v>0</v>
      </c>
    </row>
    <row r="131" spans="1:22" hidden="1">
      <c r="A131" s="237" t="s">
        <v>522</v>
      </c>
      <c r="B131" s="245">
        <f t="shared" ref="B131:I131" si="44">+SUM(B119:B130)</f>
        <v>0</v>
      </c>
      <c r="C131" s="245">
        <f t="shared" si="44"/>
        <v>0</v>
      </c>
      <c r="D131" s="245">
        <f t="shared" si="44"/>
        <v>0</v>
      </c>
      <c r="E131" s="245">
        <f t="shared" si="44"/>
        <v>0</v>
      </c>
      <c r="F131" s="245">
        <f t="shared" si="44"/>
        <v>0</v>
      </c>
      <c r="G131" s="245">
        <f t="shared" si="44"/>
        <v>0</v>
      </c>
      <c r="H131" s="245">
        <f t="shared" si="44"/>
        <v>0</v>
      </c>
      <c r="I131" s="245">
        <f t="shared" si="44"/>
        <v>0</v>
      </c>
      <c r="J131" s="245">
        <f t="shared" ref="J131:O131" si="45">+SUM(J119:J130)</f>
        <v>0</v>
      </c>
      <c r="K131" s="245">
        <f t="shared" si="45"/>
        <v>0</v>
      </c>
      <c r="L131" s="245">
        <f t="shared" si="45"/>
        <v>0</v>
      </c>
      <c r="M131" s="245">
        <f t="shared" si="45"/>
        <v>0</v>
      </c>
      <c r="N131" s="245">
        <f t="shared" si="45"/>
        <v>0</v>
      </c>
      <c r="O131" s="245">
        <f t="shared" si="45"/>
        <v>0</v>
      </c>
      <c r="P131" s="245">
        <f t="shared" ref="P131:V131" si="46">+SUM(P119:P130)</f>
        <v>0</v>
      </c>
      <c r="Q131" s="245">
        <f t="shared" si="46"/>
        <v>0</v>
      </c>
      <c r="R131" s="245">
        <f t="shared" si="46"/>
        <v>0</v>
      </c>
      <c r="S131" s="245">
        <f t="shared" si="46"/>
        <v>0</v>
      </c>
      <c r="T131" s="245">
        <f t="shared" si="46"/>
        <v>0</v>
      </c>
      <c r="U131" s="245">
        <f t="shared" si="46"/>
        <v>0</v>
      </c>
      <c r="V131" s="245">
        <f t="shared" si="46"/>
        <v>0</v>
      </c>
    </row>
    <row r="132" spans="1:22" hidden="1">
      <c r="A132" s="237" t="s">
        <v>523</v>
      </c>
      <c r="B132" s="245">
        <f>IFERROR(B131/(COUNTA(A119:A130)-COUNTIF(A119:A130,"")),0)</f>
        <v>0</v>
      </c>
      <c r="C132" s="245">
        <f>IFERROR(C131/(COUNTA(A119:A130)-COUNTIF(A119:A130,"")),0)</f>
        <v>0</v>
      </c>
      <c r="D132" s="245">
        <f>IFERROR(D131/(COUNTA(A119:A130)-COUNTIF(A119:A130,"")),0)</f>
        <v>0</v>
      </c>
      <c r="E132" s="245">
        <f>IFERROR(E131/(COUNTA(A119:A130)-COUNTIF(A119:A130,"")),0)</f>
        <v>0</v>
      </c>
      <c r="F132" s="245">
        <f>IFERROR(F131/(COUNTA(A119:A130)-COUNTIF(A119:A130,"")),0)</f>
        <v>0</v>
      </c>
      <c r="G132" s="245">
        <f>IFERROR(G131/(COUNTA(A119:A130)-COUNTIF(A119:A130,"")),0)</f>
        <v>0</v>
      </c>
      <c r="H132" s="245">
        <f>IFERROR(H131/(COUNTA(A119:A130)-COUNTIF(A119:A130,"")),0)</f>
        <v>0</v>
      </c>
      <c r="I132" s="245">
        <f>IFERROR(I131/(COUNTA(A119:A130)-COUNTIF(A119:A130,"")),0)</f>
        <v>0</v>
      </c>
      <c r="J132" s="245">
        <f>IFERROR(J131/(COUNTA(A119:A130)-COUNTIF(A119:A130,"")),0)</f>
        <v>0</v>
      </c>
      <c r="K132" s="245">
        <f>IFERROR(K131/(COUNTA(A119:A130)-COUNTIF(A119:A130,"")),0)</f>
        <v>0</v>
      </c>
      <c r="L132" s="245">
        <f>IFERROR(L131/(COUNTA(A119:A130)-COUNTIF(A119:A130,"")),0)</f>
        <v>0</v>
      </c>
      <c r="M132" s="245">
        <f>IFERROR(M131/(COUNTA(A119:A130)-COUNTIF(A119:A130,"")),0)</f>
        <v>0</v>
      </c>
      <c r="N132" s="245">
        <f>IFERROR(N131/(COUNTA(A119:A130)-COUNTIF(A119:A130,"")),0)</f>
        <v>0</v>
      </c>
      <c r="O132" s="245">
        <f>IFERROR(O131/(COUNTA(A119:A130)-COUNTIF(A119:A130,"")),0)</f>
        <v>0</v>
      </c>
      <c r="P132" s="245">
        <f>IFERROR(P131/(COUNTA(A119:A130)-COUNTIF(A119:A130,"")),0)</f>
        <v>0</v>
      </c>
      <c r="Q132" s="250"/>
      <c r="R132" s="250"/>
      <c r="S132" s="238">
        <f>IFERROR(R131/S131*100,0)</f>
        <v>0</v>
      </c>
      <c r="T132" s="238">
        <f>IFERROR(Q131/T131*100,0)</f>
        <v>0</v>
      </c>
      <c r="U132" s="245">
        <f>IFERROR(U131/COUNTA(A119:A130),0)</f>
        <v>0</v>
      </c>
      <c r="V132" s="245">
        <f>IFERROR(V131/COUNTA(A119:A130),0)</f>
        <v>0</v>
      </c>
    </row>
    <row r="133" spans="1:22" ht="38.25" hidden="1">
      <c r="A133" s="237" t="s">
        <v>524</v>
      </c>
      <c r="B133" s="245">
        <f>O116+B132</f>
        <v>0</v>
      </c>
      <c r="C133" s="245">
        <f>O116+C132</f>
        <v>0</v>
      </c>
      <c r="D133" s="245">
        <f>O116+D132</f>
        <v>0</v>
      </c>
      <c r="E133" s="245"/>
      <c r="F133" s="245"/>
      <c r="G133" s="245">
        <f>O116+G132</f>
        <v>0</v>
      </c>
      <c r="H133" s="245"/>
      <c r="I133" s="245"/>
      <c r="J133" s="245"/>
      <c r="K133" s="245"/>
      <c r="L133" s="245"/>
      <c r="M133" s="245"/>
      <c r="N133" s="245"/>
      <c r="O133" s="245"/>
      <c r="P133" s="245"/>
      <c r="Q133" s="250"/>
      <c r="R133" s="250"/>
      <c r="S133" s="251" t="s">
        <v>525</v>
      </c>
      <c r="T133" s="251" t="s">
        <v>526</v>
      </c>
      <c r="U133" s="251"/>
      <c r="V133" s="251"/>
    </row>
    <row r="137" spans="1:22" ht="12.75" hidden="1" customHeight="1">
      <c r="A137" s="413" t="s">
        <v>502</v>
      </c>
      <c r="B137" s="413"/>
      <c r="C137" s="418"/>
      <c r="D137" s="419"/>
      <c r="E137" s="419"/>
      <c r="F137" s="419"/>
      <c r="G137" s="419"/>
      <c r="H137" s="419"/>
      <c r="I137" s="419"/>
      <c r="J137" s="419"/>
      <c r="K137" s="419"/>
      <c r="L137" s="419"/>
      <c r="M137" s="419"/>
      <c r="N137" s="419"/>
      <c r="O137" s="419"/>
      <c r="P137" s="419"/>
      <c r="Q137" s="419"/>
      <c r="R137" s="419"/>
      <c r="S137" s="419"/>
      <c r="T137" s="420"/>
      <c r="U137" s="239"/>
      <c r="V137" s="239"/>
    </row>
    <row r="138" spans="1:22" ht="12.75" hidden="1" customHeight="1">
      <c r="A138" s="413" t="s">
        <v>527</v>
      </c>
      <c r="B138" s="413"/>
      <c r="C138" s="421"/>
      <c r="D138" s="421"/>
      <c r="E138" s="421"/>
      <c r="F138" s="421"/>
      <c r="G138" s="421"/>
      <c r="H138" s="422" t="s">
        <v>528</v>
      </c>
      <c r="I138" s="422"/>
      <c r="J138" s="421"/>
      <c r="K138" s="421"/>
      <c r="L138" s="421"/>
      <c r="M138" s="421"/>
      <c r="N138" s="421"/>
      <c r="O138" s="421"/>
      <c r="P138" s="421"/>
      <c r="Q138" s="421"/>
      <c r="R138" s="421"/>
      <c r="S138" s="421"/>
      <c r="T138" s="421"/>
      <c r="U138" s="239"/>
      <c r="V138" s="239"/>
    </row>
    <row r="139" spans="1:22" ht="25.5" hidden="1" customHeight="1">
      <c r="A139" s="413" t="s">
        <v>529</v>
      </c>
      <c r="B139" s="413"/>
      <c r="C139" s="418"/>
      <c r="D139" s="420"/>
      <c r="E139" s="241" t="s">
        <v>530</v>
      </c>
      <c r="F139" s="423"/>
      <c r="G139" s="424"/>
      <c r="H139" s="424"/>
      <c r="I139" s="425"/>
      <c r="J139" s="241" t="s">
        <v>531</v>
      </c>
      <c r="K139" s="423"/>
      <c r="L139" s="424"/>
      <c r="M139" s="425"/>
      <c r="N139" s="240" t="s">
        <v>532</v>
      </c>
      <c r="O139" s="426"/>
      <c r="P139" s="427"/>
      <c r="Q139" s="427"/>
      <c r="R139" s="427"/>
      <c r="S139" s="427"/>
      <c r="T139" s="428"/>
      <c r="U139" s="252"/>
      <c r="V139" s="252"/>
    </row>
    <row r="140" spans="1:22" ht="38.25" hidden="1" customHeight="1">
      <c r="A140" s="231" t="s">
        <v>163</v>
      </c>
      <c r="B140" s="415" t="s">
        <v>533</v>
      </c>
      <c r="C140" s="415"/>
      <c r="D140" s="415"/>
      <c r="E140" s="232" t="s">
        <v>534</v>
      </c>
      <c r="F140" s="232" t="s">
        <v>535</v>
      </c>
      <c r="G140" s="231" t="s">
        <v>536</v>
      </c>
      <c r="H140" s="231" t="s">
        <v>537</v>
      </c>
      <c r="I140" s="231" t="s">
        <v>538</v>
      </c>
      <c r="J140" s="232" t="s">
        <v>539</v>
      </c>
      <c r="K140" s="232" t="s">
        <v>540</v>
      </c>
      <c r="L140" s="416" t="s">
        <v>541</v>
      </c>
      <c r="M140" s="417"/>
      <c r="N140" s="416" t="s">
        <v>542</v>
      </c>
      <c r="O140" s="417"/>
      <c r="P140" s="231" t="s">
        <v>543</v>
      </c>
      <c r="Q140" s="231" t="s">
        <v>514</v>
      </c>
      <c r="R140" s="231" t="s">
        <v>515</v>
      </c>
      <c r="S140" s="231" t="s">
        <v>516</v>
      </c>
      <c r="T140" s="231" t="s">
        <v>517</v>
      </c>
      <c r="U140" s="231" t="s">
        <v>544</v>
      </c>
      <c r="V140" s="231" t="s">
        <v>545</v>
      </c>
    </row>
    <row r="141" spans="1:22" hidden="1">
      <c r="A141" s="231"/>
      <c r="B141" s="231">
        <v>10</v>
      </c>
      <c r="C141" s="231">
        <v>20</v>
      </c>
      <c r="D141" s="231">
        <v>30</v>
      </c>
      <c r="E141" s="231"/>
      <c r="F141" s="231"/>
      <c r="G141" s="231"/>
      <c r="H141" s="231"/>
      <c r="I141" s="231"/>
      <c r="J141" s="231"/>
      <c r="K141" s="231"/>
      <c r="L141" s="231" t="s">
        <v>520</v>
      </c>
      <c r="M141" s="231" t="s">
        <v>521</v>
      </c>
      <c r="N141" s="231" t="s">
        <v>520</v>
      </c>
      <c r="O141" s="231" t="s">
        <v>521</v>
      </c>
      <c r="P141" s="231"/>
      <c r="Q141" s="231"/>
      <c r="R141" s="231"/>
      <c r="S141" s="231"/>
      <c r="T141" s="231"/>
      <c r="U141" s="231"/>
      <c r="V141" s="231"/>
    </row>
    <row r="142" spans="1:22" hidden="1">
      <c r="A142" s="246">
        <f>IF($A$27="","",$A$27)</f>
        <v>45139</v>
      </c>
      <c r="B142" s="243"/>
      <c r="C142" s="243"/>
      <c r="D142" s="243"/>
      <c r="E142" s="243"/>
      <c r="F142" s="243"/>
      <c r="G142" s="244">
        <f>IFERROR(AVERAGE(B142:D142),0)</f>
        <v>0</v>
      </c>
      <c r="H142" s="243"/>
      <c r="I142" s="243"/>
      <c r="J142" s="243"/>
      <c r="K142" s="243"/>
      <c r="L142" s="243"/>
      <c r="M142" s="243"/>
      <c r="N142" s="243"/>
      <c r="O142" s="243"/>
      <c r="P142" s="247">
        <f t="shared" ref="P142:P153" si="47">+H142-I142-J142-M142+L142</f>
        <v>0</v>
      </c>
      <c r="Q142" s="253"/>
      <c r="R142" s="253"/>
      <c r="S142" s="253"/>
      <c r="T142" s="253"/>
      <c r="U142" s="245">
        <f>H142-J142-M142</f>
        <v>0</v>
      </c>
      <c r="V142" s="245">
        <f>I142-L142</f>
        <v>0</v>
      </c>
    </row>
    <row r="143" spans="1:22" hidden="1">
      <c r="A143" s="246">
        <f>IF($A$28="","",$A$28)</f>
        <v>45170</v>
      </c>
      <c r="B143" s="243"/>
      <c r="C143" s="243"/>
      <c r="D143" s="243"/>
      <c r="E143" s="243"/>
      <c r="F143" s="243"/>
      <c r="G143" s="244">
        <f t="shared" ref="G143:G153" si="48">IFERROR(AVERAGE(B143:D143),0)</f>
        <v>0</v>
      </c>
      <c r="H143" s="243"/>
      <c r="I143" s="243"/>
      <c r="J143" s="243"/>
      <c r="K143" s="243"/>
      <c r="L143" s="243"/>
      <c r="M143" s="243"/>
      <c r="N143" s="243"/>
      <c r="O143" s="243"/>
      <c r="P143" s="247">
        <f t="shared" si="47"/>
        <v>0</v>
      </c>
      <c r="Q143" s="253"/>
      <c r="R143" s="253"/>
      <c r="S143" s="253"/>
      <c r="T143" s="253"/>
      <c r="U143" s="245">
        <f t="shared" ref="U143:U153" si="49">H143-J143-M143</f>
        <v>0</v>
      </c>
      <c r="V143" s="245">
        <f t="shared" ref="V143:V153" si="50">I143-L143</f>
        <v>0</v>
      </c>
    </row>
    <row r="144" spans="1:22" hidden="1">
      <c r="A144" s="246">
        <f>IF($A$29="","",$A$29)</f>
        <v>45200</v>
      </c>
      <c r="B144" s="243"/>
      <c r="C144" s="243"/>
      <c r="D144" s="243"/>
      <c r="E144" s="243"/>
      <c r="F144" s="243"/>
      <c r="G144" s="244">
        <f t="shared" si="48"/>
        <v>0</v>
      </c>
      <c r="H144" s="243"/>
      <c r="I144" s="243"/>
      <c r="J144" s="243"/>
      <c r="K144" s="243"/>
      <c r="L144" s="243"/>
      <c r="M144" s="243"/>
      <c r="N144" s="243"/>
      <c r="O144" s="243"/>
      <c r="P144" s="247">
        <f t="shared" si="47"/>
        <v>0</v>
      </c>
      <c r="Q144" s="253"/>
      <c r="R144" s="253"/>
      <c r="S144" s="253"/>
      <c r="T144" s="253"/>
      <c r="U144" s="245">
        <f t="shared" si="49"/>
        <v>0</v>
      </c>
      <c r="V144" s="245">
        <f t="shared" si="50"/>
        <v>0</v>
      </c>
    </row>
    <row r="145" spans="1:22" hidden="1">
      <c r="A145" s="246">
        <f>IF($A$30="","",$A$30)</f>
        <v>45231</v>
      </c>
      <c r="B145" s="243"/>
      <c r="C145" s="243"/>
      <c r="D145" s="243"/>
      <c r="E145" s="243"/>
      <c r="F145" s="243"/>
      <c r="G145" s="244">
        <f t="shared" si="48"/>
        <v>0</v>
      </c>
      <c r="H145" s="243"/>
      <c r="I145" s="243"/>
      <c r="J145" s="243"/>
      <c r="K145" s="243"/>
      <c r="L145" s="243"/>
      <c r="M145" s="243"/>
      <c r="N145" s="243"/>
      <c r="O145" s="243"/>
      <c r="P145" s="247">
        <f t="shared" si="47"/>
        <v>0</v>
      </c>
      <c r="Q145" s="253"/>
      <c r="R145" s="253"/>
      <c r="S145" s="253"/>
      <c r="T145" s="253"/>
      <c r="U145" s="245">
        <f t="shared" si="49"/>
        <v>0</v>
      </c>
      <c r="V145" s="245">
        <f t="shared" si="50"/>
        <v>0</v>
      </c>
    </row>
    <row r="146" spans="1:22" hidden="1">
      <c r="A146" s="246">
        <f>IF($A$31="","",$A$31)</f>
        <v>45261</v>
      </c>
      <c r="B146" s="243"/>
      <c r="C146" s="243"/>
      <c r="D146" s="243"/>
      <c r="E146" s="243"/>
      <c r="F146" s="243"/>
      <c r="G146" s="244">
        <f t="shared" si="48"/>
        <v>0</v>
      </c>
      <c r="H146" s="243"/>
      <c r="I146" s="243"/>
      <c r="J146" s="243"/>
      <c r="K146" s="243"/>
      <c r="L146" s="243"/>
      <c r="M146" s="243"/>
      <c r="N146" s="243"/>
      <c r="O146" s="243"/>
      <c r="P146" s="247">
        <f t="shared" si="47"/>
        <v>0</v>
      </c>
      <c r="Q146" s="253"/>
      <c r="R146" s="253"/>
      <c r="S146" s="253"/>
      <c r="T146" s="253"/>
      <c r="U146" s="245">
        <f t="shared" si="49"/>
        <v>0</v>
      </c>
      <c r="V146" s="245">
        <f t="shared" si="50"/>
        <v>0</v>
      </c>
    </row>
    <row r="147" spans="1:22" hidden="1">
      <c r="A147" s="246">
        <f>IF($A$32="","",$A$32)</f>
        <v>45292</v>
      </c>
      <c r="B147" s="243"/>
      <c r="C147" s="243"/>
      <c r="D147" s="243"/>
      <c r="E147" s="243"/>
      <c r="F147" s="243"/>
      <c r="G147" s="244">
        <f t="shared" si="48"/>
        <v>0</v>
      </c>
      <c r="H147" s="243"/>
      <c r="I147" s="243"/>
      <c r="J147" s="243"/>
      <c r="K147" s="243"/>
      <c r="L147" s="243"/>
      <c r="M147" s="243"/>
      <c r="N147" s="243"/>
      <c r="O147" s="243"/>
      <c r="P147" s="247">
        <f t="shared" si="47"/>
        <v>0</v>
      </c>
      <c r="Q147" s="253"/>
      <c r="R147" s="253"/>
      <c r="S147" s="253"/>
      <c r="T147" s="253"/>
      <c r="U147" s="245">
        <f t="shared" si="49"/>
        <v>0</v>
      </c>
      <c r="V147" s="245">
        <f t="shared" si="50"/>
        <v>0</v>
      </c>
    </row>
    <row r="148" spans="1:22" hidden="1">
      <c r="A148" s="246" t="str">
        <f>IF($A$33="","",$A$33)</f>
        <v/>
      </c>
      <c r="B148" s="243"/>
      <c r="C148" s="243"/>
      <c r="D148" s="243"/>
      <c r="E148" s="243"/>
      <c r="F148" s="243"/>
      <c r="G148" s="244">
        <f t="shared" si="48"/>
        <v>0</v>
      </c>
      <c r="H148" s="243"/>
      <c r="I148" s="243"/>
      <c r="J148" s="243"/>
      <c r="K148" s="243"/>
      <c r="L148" s="243"/>
      <c r="M148" s="243"/>
      <c r="N148" s="243"/>
      <c r="O148" s="243"/>
      <c r="P148" s="247">
        <f t="shared" si="47"/>
        <v>0</v>
      </c>
      <c r="Q148" s="253"/>
      <c r="R148" s="253"/>
      <c r="S148" s="253"/>
      <c r="T148" s="253"/>
      <c r="U148" s="245">
        <f t="shared" si="49"/>
        <v>0</v>
      </c>
      <c r="V148" s="245">
        <f t="shared" si="50"/>
        <v>0</v>
      </c>
    </row>
    <row r="149" spans="1:22" hidden="1">
      <c r="A149" s="246" t="str">
        <f>IF($A$34="","",$A$34)</f>
        <v/>
      </c>
      <c r="B149" s="243"/>
      <c r="C149" s="243"/>
      <c r="D149" s="243"/>
      <c r="E149" s="243"/>
      <c r="F149" s="243"/>
      <c r="G149" s="244">
        <f t="shared" si="48"/>
        <v>0</v>
      </c>
      <c r="H149" s="243"/>
      <c r="I149" s="243"/>
      <c r="J149" s="243"/>
      <c r="K149" s="243"/>
      <c r="L149" s="243"/>
      <c r="M149" s="243"/>
      <c r="N149" s="243"/>
      <c r="O149" s="243"/>
      <c r="P149" s="247">
        <f t="shared" si="47"/>
        <v>0</v>
      </c>
      <c r="Q149" s="253"/>
      <c r="R149" s="253"/>
      <c r="S149" s="253"/>
      <c r="T149" s="253"/>
      <c r="U149" s="245">
        <f t="shared" si="49"/>
        <v>0</v>
      </c>
      <c r="V149" s="245">
        <f t="shared" si="50"/>
        <v>0</v>
      </c>
    </row>
    <row r="150" spans="1:22" hidden="1">
      <c r="A150" s="246" t="str">
        <f>IF($A$35="","",$A$35)</f>
        <v/>
      </c>
      <c r="B150" s="243"/>
      <c r="C150" s="243"/>
      <c r="D150" s="243"/>
      <c r="E150" s="243"/>
      <c r="F150" s="243"/>
      <c r="G150" s="244">
        <f t="shared" si="48"/>
        <v>0</v>
      </c>
      <c r="H150" s="243"/>
      <c r="I150" s="243"/>
      <c r="J150" s="243"/>
      <c r="K150" s="243"/>
      <c r="L150" s="243"/>
      <c r="M150" s="243"/>
      <c r="N150" s="243"/>
      <c r="O150" s="243"/>
      <c r="P150" s="247">
        <f t="shared" si="47"/>
        <v>0</v>
      </c>
      <c r="Q150" s="253"/>
      <c r="R150" s="253"/>
      <c r="S150" s="253"/>
      <c r="T150" s="253"/>
      <c r="U150" s="245">
        <f t="shared" si="49"/>
        <v>0</v>
      </c>
      <c r="V150" s="245">
        <f t="shared" si="50"/>
        <v>0</v>
      </c>
    </row>
    <row r="151" spans="1:22" hidden="1">
      <c r="A151" s="246" t="str">
        <f>IF($A$36="","",$A$36)</f>
        <v/>
      </c>
      <c r="B151" s="243"/>
      <c r="C151" s="243"/>
      <c r="D151" s="243"/>
      <c r="E151" s="243"/>
      <c r="F151" s="243"/>
      <c r="G151" s="244">
        <f t="shared" si="48"/>
        <v>0</v>
      </c>
      <c r="H151" s="243"/>
      <c r="I151" s="243"/>
      <c r="J151" s="243"/>
      <c r="K151" s="243"/>
      <c r="L151" s="243"/>
      <c r="M151" s="243"/>
      <c r="N151" s="243"/>
      <c r="O151" s="243"/>
      <c r="P151" s="247">
        <f t="shared" si="47"/>
        <v>0</v>
      </c>
      <c r="Q151" s="253"/>
      <c r="R151" s="253"/>
      <c r="S151" s="253"/>
      <c r="T151" s="253"/>
      <c r="U151" s="245">
        <f t="shared" si="49"/>
        <v>0</v>
      </c>
      <c r="V151" s="245">
        <f t="shared" si="50"/>
        <v>0</v>
      </c>
    </row>
    <row r="152" spans="1:22" hidden="1">
      <c r="A152" s="246" t="str">
        <f>IF($A$37="","",$A$37)</f>
        <v/>
      </c>
      <c r="B152" s="243"/>
      <c r="C152" s="243"/>
      <c r="D152" s="243"/>
      <c r="E152" s="243"/>
      <c r="F152" s="243"/>
      <c r="G152" s="244">
        <f t="shared" si="48"/>
        <v>0</v>
      </c>
      <c r="H152" s="243"/>
      <c r="I152" s="243"/>
      <c r="J152" s="243"/>
      <c r="K152" s="243"/>
      <c r="L152" s="243"/>
      <c r="M152" s="243"/>
      <c r="N152" s="243"/>
      <c r="O152" s="243"/>
      <c r="P152" s="247">
        <f t="shared" si="47"/>
        <v>0</v>
      </c>
      <c r="Q152" s="253"/>
      <c r="R152" s="253"/>
      <c r="S152" s="253"/>
      <c r="T152" s="253"/>
      <c r="U152" s="245">
        <f t="shared" si="49"/>
        <v>0</v>
      </c>
      <c r="V152" s="245">
        <f t="shared" si="50"/>
        <v>0</v>
      </c>
    </row>
    <row r="153" spans="1:22" hidden="1">
      <c r="A153" s="246" t="str">
        <f>IF($A$38="","",$A$38)</f>
        <v/>
      </c>
      <c r="B153" s="243"/>
      <c r="C153" s="243"/>
      <c r="D153" s="243"/>
      <c r="E153" s="243"/>
      <c r="F153" s="243"/>
      <c r="G153" s="244">
        <f t="shared" si="48"/>
        <v>0</v>
      </c>
      <c r="H153" s="243"/>
      <c r="I153" s="243"/>
      <c r="J153" s="243"/>
      <c r="K153" s="243"/>
      <c r="L153" s="243"/>
      <c r="M153" s="243"/>
      <c r="N153" s="243"/>
      <c r="O153" s="243"/>
      <c r="P153" s="247">
        <f t="shared" si="47"/>
        <v>0</v>
      </c>
      <c r="Q153" s="253"/>
      <c r="R153" s="253"/>
      <c r="S153" s="253"/>
      <c r="T153" s="253"/>
      <c r="U153" s="245">
        <f t="shared" si="49"/>
        <v>0</v>
      </c>
      <c r="V153" s="245">
        <f t="shared" si="50"/>
        <v>0</v>
      </c>
    </row>
    <row r="154" spans="1:22" hidden="1">
      <c r="A154" s="237" t="s">
        <v>522</v>
      </c>
      <c r="B154" s="245">
        <f t="shared" ref="B154:I154" si="51">+SUM(B142:B153)</f>
        <v>0</v>
      </c>
      <c r="C154" s="245">
        <f t="shared" si="51"/>
        <v>0</v>
      </c>
      <c r="D154" s="245">
        <f t="shared" si="51"/>
        <v>0</v>
      </c>
      <c r="E154" s="245">
        <f t="shared" si="51"/>
        <v>0</v>
      </c>
      <c r="F154" s="245">
        <f t="shared" si="51"/>
        <v>0</v>
      </c>
      <c r="G154" s="245">
        <f t="shared" si="51"/>
        <v>0</v>
      </c>
      <c r="H154" s="245">
        <f t="shared" si="51"/>
        <v>0</v>
      </c>
      <c r="I154" s="245">
        <f t="shared" si="51"/>
        <v>0</v>
      </c>
      <c r="J154" s="245">
        <f t="shared" ref="J154:O154" si="52">+SUM(J142:J153)</f>
        <v>0</v>
      </c>
      <c r="K154" s="245">
        <f t="shared" si="52"/>
        <v>0</v>
      </c>
      <c r="L154" s="245">
        <f t="shared" si="52"/>
        <v>0</v>
      </c>
      <c r="M154" s="245">
        <f t="shared" si="52"/>
        <v>0</v>
      </c>
      <c r="N154" s="245">
        <f t="shared" si="52"/>
        <v>0</v>
      </c>
      <c r="O154" s="245">
        <f t="shared" si="52"/>
        <v>0</v>
      </c>
      <c r="P154" s="245">
        <f t="shared" ref="P154:V154" si="53">+SUM(P142:P153)</f>
        <v>0</v>
      </c>
      <c r="Q154" s="245">
        <f t="shared" si="53"/>
        <v>0</v>
      </c>
      <c r="R154" s="245">
        <f t="shared" si="53"/>
        <v>0</v>
      </c>
      <c r="S154" s="245">
        <f t="shared" si="53"/>
        <v>0</v>
      </c>
      <c r="T154" s="245">
        <f t="shared" si="53"/>
        <v>0</v>
      </c>
      <c r="U154" s="245">
        <f t="shared" si="53"/>
        <v>0</v>
      </c>
      <c r="V154" s="245">
        <f t="shared" si="53"/>
        <v>0</v>
      </c>
    </row>
    <row r="155" spans="1:22" hidden="1">
      <c r="A155" s="237" t="s">
        <v>523</v>
      </c>
      <c r="B155" s="245">
        <f>IFERROR(B154/(COUNTA(A142:A153)-COUNTIF(A142:A153,"")),0)</f>
        <v>0</v>
      </c>
      <c r="C155" s="245">
        <f>IFERROR(C154/(COUNTA(A142:A153)-COUNTIF(A142:A153,"")),0)</f>
        <v>0</v>
      </c>
      <c r="D155" s="245">
        <f>IFERROR(D154/(COUNTA(A142:A153)-COUNTIF(A142:A153,"")),0)</f>
        <v>0</v>
      </c>
      <c r="E155" s="245">
        <f>IFERROR(E154/(COUNTA(A142:A153)-COUNTIF(A142:A153,"")),0)</f>
        <v>0</v>
      </c>
      <c r="F155" s="245">
        <f>IFERROR(F154/(COUNTA(A142:A153)-COUNTIF(A142:A153,"")),0)</f>
        <v>0</v>
      </c>
      <c r="G155" s="245">
        <f>IFERROR(G154/(COUNTA(A142:A153)-COUNTIF(A142:A153,"")),0)</f>
        <v>0</v>
      </c>
      <c r="H155" s="245">
        <f>IFERROR(H154/(COUNTA(A142:A153)-COUNTIF(A142:A153,"")),0)</f>
        <v>0</v>
      </c>
      <c r="I155" s="245">
        <f>IFERROR(I154/(COUNTA(A142:A153)-COUNTIF(A142:A153,"")),0)</f>
        <v>0</v>
      </c>
      <c r="J155" s="245">
        <f>IFERROR(J154/(COUNTA(A142:A153)-COUNTIF(A142:A153,"")),0)</f>
        <v>0</v>
      </c>
      <c r="K155" s="245">
        <f>IFERROR(K154/(COUNTA(A142:A153)-COUNTIF(A142:A153,"")),0)</f>
        <v>0</v>
      </c>
      <c r="L155" s="245">
        <f>IFERROR(L154/(COUNTA(A142:A153)-COUNTIF(A142:A153,"")),0)</f>
        <v>0</v>
      </c>
      <c r="M155" s="245">
        <f>IFERROR(M154/(COUNTA(A142:A153)-COUNTIF(A142:A153,"")),0)</f>
        <v>0</v>
      </c>
      <c r="N155" s="245">
        <f>IFERROR(N154/(COUNTA(A142:A153)-COUNTIF(A142:A153,"")),0)</f>
        <v>0</v>
      </c>
      <c r="O155" s="245">
        <f>IFERROR(O154/(COUNTA(A142:A153)-COUNTIF(A142:A153,"")),0)</f>
        <v>0</v>
      </c>
      <c r="P155" s="245">
        <f>IFERROR(P154/(COUNTA(A142:A153)-COUNTIF(A142:A153,"")),0)</f>
        <v>0</v>
      </c>
      <c r="Q155" s="250"/>
      <c r="R155" s="250"/>
      <c r="S155" s="238">
        <f>IFERROR(R154/S154*100,0)</f>
        <v>0</v>
      </c>
      <c r="T155" s="238">
        <f>IFERROR(Q154/T154*100,0)</f>
        <v>0</v>
      </c>
      <c r="U155" s="245">
        <f>IFERROR(U154/COUNTA(A142:A153),0)</f>
        <v>0</v>
      </c>
      <c r="V155" s="245">
        <f>IFERROR(V154/COUNTA(A142:A153),0)</f>
        <v>0</v>
      </c>
    </row>
    <row r="156" spans="1:22" ht="38.25" hidden="1">
      <c r="A156" s="237" t="s">
        <v>524</v>
      </c>
      <c r="B156" s="245">
        <f>O139+B155</f>
        <v>0</v>
      </c>
      <c r="C156" s="245">
        <f>O139+C155</f>
        <v>0</v>
      </c>
      <c r="D156" s="245">
        <f>O139+D155</f>
        <v>0</v>
      </c>
      <c r="E156" s="245"/>
      <c r="F156" s="245"/>
      <c r="G156" s="245">
        <f>O139+G155</f>
        <v>0</v>
      </c>
      <c r="H156" s="245"/>
      <c r="I156" s="245"/>
      <c r="J156" s="245"/>
      <c r="K156" s="245"/>
      <c r="L156" s="245"/>
      <c r="M156" s="245"/>
      <c r="N156" s="245"/>
      <c r="O156" s="245"/>
      <c r="P156" s="245"/>
      <c r="Q156" s="250"/>
      <c r="R156" s="250"/>
      <c r="S156" s="251" t="s">
        <v>525</v>
      </c>
      <c r="T156" s="251" t="s">
        <v>526</v>
      </c>
      <c r="U156" s="251"/>
      <c r="V156" s="251"/>
    </row>
    <row r="160" spans="1:22" ht="12.75" hidden="1" customHeight="1">
      <c r="A160" s="413" t="s">
        <v>502</v>
      </c>
      <c r="B160" s="413"/>
      <c r="C160" s="418"/>
      <c r="D160" s="419"/>
      <c r="E160" s="419"/>
      <c r="F160" s="419"/>
      <c r="G160" s="419"/>
      <c r="H160" s="419"/>
      <c r="I160" s="419"/>
      <c r="J160" s="419"/>
      <c r="K160" s="419"/>
      <c r="L160" s="419"/>
      <c r="M160" s="419"/>
      <c r="N160" s="419"/>
      <c r="O160" s="419"/>
      <c r="P160" s="419"/>
      <c r="Q160" s="419"/>
      <c r="R160" s="419"/>
      <c r="S160" s="419"/>
      <c r="T160" s="420"/>
      <c r="U160" s="239"/>
      <c r="V160" s="239"/>
    </row>
    <row r="161" spans="1:22" ht="12.75" hidden="1" customHeight="1">
      <c r="A161" s="413" t="s">
        <v>527</v>
      </c>
      <c r="B161" s="413"/>
      <c r="C161" s="421"/>
      <c r="D161" s="421"/>
      <c r="E161" s="421"/>
      <c r="F161" s="421"/>
      <c r="G161" s="421"/>
      <c r="H161" s="422" t="s">
        <v>528</v>
      </c>
      <c r="I161" s="422"/>
      <c r="J161" s="421"/>
      <c r="K161" s="421"/>
      <c r="L161" s="421"/>
      <c r="M161" s="421"/>
      <c r="N161" s="421"/>
      <c r="O161" s="421"/>
      <c r="P161" s="421"/>
      <c r="Q161" s="421"/>
      <c r="R161" s="421"/>
      <c r="S161" s="421"/>
      <c r="T161" s="421"/>
      <c r="U161" s="239"/>
      <c r="V161" s="239"/>
    </row>
    <row r="162" spans="1:22" ht="25.5" hidden="1" customHeight="1">
      <c r="A162" s="413" t="s">
        <v>529</v>
      </c>
      <c r="B162" s="413"/>
      <c r="C162" s="418"/>
      <c r="D162" s="420"/>
      <c r="E162" s="241" t="s">
        <v>530</v>
      </c>
      <c r="F162" s="423"/>
      <c r="G162" s="424"/>
      <c r="H162" s="424"/>
      <c r="I162" s="425"/>
      <c r="J162" s="241" t="s">
        <v>531</v>
      </c>
      <c r="K162" s="423"/>
      <c r="L162" s="424"/>
      <c r="M162" s="425"/>
      <c r="N162" s="240" t="s">
        <v>532</v>
      </c>
      <c r="O162" s="426"/>
      <c r="P162" s="427"/>
      <c r="Q162" s="427"/>
      <c r="R162" s="427"/>
      <c r="S162" s="427"/>
      <c r="T162" s="428"/>
      <c r="U162" s="252"/>
      <c r="V162" s="252"/>
    </row>
    <row r="163" spans="1:22" ht="38.25" hidden="1" customHeight="1">
      <c r="A163" s="231" t="s">
        <v>163</v>
      </c>
      <c r="B163" s="415" t="s">
        <v>533</v>
      </c>
      <c r="C163" s="415"/>
      <c r="D163" s="415"/>
      <c r="E163" s="232" t="s">
        <v>534</v>
      </c>
      <c r="F163" s="232" t="s">
        <v>535</v>
      </c>
      <c r="G163" s="231" t="s">
        <v>536</v>
      </c>
      <c r="H163" s="231" t="s">
        <v>537</v>
      </c>
      <c r="I163" s="231" t="s">
        <v>538</v>
      </c>
      <c r="J163" s="232" t="s">
        <v>539</v>
      </c>
      <c r="K163" s="232" t="s">
        <v>540</v>
      </c>
      <c r="L163" s="416" t="s">
        <v>541</v>
      </c>
      <c r="M163" s="417"/>
      <c r="N163" s="416" t="s">
        <v>542</v>
      </c>
      <c r="O163" s="417"/>
      <c r="P163" s="231" t="s">
        <v>543</v>
      </c>
      <c r="Q163" s="231" t="s">
        <v>514</v>
      </c>
      <c r="R163" s="231" t="s">
        <v>515</v>
      </c>
      <c r="S163" s="231" t="s">
        <v>516</v>
      </c>
      <c r="T163" s="231" t="s">
        <v>517</v>
      </c>
      <c r="U163" s="231" t="s">
        <v>544</v>
      </c>
      <c r="V163" s="231" t="s">
        <v>545</v>
      </c>
    </row>
    <row r="164" spans="1:22" hidden="1">
      <c r="A164" s="231"/>
      <c r="B164" s="231">
        <v>10</v>
      </c>
      <c r="C164" s="231">
        <v>20</v>
      </c>
      <c r="D164" s="231">
        <v>30</v>
      </c>
      <c r="E164" s="231"/>
      <c r="F164" s="231"/>
      <c r="G164" s="231"/>
      <c r="H164" s="231"/>
      <c r="I164" s="231"/>
      <c r="J164" s="231"/>
      <c r="K164" s="231"/>
      <c r="L164" s="231" t="s">
        <v>520</v>
      </c>
      <c r="M164" s="231" t="s">
        <v>521</v>
      </c>
      <c r="N164" s="231" t="s">
        <v>520</v>
      </c>
      <c r="O164" s="231" t="s">
        <v>521</v>
      </c>
      <c r="P164" s="231"/>
      <c r="Q164" s="231"/>
      <c r="R164" s="231"/>
      <c r="S164" s="231"/>
      <c r="T164" s="231"/>
      <c r="U164" s="231"/>
      <c r="V164" s="231"/>
    </row>
    <row r="165" spans="1:22" hidden="1">
      <c r="A165" s="246">
        <f>IF($A$27="","",$A$27)</f>
        <v>45139</v>
      </c>
      <c r="B165" s="243"/>
      <c r="C165" s="243"/>
      <c r="D165" s="243"/>
      <c r="E165" s="243"/>
      <c r="F165" s="243"/>
      <c r="G165" s="244">
        <f>IFERROR(AVERAGE(B165:D165),0)</f>
        <v>0</v>
      </c>
      <c r="H165" s="243"/>
      <c r="I165" s="243"/>
      <c r="J165" s="243"/>
      <c r="K165" s="243"/>
      <c r="L165" s="243"/>
      <c r="M165" s="243"/>
      <c r="N165" s="243"/>
      <c r="O165" s="243"/>
      <c r="P165" s="247">
        <f t="shared" ref="P165:P176" si="54">+H165-I165-J165-M165+L165</f>
        <v>0</v>
      </c>
      <c r="Q165" s="253"/>
      <c r="R165" s="253"/>
      <c r="S165" s="253"/>
      <c r="T165" s="253"/>
      <c r="U165" s="245">
        <f>H165-J165-M165</f>
        <v>0</v>
      </c>
      <c r="V165" s="245">
        <f>I165-L165</f>
        <v>0</v>
      </c>
    </row>
    <row r="166" spans="1:22" hidden="1">
      <c r="A166" s="246">
        <f>IF($A$28="","",$A$28)</f>
        <v>45170</v>
      </c>
      <c r="B166" s="243"/>
      <c r="C166" s="243"/>
      <c r="D166" s="243"/>
      <c r="E166" s="243"/>
      <c r="F166" s="243"/>
      <c r="G166" s="244">
        <f t="shared" ref="G166:G176" si="55">IFERROR(AVERAGE(B166:D166),0)</f>
        <v>0</v>
      </c>
      <c r="H166" s="243"/>
      <c r="I166" s="243"/>
      <c r="J166" s="243"/>
      <c r="K166" s="243"/>
      <c r="L166" s="243"/>
      <c r="M166" s="243"/>
      <c r="N166" s="243"/>
      <c r="O166" s="243"/>
      <c r="P166" s="247">
        <f t="shared" si="54"/>
        <v>0</v>
      </c>
      <c r="Q166" s="253"/>
      <c r="R166" s="253"/>
      <c r="S166" s="253"/>
      <c r="T166" s="253"/>
      <c r="U166" s="245">
        <f t="shared" ref="U166:U176" si="56">H166-J166-M166</f>
        <v>0</v>
      </c>
      <c r="V166" s="245">
        <f t="shared" ref="V166:V176" si="57">I166-L166</f>
        <v>0</v>
      </c>
    </row>
    <row r="167" spans="1:22" hidden="1">
      <c r="A167" s="246">
        <f>IF($A$29="","",$A$29)</f>
        <v>45200</v>
      </c>
      <c r="B167" s="243"/>
      <c r="C167" s="243"/>
      <c r="D167" s="243"/>
      <c r="E167" s="243"/>
      <c r="F167" s="243"/>
      <c r="G167" s="244">
        <f t="shared" si="55"/>
        <v>0</v>
      </c>
      <c r="H167" s="243"/>
      <c r="I167" s="243"/>
      <c r="J167" s="243"/>
      <c r="K167" s="243"/>
      <c r="L167" s="243"/>
      <c r="M167" s="243"/>
      <c r="N167" s="243"/>
      <c r="O167" s="243"/>
      <c r="P167" s="247">
        <f t="shared" si="54"/>
        <v>0</v>
      </c>
      <c r="Q167" s="253"/>
      <c r="R167" s="253"/>
      <c r="S167" s="253"/>
      <c r="T167" s="253"/>
      <c r="U167" s="245">
        <f t="shared" si="56"/>
        <v>0</v>
      </c>
      <c r="V167" s="245">
        <f t="shared" si="57"/>
        <v>0</v>
      </c>
    </row>
    <row r="168" spans="1:22" hidden="1">
      <c r="A168" s="246">
        <f>IF($A$30="","",$A$30)</f>
        <v>45231</v>
      </c>
      <c r="B168" s="243"/>
      <c r="C168" s="243"/>
      <c r="D168" s="243"/>
      <c r="E168" s="243"/>
      <c r="F168" s="243"/>
      <c r="G168" s="244">
        <f t="shared" si="55"/>
        <v>0</v>
      </c>
      <c r="H168" s="243"/>
      <c r="I168" s="243"/>
      <c r="J168" s="243"/>
      <c r="K168" s="243"/>
      <c r="L168" s="243"/>
      <c r="M168" s="243"/>
      <c r="N168" s="243"/>
      <c r="O168" s="243"/>
      <c r="P168" s="247">
        <f t="shared" si="54"/>
        <v>0</v>
      </c>
      <c r="Q168" s="253"/>
      <c r="R168" s="253"/>
      <c r="S168" s="253"/>
      <c r="T168" s="253"/>
      <c r="U168" s="245">
        <f t="shared" si="56"/>
        <v>0</v>
      </c>
      <c r="V168" s="245">
        <f t="shared" si="57"/>
        <v>0</v>
      </c>
    </row>
    <row r="169" spans="1:22" hidden="1">
      <c r="A169" s="246">
        <f>IF($A$31="","",$A$31)</f>
        <v>45261</v>
      </c>
      <c r="B169" s="243"/>
      <c r="C169" s="243"/>
      <c r="D169" s="243"/>
      <c r="E169" s="243"/>
      <c r="F169" s="243"/>
      <c r="G169" s="244">
        <f t="shared" si="55"/>
        <v>0</v>
      </c>
      <c r="H169" s="243"/>
      <c r="I169" s="243"/>
      <c r="J169" s="243"/>
      <c r="K169" s="243"/>
      <c r="L169" s="243"/>
      <c r="M169" s="243"/>
      <c r="N169" s="243"/>
      <c r="O169" s="243"/>
      <c r="P169" s="247">
        <f t="shared" si="54"/>
        <v>0</v>
      </c>
      <c r="Q169" s="253"/>
      <c r="R169" s="253"/>
      <c r="S169" s="253"/>
      <c r="T169" s="253"/>
      <c r="U169" s="245">
        <f t="shared" si="56"/>
        <v>0</v>
      </c>
      <c r="V169" s="245">
        <f t="shared" si="57"/>
        <v>0</v>
      </c>
    </row>
    <row r="170" spans="1:22" hidden="1">
      <c r="A170" s="246">
        <f>IF($A$32="","",$A$32)</f>
        <v>45292</v>
      </c>
      <c r="B170" s="243"/>
      <c r="C170" s="243"/>
      <c r="D170" s="243"/>
      <c r="E170" s="243"/>
      <c r="F170" s="243"/>
      <c r="G170" s="244">
        <f t="shared" si="55"/>
        <v>0</v>
      </c>
      <c r="H170" s="243"/>
      <c r="I170" s="243"/>
      <c r="J170" s="243"/>
      <c r="K170" s="243"/>
      <c r="L170" s="243"/>
      <c r="M170" s="243"/>
      <c r="N170" s="243"/>
      <c r="O170" s="243"/>
      <c r="P170" s="247">
        <f t="shared" si="54"/>
        <v>0</v>
      </c>
      <c r="Q170" s="253"/>
      <c r="R170" s="253"/>
      <c r="S170" s="253"/>
      <c r="T170" s="253"/>
      <c r="U170" s="245">
        <f t="shared" si="56"/>
        <v>0</v>
      </c>
      <c r="V170" s="245">
        <f t="shared" si="57"/>
        <v>0</v>
      </c>
    </row>
    <row r="171" spans="1:22" hidden="1">
      <c r="A171" s="246" t="str">
        <f>IF($A$33="","",$A$33)</f>
        <v/>
      </c>
      <c r="B171" s="243"/>
      <c r="C171" s="243"/>
      <c r="D171" s="243"/>
      <c r="E171" s="243"/>
      <c r="F171" s="243"/>
      <c r="G171" s="244">
        <f t="shared" si="55"/>
        <v>0</v>
      </c>
      <c r="H171" s="243"/>
      <c r="I171" s="243"/>
      <c r="J171" s="243"/>
      <c r="K171" s="243"/>
      <c r="L171" s="243"/>
      <c r="M171" s="243"/>
      <c r="N171" s="243"/>
      <c r="O171" s="243"/>
      <c r="P171" s="247">
        <f t="shared" si="54"/>
        <v>0</v>
      </c>
      <c r="Q171" s="253"/>
      <c r="R171" s="253"/>
      <c r="S171" s="253"/>
      <c r="T171" s="253"/>
      <c r="U171" s="245">
        <f t="shared" si="56"/>
        <v>0</v>
      </c>
      <c r="V171" s="245">
        <f t="shared" si="57"/>
        <v>0</v>
      </c>
    </row>
    <row r="172" spans="1:22" hidden="1">
      <c r="A172" s="246" t="str">
        <f>IF($A$34="","",$A$34)</f>
        <v/>
      </c>
      <c r="B172" s="243"/>
      <c r="C172" s="243"/>
      <c r="D172" s="243"/>
      <c r="E172" s="243"/>
      <c r="F172" s="243"/>
      <c r="G172" s="244">
        <f t="shared" si="55"/>
        <v>0</v>
      </c>
      <c r="H172" s="243"/>
      <c r="I172" s="243"/>
      <c r="J172" s="243"/>
      <c r="K172" s="243"/>
      <c r="L172" s="243"/>
      <c r="M172" s="243"/>
      <c r="N172" s="243"/>
      <c r="O172" s="243"/>
      <c r="P172" s="247">
        <f t="shared" si="54"/>
        <v>0</v>
      </c>
      <c r="Q172" s="253"/>
      <c r="R172" s="253"/>
      <c r="S172" s="253"/>
      <c r="T172" s="253"/>
      <c r="U172" s="245">
        <f t="shared" si="56"/>
        <v>0</v>
      </c>
      <c r="V172" s="245">
        <f t="shared" si="57"/>
        <v>0</v>
      </c>
    </row>
    <row r="173" spans="1:22" hidden="1">
      <c r="A173" s="246" t="str">
        <f>IF($A$35="","",$A$35)</f>
        <v/>
      </c>
      <c r="B173" s="243"/>
      <c r="C173" s="243"/>
      <c r="D173" s="243"/>
      <c r="E173" s="243"/>
      <c r="F173" s="243"/>
      <c r="G173" s="244">
        <f t="shared" si="55"/>
        <v>0</v>
      </c>
      <c r="H173" s="243"/>
      <c r="I173" s="243"/>
      <c r="J173" s="243"/>
      <c r="K173" s="243"/>
      <c r="L173" s="243"/>
      <c r="M173" s="243"/>
      <c r="N173" s="243"/>
      <c r="O173" s="243"/>
      <c r="P173" s="247">
        <f t="shared" si="54"/>
        <v>0</v>
      </c>
      <c r="Q173" s="253"/>
      <c r="R173" s="253"/>
      <c r="S173" s="253"/>
      <c r="T173" s="253"/>
      <c r="U173" s="245">
        <f t="shared" si="56"/>
        <v>0</v>
      </c>
      <c r="V173" s="245">
        <f t="shared" si="57"/>
        <v>0</v>
      </c>
    </row>
    <row r="174" spans="1:22" hidden="1">
      <c r="A174" s="246" t="str">
        <f>IF($A$36="","",$A$36)</f>
        <v/>
      </c>
      <c r="B174" s="243"/>
      <c r="C174" s="243"/>
      <c r="D174" s="243"/>
      <c r="E174" s="243"/>
      <c r="F174" s="243"/>
      <c r="G174" s="244">
        <f t="shared" si="55"/>
        <v>0</v>
      </c>
      <c r="H174" s="243"/>
      <c r="I174" s="243"/>
      <c r="J174" s="243"/>
      <c r="K174" s="243"/>
      <c r="L174" s="243"/>
      <c r="M174" s="243"/>
      <c r="N174" s="243"/>
      <c r="O174" s="243"/>
      <c r="P174" s="247">
        <f t="shared" si="54"/>
        <v>0</v>
      </c>
      <c r="Q174" s="253"/>
      <c r="R174" s="253"/>
      <c r="S174" s="253"/>
      <c r="T174" s="253"/>
      <c r="U174" s="245">
        <f t="shared" si="56"/>
        <v>0</v>
      </c>
      <c r="V174" s="245">
        <f t="shared" si="57"/>
        <v>0</v>
      </c>
    </row>
    <row r="175" spans="1:22" hidden="1">
      <c r="A175" s="246" t="str">
        <f>IF($A$37="","",$A$37)</f>
        <v/>
      </c>
      <c r="B175" s="243"/>
      <c r="C175" s="243"/>
      <c r="D175" s="243"/>
      <c r="E175" s="243"/>
      <c r="F175" s="243"/>
      <c r="G175" s="244">
        <f t="shared" si="55"/>
        <v>0</v>
      </c>
      <c r="H175" s="243"/>
      <c r="I175" s="243"/>
      <c r="J175" s="243"/>
      <c r="K175" s="243"/>
      <c r="L175" s="243"/>
      <c r="M175" s="243"/>
      <c r="N175" s="243"/>
      <c r="O175" s="243"/>
      <c r="P175" s="247">
        <f t="shared" si="54"/>
        <v>0</v>
      </c>
      <c r="Q175" s="253"/>
      <c r="R175" s="253"/>
      <c r="S175" s="253"/>
      <c r="T175" s="253"/>
      <c r="U175" s="245">
        <f t="shared" si="56"/>
        <v>0</v>
      </c>
      <c r="V175" s="245">
        <f t="shared" si="57"/>
        <v>0</v>
      </c>
    </row>
    <row r="176" spans="1:22" hidden="1">
      <c r="A176" s="246" t="str">
        <f>IF($A$38="","",$A$38)</f>
        <v/>
      </c>
      <c r="B176" s="243"/>
      <c r="C176" s="243"/>
      <c r="D176" s="243"/>
      <c r="E176" s="243"/>
      <c r="F176" s="243"/>
      <c r="G176" s="244">
        <f t="shared" si="55"/>
        <v>0</v>
      </c>
      <c r="H176" s="243"/>
      <c r="I176" s="243"/>
      <c r="J176" s="243"/>
      <c r="K176" s="243"/>
      <c r="L176" s="243"/>
      <c r="M176" s="243"/>
      <c r="N176" s="243"/>
      <c r="O176" s="243"/>
      <c r="P176" s="247">
        <f t="shared" si="54"/>
        <v>0</v>
      </c>
      <c r="Q176" s="253"/>
      <c r="R176" s="253"/>
      <c r="S176" s="253"/>
      <c r="T176" s="253"/>
      <c r="U176" s="245">
        <f t="shared" si="56"/>
        <v>0</v>
      </c>
      <c r="V176" s="245">
        <f t="shared" si="57"/>
        <v>0</v>
      </c>
    </row>
    <row r="177" spans="1:22" hidden="1">
      <c r="A177" s="237" t="s">
        <v>522</v>
      </c>
      <c r="B177" s="245">
        <f t="shared" ref="B177:I177" si="58">+SUM(B165:B176)</f>
        <v>0</v>
      </c>
      <c r="C177" s="245">
        <f t="shared" si="58"/>
        <v>0</v>
      </c>
      <c r="D177" s="245">
        <f t="shared" si="58"/>
        <v>0</v>
      </c>
      <c r="E177" s="245">
        <f t="shared" si="58"/>
        <v>0</v>
      </c>
      <c r="F177" s="245">
        <f t="shared" si="58"/>
        <v>0</v>
      </c>
      <c r="G177" s="245">
        <f t="shared" si="58"/>
        <v>0</v>
      </c>
      <c r="H177" s="245">
        <f t="shared" si="58"/>
        <v>0</v>
      </c>
      <c r="I177" s="245">
        <f t="shared" si="58"/>
        <v>0</v>
      </c>
      <c r="J177" s="245">
        <f t="shared" ref="J177:O177" si="59">+SUM(J165:J176)</f>
        <v>0</v>
      </c>
      <c r="K177" s="245">
        <f t="shared" si="59"/>
        <v>0</v>
      </c>
      <c r="L177" s="245">
        <f t="shared" si="59"/>
        <v>0</v>
      </c>
      <c r="M177" s="245">
        <f t="shared" si="59"/>
        <v>0</v>
      </c>
      <c r="N177" s="245">
        <f t="shared" si="59"/>
        <v>0</v>
      </c>
      <c r="O177" s="245">
        <f t="shared" si="59"/>
        <v>0</v>
      </c>
      <c r="P177" s="245">
        <f t="shared" ref="P177:V177" si="60">+SUM(P165:P176)</f>
        <v>0</v>
      </c>
      <c r="Q177" s="245">
        <f t="shared" si="60"/>
        <v>0</v>
      </c>
      <c r="R177" s="245">
        <f t="shared" si="60"/>
        <v>0</v>
      </c>
      <c r="S177" s="245">
        <f t="shared" si="60"/>
        <v>0</v>
      </c>
      <c r="T177" s="245">
        <f t="shared" si="60"/>
        <v>0</v>
      </c>
      <c r="U177" s="245">
        <f t="shared" si="60"/>
        <v>0</v>
      </c>
      <c r="V177" s="245">
        <f t="shared" si="60"/>
        <v>0</v>
      </c>
    </row>
    <row r="178" spans="1:22" hidden="1">
      <c r="A178" s="237" t="s">
        <v>523</v>
      </c>
      <c r="B178" s="245">
        <f>IFERROR(B177/(COUNTA(A165:A176)-COUNTIF(A165:A176,"")),0)</f>
        <v>0</v>
      </c>
      <c r="C178" s="245">
        <f>IFERROR(C177/(COUNTA(A165:A176)-COUNTIF(A165:A176,"")),0)</f>
        <v>0</v>
      </c>
      <c r="D178" s="245">
        <f>IFERROR(D177/(COUNTA(A165:A176)-COUNTIF(A165:A176,"")),0)</f>
        <v>0</v>
      </c>
      <c r="E178" s="245">
        <f>IFERROR(E177/(COUNTA(A165:A176)-COUNTIF(A165:A176,"")),0)</f>
        <v>0</v>
      </c>
      <c r="F178" s="245">
        <f>IFERROR(F177/(COUNTA(A165:A176)-COUNTIF(A165:A176,"")),0)</f>
        <v>0</v>
      </c>
      <c r="G178" s="245">
        <f>IFERROR(G177/(COUNTA(A165:A176)-COUNTIF(A165:A176,"")),0)</f>
        <v>0</v>
      </c>
      <c r="H178" s="245">
        <f>IFERROR(H177/(COUNTA(A165:A176)-COUNTIF(A165:A176,"")),0)</f>
        <v>0</v>
      </c>
      <c r="I178" s="245">
        <f>IFERROR(I177/(COUNTA(A165:A176)-COUNTIF(A165:A176,"")),0)</f>
        <v>0</v>
      </c>
      <c r="J178" s="245">
        <f>IFERROR(J177/(COUNTA(A165:A176)-COUNTIF(A165:A176,"")),0)</f>
        <v>0</v>
      </c>
      <c r="K178" s="245">
        <f>IFERROR(K177/(COUNTA(A165:A176)-COUNTIF(A165:A176,"")),0)</f>
        <v>0</v>
      </c>
      <c r="L178" s="245">
        <f>IFERROR(L177/(COUNTA(A165:A176)-COUNTIF(A165:A176,"")),0)</f>
        <v>0</v>
      </c>
      <c r="M178" s="245">
        <f>IFERROR(M177/(COUNTA(A165:A176)-COUNTIF(A165:A176,"")),0)</f>
        <v>0</v>
      </c>
      <c r="N178" s="245">
        <f>IFERROR(N177/(COUNTA(A165:A176)-COUNTIF(A165:A176,"")),0)</f>
        <v>0</v>
      </c>
      <c r="O178" s="245">
        <f>IFERROR(O177/(COUNTA(A165:A176)-COUNTIF(A165:A176,"")),0)</f>
        <v>0</v>
      </c>
      <c r="P178" s="245">
        <f>IFERROR(P177/(COUNTA(A165:A176)-COUNTIF(A165:A176,"")),0)</f>
        <v>0</v>
      </c>
      <c r="Q178" s="250"/>
      <c r="R178" s="250"/>
      <c r="S178" s="238">
        <f>IFERROR(R177/S177*100,0)</f>
        <v>0</v>
      </c>
      <c r="T178" s="238">
        <f>IFERROR(Q177/T177*100,0)</f>
        <v>0</v>
      </c>
      <c r="U178" s="245">
        <f>IFERROR(U177/COUNTA(A165:A176),0)</f>
        <v>0</v>
      </c>
      <c r="V178" s="245">
        <f>IFERROR(V177/COUNTA(A165:A176),0)</f>
        <v>0</v>
      </c>
    </row>
    <row r="179" spans="1:22" ht="38.25" hidden="1">
      <c r="A179" s="237" t="s">
        <v>524</v>
      </c>
      <c r="B179" s="245">
        <f>O162+B178</f>
        <v>0</v>
      </c>
      <c r="C179" s="245">
        <f>O162+C178</f>
        <v>0</v>
      </c>
      <c r="D179" s="245">
        <f>O162+D178</f>
        <v>0</v>
      </c>
      <c r="E179" s="245"/>
      <c r="F179" s="245"/>
      <c r="G179" s="245">
        <f>O162+G178</f>
        <v>0</v>
      </c>
      <c r="H179" s="245"/>
      <c r="I179" s="245"/>
      <c r="J179" s="245"/>
      <c r="K179" s="245"/>
      <c r="L179" s="245"/>
      <c r="M179" s="245"/>
      <c r="N179" s="245"/>
      <c r="O179" s="245"/>
      <c r="P179" s="245"/>
      <c r="Q179" s="250"/>
      <c r="R179" s="250"/>
      <c r="S179" s="251" t="s">
        <v>525</v>
      </c>
      <c r="T179" s="251" t="s">
        <v>526</v>
      </c>
      <c r="U179" s="251"/>
      <c r="V179" s="251"/>
    </row>
    <row r="183" spans="1:22" ht="12.75" hidden="1" customHeight="1">
      <c r="A183" s="413" t="s">
        <v>502</v>
      </c>
      <c r="B183" s="413"/>
      <c r="C183" s="418"/>
      <c r="D183" s="419"/>
      <c r="E183" s="419"/>
      <c r="F183" s="419"/>
      <c r="G183" s="419"/>
      <c r="H183" s="419"/>
      <c r="I183" s="419"/>
      <c r="J183" s="419"/>
      <c r="K183" s="419"/>
      <c r="L183" s="419"/>
      <c r="M183" s="419"/>
      <c r="N183" s="419"/>
      <c r="O183" s="419"/>
      <c r="P183" s="419"/>
      <c r="Q183" s="419"/>
      <c r="R183" s="419"/>
      <c r="S183" s="419"/>
      <c r="T183" s="420"/>
      <c r="U183" s="239"/>
      <c r="V183" s="239"/>
    </row>
    <row r="184" spans="1:22" ht="12.75" hidden="1" customHeight="1">
      <c r="A184" s="413" t="s">
        <v>527</v>
      </c>
      <c r="B184" s="413"/>
      <c r="C184" s="421"/>
      <c r="D184" s="421"/>
      <c r="E184" s="421"/>
      <c r="F184" s="421"/>
      <c r="G184" s="421"/>
      <c r="H184" s="422" t="s">
        <v>528</v>
      </c>
      <c r="I184" s="422"/>
      <c r="J184" s="421"/>
      <c r="K184" s="421"/>
      <c r="L184" s="421"/>
      <c r="M184" s="421"/>
      <c r="N184" s="421"/>
      <c r="O184" s="421"/>
      <c r="P184" s="421"/>
      <c r="Q184" s="421"/>
      <c r="R184" s="421"/>
      <c r="S184" s="421"/>
      <c r="T184" s="421"/>
      <c r="U184" s="239"/>
      <c r="V184" s="239"/>
    </row>
    <row r="185" spans="1:22" ht="25.5" hidden="1" customHeight="1">
      <c r="A185" s="413" t="s">
        <v>529</v>
      </c>
      <c r="B185" s="413"/>
      <c r="C185" s="418"/>
      <c r="D185" s="420"/>
      <c r="E185" s="241" t="s">
        <v>530</v>
      </c>
      <c r="F185" s="423"/>
      <c r="G185" s="424"/>
      <c r="H185" s="424"/>
      <c r="I185" s="425"/>
      <c r="J185" s="241" t="s">
        <v>531</v>
      </c>
      <c r="K185" s="423"/>
      <c r="L185" s="424"/>
      <c r="M185" s="425"/>
      <c r="N185" s="240" t="s">
        <v>532</v>
      </c>
      <c r="O185" s="426"/>
      <c r="P185" s="427"/>
      <c r="Q185" s="427"/>
      <c r="R185" s="427"/>
      <c r="S185" s="427"/>
      <c r="T185" s="428"/>
      <c r="U185" s="252"/>
      <c r="V185" s="252"/>
    </row>
    <row r="186" spans="1:22" ht="38.25" hidden="1" customHeight="1">
      <c r="A186" s="231" t="s">
        <v>163</v>
      </c>
      <c r="B186" s="415" t="s">
        <v>533</v>
      </c>
      <c r="C186" s="415"/>
      <c r="D186" s="415"/>
      <c r="E186" s="232" t="s">
        <v>534</v>
      </c>
      <c r="F186" s="232" t="s">
        <v>535</v>
      </c>
      <c r="G186" s="231" t="s">
        <v>536</v>
      </c>
      <c r="H186" s="231" t="s">
        <v>537</v>
      </c>
      <c r="I186" s="231" t="s">
        <v>538</v>
      </c>
      <c r="J186" s="232" t="s">
        <v>539</v>
      </c>
      <c r="K186" s="232" t="s">
        <v>540</v>
      </c>
      <c r="L186" s="416" t="s">
        <v>541</v>
      </c>
      <c r="M186" s="417"/>
      <c r="N186" s="416" t="s">
        <v>542</v>
      </c>
      <c r="O186" s="417"/>
      <c r="P186" s="231" t="s">
        <v>543</v>
      </c>
      <c r="Q186" s="231" t="s">
        <v>514</v>
      </c>
      <c r="R186" s="231" t="s">
        <v>515</v>
      </c>
      <c r="S186" s="231" t="s">
        <v>516</v>
      </c>
      <c r="T186" s="231" t="s">
        <v>517</v>
      </c>
      <c r="U186" s="231" t="s">
        <v>544</v>
      </c>
      <c r="V186" s="231" t="s">
        <v>545</v>
      </c>
    </row>
    <row r="187" spans="1:22" hidden="1">
      <c r="A187" s="231"/>
      <c r="B187" s="231">
        <v>10</v>
      </c>
      <c r="C187" s="231">
        <v>20</v>
      </c>
      <c r="D187" s="231">
        <v>30</v>
      </c>
      <c r="E187" s="231"/>
      <c r="F187" s="231"/>
      <c r="G187" s="231"/>
      <c r="H187" s="231"/>
      <c r="I187" s="231"/>
      <c r="J187" s="231"/>
      <c r="K187" s="231"/>
      <c r="L187" s="231" t="s">
        <v>520</v>
      </c>
      <c r="M187" s="231" t="s">
        <v>521</v>
      </c>
      <c r="N187" s="231" t="s">
        <v>520</v>
      </c>
      <c r="O187" s="231" t="s">
        <v>521</v>
      </c>
      <c r="P187" s="231"/>
      <c r="Q187" s="231"/>
      <c r="R187" s="231"/>
      <c r="S187" s="231"/>
      <c r="T187" s="231"/>
      <c r="U187" s="231"/>
      <c r="V187" s="231"/>
    </row>
    <row r="188" spans="1:22" hidden="1">
      <c r="A188" s="246">
        <f>IF($A$27="","",$A$27)</f>
        <v>45139</v>
      </c>
      <c r="B188" s="243"/>
      <c r="C188" s="243"/>
      <c r="D188" s="243"/>
      <c r="E188" s="243"/>
      <c r="F188" s="243"/>
      <c r="G188" s="244">
        <f>IFERROR(AVERAGE(B188:D188),0)</f>
        <v>0</v>
      </c>
      <c r="H188" s="243"/>
      <c r="I188" s="243"/>
      <c r="J188" s="243"/>
      <c r="K188" s="243"/>
      <c r="L188" s="243"/>
      <c r="M188" s="243"/>
      <c r="N188" s="243"/>
      <c r="O188" s="243"/>
      <c r="P188" s="247">
        <f t="shared" ref="P188:P199" si="61">+H188-I188-J188-M188+L188</f>
        <v>0</v>
      </c>
      <c r="Q188" s="253"/>
      <c r="R188" s="253"/>
      <c r="S188" s="253"/>
      <c r="T188" s="253"/>
      <c r="U188" s="245">
        <f>H188-J188-M188</f>
        <v>0</v>
      </c>
      <c r="V188" s="245">
        <f>I188-L188</f>
        <v>0</v>
      </c>
    </row>
    <row r="189" spans="1:22" hidden="1">
      <c r="A189" s="246">
        <f>IF($A$28="","",$A$28)</f>
        <v>45170</v>
      </c>
      <c r="B189" s="243"/>
      <c r="C189" s="243"/>
      <c r="D189" s="243"/>
      <c r="E189" s="243"/>
      <c r="F189" s="243"/>
      <c r="G189" s="244">
        <f t="shared" ref="G189:G199" si="62">IFERROR(AVERAGE(B189:D189),0)</f>
        <v>0</v>
      </c>
      <c r="H189" s="243"/>
      <c r="I189" s="243"/>
      <c r="J189" s="243"/>
      <c r="K189" s="243"/>
      <c r="L189" s="243"/>
      <c r="M189" s="243"/>
      <c r="N189" s="243"/>
      <c r="O189" s="243"/>
      <c r="P189" s="247">
        <f t="shared" si="61"/>
        <v>0</v>
      </c>
      <c r="Q189" s="253"/>
      <c r="R189" s="253"/>
      <c r="S189" s="253"/>
      <c r="T189" s="253"/>
      <c r="U189" s="245">
        <f t="shared" ref="U189:U199" si="63">H189-J189-M189</f>
        <v>0</v>
      </c>
      <c r="V189" s="245">
        <f t="shared" ref="V189:V199" si="64">I189-L189</f>
        <v>0</v>
      </c>
    </row>
    <row r="190" spans="1:22" hidden="1">
      <c r="A190" s="246">
        <f>IF($A$29="","",$A$29)</f>
        <v>45200</v>
      </c>
      <c r="B190" s="243"/>
      <c r="C190" s="243"/>
      <c r="D190" s="243"/>
      <c r="E190" s="243"/>
      <c r="F190" s="243"/>
      <c r="G190" s="244">
        <f t="shared" si="62"/>
        <v>0</v>
      </c>
      <c r="H190" s="243"/>
      <c r="I190" s="243"/>
      <c r="J190" s="243"/>
      <c r="K190" s="243"/>
      <c r="L190" s="243"/>
      <c r="M190" s="243"/>
      <c r="N190" s="243"/>
      <c r="O190" s="243"/>
      <c r="P190" s="247">
        <f t="shared" si="61"/>
        <v>0</v>
      </c>
      <c r="Q190" s="253"/>
      <c r="R190" s="253"/>
      <c r="S190" s="253"/>
      <c r="T190" s="253"/>
      <c r="U190" s="245">
        <f t="shared" si="63"/>
        <v>0</v>
      </c>
      <c r="V190" s="245">
        <f t="shared" si="64"/>
        <v>0</v>
      </c>
    </row>
    <row r="191" spans="1:22" hidden="1">
      <c r="A191" s="246">
        <f>IF($A$30="","",$A$30)</f>
        <v>45231</v>
      </c>
      <c r="B191" s="243"/>
      <c r="C191" s="243"/>
      <c r="D191" s="243"/>
      <c r="E191" s="243"/>
      <c r="F191" s="243"/>
      <c r="G191" s="244">
        <f t="shared" si="62"/>
        <v>0</v>
      </c>
      <c r="H191" s="243"/>
      <c r="I191" s="243"/>
      <c r="J191" s="243"/>
      <c r="K191" s="243"/>
      <c r="L191" s="243"/>
      <c r="M191" s="243"/>
      <c r="N191" s="243"/>
      <c r="O191" s="243"/>
      <c r="P191" s="247">
        <f t="shared" si="61"/>
        <v>0</v>
      </c>
      <c r="Q191" s="253"/>
      <c r="R191" s="253"/>
      <c r="S191" s="253"/>
      <c r="T191" s="253"/>
      <c r="U191" s="245">
        <f t="shared" si="63"/>
        <v>0</v>
      </c>
      <c r="V191" s="245">
        <f t="shared" si="64"/>
        <v>0</v>
      </c>
    </row>
    <row r="192" spans="1:22" hidden="1">
      <c r="A192" s="246">
        <f>IF($A$31="","",$A$31)</f>
        <v>45261</v>
      </c>
      <c r="B192" s="243"/>
      <c r="C192" s="243"/>
      <c r="D192" s="243"/>
      <c r="E192" s="243"/>
      <c r="F192" s="243"/>
      <c r="G192" s="244">
        <f t="shared" si="62"/>
        <v>0</v>
      </c>
      <c r="H192" s="243"/>
      <c r="I192" s="243"/>
      <c r="J192" s="243"/>
      <c r="K192" s="243"/>
      <c r="L192" s="243"/>
      <c r="M192" s="243"/>
      <c r="N192" s="243"/>
      <c r="O192" s="243"/>
      <c r="P192" s="247">
        <f t="shared" si="61"/>
        <v>0</v>
      </c>
      <c r="Q192" s="253"/>
      <c r="R192" s="253"/>
      <c r="S192" s="253"/>
      <c r="T192" s="253"/>
      <c r="U192" s="245">
        <f t="shared" si="63"/>
        <v>0</v>
      </c>
      <c r="V192" s="245">
        <f t="shared" si="64"/>
        <v>0</v>
      </c>
    </row>
    <row r="193" spans="1:22" hidden="1">
      <c r="A193" s="246">
        <f>IF($A$32="","",$A$32)</f>
        <v>45292</v>
      </c>
      <c r="B193" s="243"/>
      <c r="C193" s="243"/>
      <c r="D193" s="243"/>
      <c r="E193" s="243"/>
      <c r="F193" s="243"/>
      <c r="G193" s="244">
        <f t="shared" si="62"/>
        <v>0</v>
      </c>
      <c r="H193" s="243"/>
      <c r="I193" s="243"/>
      <c r="J193" s="243"/>
      <c r="K193" s="243"/>
      <c r="L193" s="243"/>
      <c r="M193" s="243"/>
      <c r="N193" s="243"/>
      <c r="O193" s="243"/>
      <c r="P193" s="247">
        <f t="shared" si="61"/>
        <v>0</v>
      </c>
      <c r="Q193" s="253"/>
      <c r="R193" s="253"/>
      <c r="S193" s="253"/>
      <c r="T193" s="253"/>
      <c r="U193" s="245">
        <f t="shared" si="63"/>
        <v>0</v>
      </c>
      <c r="V193" s="245">
        <f t="shared" si="64"/>
        <v>0</v>
      </c>
    </row>
    <row r="194" spans="1:22" hidden="1">
      <c r="A194" s="246" t="str">
        <f>IF($A$33="","",$A$33)</f>
        <v/>
      </c>
      <c r="B194" s="243"/>
      <c r="C194" s="243"/>
      <c r="D194" s="243"/>
      <c r="E194" s="243"/>
      <c r="F194" s="243"/>
      <c r="G194" s="244">
        <f t="shared" si="62"/>
        <v>0</v>
      </c>
      <c r="H194" s="243"/>
      <c r="I194" s="243"/>
      <c r="J194" s="243"/>
      <c r="K194" s="243"/>
      <c r="L194" s="243"/>
      <c r="M194" s="243"/>
      <c r="N194" s="243"/>
      <c r="O194" s="243"/>
      <c r="P194" s="247">
        <f t="shared" si="61"/>
        <v>0</v>
      </c>
      <c r="Q194" s="253"/>
      <c r="R194" s="253"/>
      <c r="S194" s="253"/>
      <c r="T194" s="253"/>
      <c r="U194" s="245">
        <f t="shared" si="63"/>
        <v>0</v>
      </c>
      <c r="V194" s="245">
        <f t="shared" si="64"/>
        <v>0</v>
      </c>
    </row>
    <row r="195" spans="1:22" hidden="1">
      <c r="A195" s="246" t="str">
        <f>IF($A$34="","",$A$34)</f>
        <v/>
      </c>
      <c r="B195" s="243"/>
      <c r="C195" s="243"/>
      <c r="D195" s="243"/>
      <c r="E195" s="243"/>
      <c r="F195" s="243"/>
      <c r="G195" s="244">
        <f t="shared" si="62"/>
        <v>0</v>
      </c>
      <c r="H195" s="243"/>
      <c r="I195" s="243"/>
      <c r="J195" s="243"/>
      <c r="K195" s="243"/>
      <c r="L195" s="243"/>
      <c r="M195" s="243"/>
      <c r="N195" s="243"/>
      <c r="O195" s="243"/>
      <c r="P195" s="247">
        <f t="shared" si="61"/>
        <v>0</v>
      </c>
      <c r="Q195" s="253"/>
      <c r="R195" s="253"/>
      <c r="S195" s="253"/>
      <c r="T195" s="253"/>
      <c r="U195" s="245">
        <f t="shared" si="63"/>
        <v>0</v>
      </c>
      <c r="V195" s="245">
        <f t="shared" si="64"/>
        <v>0</v>
      </c>
    </row>
    <row r="196" spans="1:22" hidden="1">
      <c r="A196" s="246" t="str">
        <f>IF($A$35="","",$A$35)</f>
        <v/>
      </c>
      <c r="B196" s="243"/>
      <c r="C196" s="243"/>
      <c r="D196" s="243"/>
      <c r="E196" s="243"/>
      <c r="F196" s="243"/>
      <c r="G196" s="244">
        <f t="shared" si="62"/>
        <v>0</v>
      </c>
      <c r="H196" s="243"/>
      <c r="I196" s="243"/>
      <c r="J196" s="243"/>
      <c r="K196" s="243"/>
      <c r="L196" s="243"/>
      <c r="M196" s="243"/>
      <c r="N196" s="243"/>
      <c r="O196" s="243"/>
      <c r="P196" s="247">
        <f t="shared" si="61"/>
        <v>0</v>
      </c>
      <c r="Q196" s="253"/>
      <c r="R196" s="253"/>
      <c r="S196" s="253"/>
      <c r="T196" s="253"/>
      <c r="U196" s="245">
        <f t="shared" si="63"/>
        <v>0</v>
      </c>
      <c r="V196" s="245">
        <f t="shared" si="64"/>
        <v>0</v>
      </c>
    </row>
    <row r="197" spans="1:22" hidden="1">
      <c r="A197" s="246" t="str">
        <f>IF($A$36="","",$A$36)</f>
        <v/>
      </c>
      <c r="B197" s="243"/>
      <c r="C197" s="243"/>
      <c r="D197" s="243"/>
      <c r="E197" s="243"/>
      <c r="F197" s="243"/>
      <c r="G197" s="244">
        <f t="shared" si="62"/>
        <v>0</v>
      </c>
      <c r="H197" s="243"/>
      <c r="I197" s="243"/>
      <c r="J197" s="243"/>
      <c r="K197" s="243"/>
      <c r="L197" s="243"/>
      <c r="M197" s="243"/>
      <c r="N197" s="243"/>
      <c r="O197" s="243"/>
      <c r="P197" s="247">
        <f t="shared" si="61"/>
        <v>0</v>
      </c>
      <c r="Q197" s="253"/>
      <c r="R197" s="253"/>
      <c r="S197" s="253"/>
      <c r="T197" s="253"/>
      <c r="U197" s="245">
        <f t="shared" si="63"/>
        <v>0</v>
      </c>
      <c r="V197" s="245">
        <f t="shared" si="64"/>
        <v>0</v>
      </c>
    </row>
    <row r="198" spans="1:22" hidden="1">
      <c r="A198" s="246" t="str">
        <f>IF($A$37="","",$A$37)</f>
        <v/>
      </c>
      <c r="B198" s="243"/>
      <c r="C198" s="243"/>
      <c r="D198" s="243"/>
      <c r="E198" s="243"/>
      <c r="F198" s="243"/>
      <c r="G198" s="244">
        <f t="shared" si="62"/>
        <v>0</v>
      </c>
      <c r="H198" s="243"/>
      <c r="I198" s="243"/>
      <c r="J198" s="243"/>
      <c r="K198" s="243"/>
      <c r="L198" s="243"/>
      <c r="M198" s="243"/>
      <c r="N198" s="243"/>
      <c r="O198" s="243"/>
      <c r="P198" s="247">
        <f t="shared" si="61"/>
        <v>0</v>
      </c>
      <c r="Q198" s="253"/>
      <c r="R198" s="253"/>
      <c r="S198" s="253"/>
      <c r="T198" s="253"/>
      <c r="U198" s="245">
        <f t="shared" si="63"/>
        <v>0</v>
      </c>
      <c r="V198" s="245">
        <f t="shared" si="64"/>
        <v>0</v>
      </c>
    </row>
    <row r="199" spans="1:22" hidden="1">
      <c r="A199" s="246" t="str">
        <f>IF($A$38="","",$A$38)</f>
        <v/>
      </c>
      <c r="B199" s="243"/>
      <c r="C199" s="243"/>
      <c r="D199" s="243"/>
      <c r="E199" s="243"/>
      <c r="F199" s="243"/>
      <c r="G199" s="244">
        <f t="shared" si="62"/>
        <v>0</v>
      </c>
      <c r="H199" s="243"/>
      <c r="I199" s="243"/>
      <c r="J199" s="243"/>
      <c r="K199" s="243"/>
      <c r="L199" s="243"/>
      <c r="M199" s="243"/>
      <c r="N199" s="243"/>
      <c r="O199" s="243"/>
      <c r="P199" s="247">
        <f t="shared" si="61"/>
        <v>0</v>
      </c>
      <c r="Q199" s="253"/>
      <c r="R199" s="253"/>
      <c r="S199" s="253"/>
      <c r="T199" s="253"/>
      <c r="U199" s="245">
        <f t="shared" si="63"/>
        <v>0</v>
      </c>
      <c r="V199" s="245">
        <f t="shared" si="64"/>
        <v>0</v>
      </c>
    </row>
    <row r="200" spans="1:22" hidden="1">
      <c r="A200" s="237" t="s">
        <v>522</v>
      </c>
      <c r="B200" s="245">
        <f t="shared" ref="B200:I200" si="65">+SUM(B188:B199)</f>
        <v>0</v>
      </c>
      <c r="C200" s="245">
        <f t="shared" si="65"/>
        <v>0</v>
      </c>
      <c r="D200" s="245">
        <f t="shared" si="65"/>
        <v>0</v>
      </c>
      <c r="E200" s="245">
        <f t="shared" si="65"/>
        <v>0</v>
      </c>
      <c r="F200" s="245">
        <f t="shared" si="65"/>
        <v>0</v>
      </c>
      <c r="G200" s="245">
        <f t="shared" si="65"/>
        <v>0</v>
      </c>
      <c r="H200" s="245">
        <f t="shared" si="65"/>
        <v>0</v>
      </c>
      <c r="I200" s="245">
        <f t="shared" si="65"/>
        <v>0</v>
      </c>
      <c r="J200" s="245">
        <f t="shared" ref="J200:O200" si="66">+SUM(J188:J199)</f>
        <v>0</v>
      </c>
      <c r="K200" s="245">
        <f t="shared" si="66"/>
        <v>0</v>
      </c>
      <c r="L200" s="245">
        <f t="shared" si="66"/>
        <v>0</v>
      </c>
      <c r="M200" s="245">
        <f t="shared" si="66"/>
        <v>0</v>
      </c>
      <c r="N200" s="245">
        <f t="shared" si="66"/>
        <v>0</v>
      </c>
      <c r="O200" s="245">
        <f t="shared" si="66"/>
        <v>0</v>
      </c>
      <c r="P200" s="245">
        <f t="shared" ref="P200:V200" si="67">+SUM(P188:P199)</f>
        <v>0</v>
      </c>
      <c r="Q200" s="245">
        <f t="shared" si="67"/>
        <v>0</v>
      </c>
      <c r="R200" s="245">
        <f t="shared" si="67"/>
        <v>0</v>
      </c>
      <c r="S200" s="245">
        <f t="shared" si="67"/>
        <v>0</v>
      </c>
      <c r="T200" s="245">
        <f t="shared" si="67"/>
        <v>0</v>
      </c>
      <c r="U200" s="245">
        <f t="shared" si="67"/>
        <v>0</v>
      </c>
      <c r="V200" s="245">
        <f t="shared" si="67"/>
        <v>0</v>
      </c>
    </row>
    <row r="201" spans="1:22" hidden="1">
      <c r="A201" s="237" t="s">
        <v>523</v>
      </c>
      <c r="B201" s="245">
        <f>IFERROR(B200/(COUNTA(A188:A199)-COUNTIF(A188:A199,"")),0)</f>
        <v>0</v>
      </c>
      <c r="C201" s="245">
        <f>IFERROR(C200/(COUNTA(A188:A199)-COUNTIF(A188:A199,"")),0)</f>
        <v>0</v>
      </c>
      <c r="D201" s="245">
        <f>IFERROR(D200/(COUNTA(A188:A199)-COUNTIF(A188:A199,"")),0)</f>
        <v>0</v>
      </c>
      <c r="E201" s="245">
        <f>IFERROR(E200/(COUNTA(A188:A199)-COUNTIF(A188:A199,"")),0)</f>
        <v>0</v>
      </c>
      <c r="F201" s="245">
        <f>IFERROR(F200/(COUNTA(A188:A199)-COUNTIF(A188:A199,"")),0)</f>
        <v>0</v>
      </c>
      <c r="G201" s="245">
        <f>IFERROR(G200/(COUNTA(A188:A199)-COUNTIF(A188:A199,"")),0)</f>
        <v>0</v>
      </c>
      <c r="H201" s="245">
        <f>IFERROR(H200/(COUNTA(A188:A199)-COUNTIF(A188:A199,"")),0)</f>
        <v>0</v>
      </c>
      <c r="I201" s="245">
        <f>IFERROR(I200/(COUNTA(A188:A199)-COUNTIF(A188:A199,"")),0)</f>
        <v>0</v>
      </c>
      <c r="J201" s="245">
        <f>IFERROR(J200/(COUNTA(A188:A199)-COUNTIF(A188:A199,"")),0)</f>
        <v>0</v>
      </c>
      <c r="K201" s="245">
        <f>IFERROR(K200/(COUNTA(A188:A199)-COUNTIF(A188:A199,"")),0)</f>
        <v>0</v>
      </c>
      <c r="L201" s="245">
        <f>IFERROR(L200/(COUNTA(A188:A199)-COUNTIF(A188:A199,"")),0)</f>
        <v>0</v>
      </c>
      <c r="M201" s="245">
        <f>IFERROR(M200/(COUNTA(A188:A199)-COUNTIF(A188:A199,"")),0)</f>
        <v>0</v>
      </c>
      <c r="N201" s="245">
        <f>IFERROR(N200/(COUNTA(A188:A199)-COUNTIF(A188:A199,"")),0)</f>
        <v>0</v>
      </c>
      <c r="O201" s="245">
        <f>IFERROR(O200/(COUNTA(A188:A199)-COUNTIF(A188:A199,"")),0)</f>
        <v>0</v>
      </c>
      <c r="P201" s="245">
        <f>IFERROR(P200/(COUNTA(A188:A199)-COUNTIF(A188:A199,"")),0)</f>
        <v>0</v>
      </c>
      <c r="Q201" s="250"/>
      <c r="R201" s="250"/>
      <c r="S201" s="238">
        <f>IFERROR(R200/S200*100,0)</f>
        <v>0</v>
      </c>
      <c r="T201" s="238">
        <f>IFERROR(Q200/T200*100,0)</f>
        <v>0</v>
      </c>
      <c r="U201" s="245">
        <f>IFERROR(U200/COUNTA(A188:A199),0)</f>
        <v>0</v>
      </c>
      <c r="V201" s="245">
        <f>IFERROR(V200/COUNTA(A188:A199),0)</f>
        <v>0</v>
      </c>
    </row>
    <row r="202" spans="1:22" ht="38.25" hidden="1">
      <c r="A202" s="237" t="s">
        <v>524</v>
      </c>
      <c r="B202" s="245">
        <f>O185+B201</f>
        <v>0</v>
      </c>
      <c r="C202" s="245">
        <f>O185+C201</f>
        <v>0</v>
      </c>
      <c r="D202" s="245">
        <f>O185+D201</f>
        <v>0</v>
      </c>
      <c r="E202" s="245"/>
      <c r="F202" s="245"/>
      <c r="G202" s="245">
        <f>O185+G201</f>
        <v>0</v>
      </c>
      <c r="H202" s="245"/>
      <c r="I202" s="245"/>
      <c r="J202" s="245"/>
      <c r="K202" s="245"/>
      <c r="L202" s="245"/>
      <c r="M202" s="245"/>
      <c r="N202" s="245"/>
      <c r="O202" s="245"/>
      <c r="P202" s="245"/>
      <c r="Q202" s="250"/>
      <c r="R202" s="250"/>
      <c r="S202" s="251" t="s">
        <v>525</v>
      </c>
      <c r="T202" s="251" t="s">
        <v>526</v>
      </c>
      <c r="U202" s="251"/>
      <c r="V202" s="251"/>
    </row>
    <row r="206" spans="1:22" ht="12.75" hidden="1" customHeight="1">
      <c r="A206" s="413" t="s">
        <v>502</v>
      </c>
      <c r="B206" s="413"/>
      <c r="C206" s="418"/>
      <c r="D206" s="419"/>
      <c r="E206" s="419"/>
      <c r="F206" s="419"/>
      <c r="G206" s="419"/>
      <c r="H206" s="419"/>
      <c r="I206" s="419"/>
      <c r="J206" s="419"/>
      <c r="K206" s="419"/>
      <c r="L206" s="419"/>
      <c r="M206" s="419"/>
      <c r="N206" s="419"/>
      <c r="O206" s="419"/>
      <c r="P206" s="419"/>
      <c r="Q206" s="419"/>
      <c r="R206" s="419"/>
      <c r="S206" s="419"/>
      <c r="T206" s="420"/>
      <c r="U206" s="239"/>
      <c r="V206" s="239"/>
    </row>
    <row r="207" spans="1:22" ht="12.75" hidden="1" customHeight="1">
      <c r="A207" s="413" t="s">
        <v>527</v>
      </c>
      <c r="B207" s="413"/>
      <c r="C207" s="421"/>
      <c r="D207" s="421"/>
      <c r="E207" s="421"/>
      <c r="F207" s="421"/>
      <c r="G207" s="421"/>
      <c r="H207" s="422" t="s">
        <v>528</v>
      </c>
      <c r="I207" s="422"/>
      <c r="J207" s="421"/>
      <c r="K207" s="421"/>
      <c r="L207" s="421"/>
      <c r="M207" s="421"/>
      <c r="N207" s="421"/>
      <c r="O207" s="421"/>
      <c r="P207" s="421"/>
      <c r="Q207" s="421"/>
      <c r="R207" s="421"/>
      <c r="S207" s="421"/>
      <c r="T207" s="421"/>
      <c r="U207" s="239"/>
      <c r="V207" s="239"/>
    </row>
    <row r="208" spans="1:22" ht="25.5" hidden="1" customHeight="1">
      <c r="A208" s="413" t="s">
        <v>529</v>
      </c>
      <c r="B208" s="413"/>
      <c r="C208" s="418"/>
      <c r="D208" s="420"/>
      <c r="E208" s="241" t="s">
        <v>530</v>
      </c>
      <c r="F208" s="423"/>
      <c r="G208" s="424"/>
      <c r="H208" s="424"/>
      <c r="I208" s="425"/>
      <c r="J208" s="241" t="s">
        <v>531</v>
      </c>
      <c r="K208" s="423"/>
      <c r="L208" s="424"/>
      <c r="M208" s="425"/>
      <c r="N208" s="240" t="s">
        <v>532</v>
      </c>
      <c r="O208" s="426"/>
      <c r="P208" s="427"/>
      <c r="Q208" s="427"/>
      <c r="R208" s="427"/>
      <c r="S208" s="427"/>
      <c r="T208" s="428"/>
      <c r="U208" s="252"/>
      <c r="V208" s="252"/>
    </row>
    <row r="209" spans="1:22" ht="38.25" hidden="1" customHeight="1">
      <c r="A209" s="231" t="s">
        <v>163</v>
      </c>
      <c r="B209" s="415" t="s">
        <v>533</v>
      </c>
      <c r="C209" s="415"/>
      <c r="D209" s="415"/>
      <c r="E209" s="232" t="s">
        <v>534</v>
      </c>
      <c r="F209" s="232" t="s">
        <v>535</v>
      </c>
      <c r="G209" s="231" t="s">
        <v>536</v>
      </c>
      <c r="H209" s="231" t="s">
        <v>537</v>
      </c>
      <c r="I209" s="231" t="s">
        <v>538</v>
      </c>
      <c r="J209" s="232" t="s">
        <v>539</v>
      </c>
      <c r="K209" s="232" t="s">
        <v>540</v>
      </c>
      <c r="L209" s="416" t="s">
        <v>541</v>
      </c>
      <c r="M209" s="417"/>
      <c r="N209" s="416" t="s">
        <v>542</v>
      </c>
      <c r="O209" s="417"/>
      <c r="P209" s="231" t="s">
        <v>543</v>
      </c>
      <c r="Q209" s="231" t="s">
        <v>514</v>
      </c>
      <c r="R209" s="231" t="s">
        <v>515</v>
      </c>
      <c r="S209" s="231" t="s">
        <v>516</v>
      </c>
      <c r="T209" s="231" t="s">
        <v>517</v>
      </c>
      <c r="U209" s="231" t="s">
        <v>544</v>
      </c>
      <c r="V209" s="231" t="s">
        <v>545</v>
      </c>
    </row>
    <row r="210" spans="1:22" hidden="1">
      <c r="A210" s="231"/>
      <c r="B210" s="231">
        <v>10</v>
      </c>
      <c r="C210" s="231">
        <v>20</v>
      </c>
      <c r="D210" s="231">
        <v>30</v>
      </c>
      <c r="E210" s="231"/>
      <c r="F210" s="231"/>
      <c r="G210" s="231"/>
      <c r="H210" s="231"/>
      <c r="I210" s="231"/>
      <c r="J210" s="231"/>
      <c r="K210" s="231"/>
      <c r="L210" s="231" t="s">
        <v>520</v>
      </c>
      <c r="M210" s="231" t="s">
        <v>521</v>
      </c>
      <c r="N210" s="231" t="s">
        <v>520</v>
      </c>
      <c r="O210" s="231" t="s">
        <v>521</v>
      </c>
      <c r="P210" s="231"/>
      <c r="Q210" s="231"/>
      <c r="R210" s="231"/>
      <c r="S210" s="231"/>
      <c r="T210" s="231"/>
      <c r="U210" s="231"/>
      <c r="V210" s="231"/>
    </row>
    <row r="211" spans="1:22" hidden="1">
      <c r="A211" s="246">
        <f>IF($A$27="","",$A$27)</f>
        <v>45139</v>
      </c>
      <c r="B211" s="243"/>
      <c r="C211" s="243"/>
      <c r="D211" s="243"/>
      <c r="E211" s="243"/>
      <c r="F211" s="243"/>
      <c r="G211" s="244">
        <f>IFERROR(AVERAGE(B211:D211),0)</f>
        <v>0</v>
      </c>
      <c r="H211" s="243"/>
      <c r="I211" s="243"/>
      <c r="J211" s="243"/>
      <c r="K211" s="243"/>
      <c r="L211" s="243"/>
      <c r="M211" s="243"/>
      <c r="N211" s="243"/>
      <c r="O211" s="243"/>
      <c r="P211" s="247">
        <f t="shared" ref="P211:P222" si="68">+H211-I211-J211-M211+L211</f>
        <v>0</v>
      </c>
      <c r="Q211" s="253"/>
      <c r="R211" s="253"/>
      <c r="S211" s="253"/>
      <c r="T211" s="253"/>
      <c r="U211" s="245">
        <f>H211-J211-M211</f>
        <v>0</v>
      </c>
      <c r="V211" s="245">
        <f>I211-L211</f>
        <v>0</v>
      </c>
    </row>
    <row r="212" spans="1:22" hidden="1">
      <c r="A212" s="246">
        <f>IF($A$28="","",$A$28)</f>
        <v>45170</v>
      </c>
      <c r="B212" s="243"/>
      <c r="C212" s="243"/>
      <c r="D212" s="243"/>
      <c r="E212" s="243"/>
      <c r="F212" s="243"/>
      <c r="G212" s="244">
        <f t="shared" ref="G212:G222" si="69">IFERROR(AVERAGE(B212:D212),0)</f>
        <v>0</v>
      </c>
      <c r="H212" s="243"/>
      <c r="I212" s="243"/>
      <c r="J212" s="243"/>
      <c r="K212" s="243"/>
      <c r="L212" s="243"/>
      <c r="M212" s="243"/>
      <c r="N212" s="243"/>
      <c r="O212" s="243"/>
      <c r="P212" s="247">
        <f t="shared" si="68"/>
        <v>0</v>
      </c>
      <c r="Q212" s="253"/>
      <c r="R212" s="253"/>
      <c r="S212" s="253"/>
      <c r="T212" s="253"/>
      <c r="U212" s="245">
        <f t="shared" ref="U212:U222" si="70">H212-J212-M212</f>
        <v>0</v>
      </c>
      <c r="V212" s="245">
        <f t="shared" ref="V212:V222" si="71">I212-L212</f>
        <v>0</v>
      </c>
    </row>
    <row r="213" spans="1:22" hidden="1">
      <c r="A213" s="246">
        <f>IF($A$29="","",$A$29)</f>
        <v>45200</v>
      </c>
      <c r="B213" s="243"/>
      <c r="C213" s="243"/>
      <c r="D213" s="243"/>
      <c r="E213" s="243"/>
      <c r="F213" s="243"/>
      <c r="G213" s="244">
        <f t="shared" si="69"/>
        <v>0</v>
      </c>
      <c r="H213" s="243"/>
      <c r="I213" s="243"/>
      <c r="J213" s="243"/>
      <c r="K213" s="243"/>
      <c r="L213" s="243"/>
      <c r="M213" s="243"/>
      <c r="N213" s="243"/>
      <c r="O213" s="243"/>
      <c r="P213" s="247">
        <f t="shared" si="68"/>
        <v>0</v>
      </c>
      <c r="Q213" s="253"/>
      <c r="R213" s="253"/>
      <c r="S213" s="253"/>
      <c r="T213" s="253"/>
      <c r="U213" s="245">
        <f t="shared" si="70"/>
        <v>0</v>
      </c>
      <c r="V213" s="245">
        <f t="shared" si="71"/>
        <v>0</v>
      </c>
    </row>
    <row r="214" spans="1:22" hidden="1">
      <c r="A214" s="246">
        <f>IF($A$30="","",$A$30)</f>
        <v>45231</v>
      </c>
      <c r="B214" s="243"/>
      <c r="C214" s="243"/>
      <c r="D214" s="243"/>
      <c r="E214" s="243"/>
      <c r="F214" s="243"/>
      <c r="G214" s="244">
        <f t="shared" si="69"/>
        <v>0</v>
      </c>
      <c r="H214" s="243"/>
      <c r="I214" s="243"/>
      <c r="J214" s="243"/>
      <c r="K214" s="243"/>
      <c r="L214" s="243"/>
      <c r="M214" s="243"/>
      <c r="N214" s="243"/>
      <c r="O214" s="243"/>
      <c r="P214" s="247">
        <f t="shared" si="68"/>
        <v>0</v>
      </c>
      <c r="Q214" s="253"/>
      <c r="R214" s="253"/>
      <c r="S214" s="253"/>
      <c r="T214" s="253"/>
      <c r="U214" s="245">
        <f t="shared" si="70"/>
        <v>0</v>
      </c>
      <c r="V214" s="245">
        <f t="shared" si="71"/>
        <v>0</v>
      </c>
    </row>
    <row r="215" spans="1:22" hidden="1">
      <c r="A215" s="246">
        <f>IF($A$31="","",$A$31)</f>
        <v>45261</v>
      </c>
      <c r="B215" s="243"/>
      <c r="C215" s="243"/>
      <c r="D215" s="243"/>
      <c r="E215" s="243"/>
      <c r="F215" s="243"/>
      <c r="G215" s="244">
        <f t="shared" si="69"/>
        <v>0</v>
      </c>
      <c r="H215" s="243"/>
      <c r="I215" s="243"/>
      <c r="J215" s="243"/>
      <c r="K215" s="243"/>
      <c r="L215" s="243"/>
      <c r="M215" s="243"/>
      <c r="N215" s="243"/>
      <c r="O215" s="243"/>
      <c r="P215" s="247">
        <f t="shared" si="68"/>
        <v>0</v>
      </c>
      <c r="Q215" s="253"/>
      <c r="R215" s="253"/>
      <c r="S215" s="253"/>
      <c r="T215" s="253"/>
      <c r="U215" s="245">
        <f t="shared" si="70"/>
        <v>0</v>
      </c>
      <c r="V215" s="245">
        <f t="shared" si="71"/>
        <v>0</v>
      </c>
    </row>
    <row r="216" spans="1:22" hidden="1">
      <c r="A216" s="246">
        <f>IF($A$32="","",$A$32)</f>
        <v>45292</v>
      </c>
      <c r="B216" s="243"/>
      <c r="C216" s="243"/>
      <c r="D216" s="243"/>
      <c r="E216" s="243"/>
      <c r="F216" s="243"/>
      <c r="G216" s="244">
        <f t="shared" si="69"/>
        <v>0</v>
      </c>
      <c r="H216" s="243"/>
      <c r="I216" s="243"/>
      <c r="J216" s="243"/>
      <c r="K216" s="243"/>
      <c r="L216" s="243"/>
      <c r="M216" s="243"/>
      <c r="N216" s="243"/>
      <c r="O216" s="243"/>
      <c r="P216" s="247">
        <f t="shared" si="68"/>
        <v>0</v>
      </c>
      <c r="Q216" s="253"/>
      <c r="R216" s="253"/>
      <c r="S216" s="253"/>
      <c r="T216" s="253"/>
      <c r="U216" s="245">
        <f t="shared" si="70"/>
        <v>0</v>
      </c>
      <c r="V216" s="245">
        <f t="shared" si="71"/>
        <v>0</v>
      </c>
    </row>
    <row r="217" spans="1:22" hidden="1">
      <c r="A217" s="246" t="str">
        <f>IF($A$33="","",$A$33)</f>
        <v/>
      </c>
      <c r="B217" s="243"/>
      <c r="C217" s="243"/>
      <c r="D217" s="243"/>
      <c r="E217" s="243"/>
      <c r="F217" s="243"/>
      <c r="G217" s="244">
        <f t="shared" si="69"/>
        <v>0</v>
      </c>
      <c r="H217" s="243"/>
      <c r="I217" s="243"/>
      <c r="J217" s="243"/>
      <c r="K217" s="243"/>
      <c r="L217" s="243"/>
      <c r="M217" s="243"/>
      <c r="N217" s="243"/>
      <c r="O217" s="243"/>
      <c r="P217" s="247">
        <f t="shared" si="68"/>
        <v>0</v>
      </c>
      <c r="Q217" s="253"/>
      <c r="R217" s="253"/>
      <c r="S217" s="253"/>
      <c r="T217" s="253"/>
      <c r="U217" s="245">
        <f t="shared" si="70"/>
        <v>0</v>
      </c>
      <c r="V217" s="245">
        <f t="shared" si="71"/>
        <v>0</v>
      </c>
    </row>
    <row r="218" spans="1:22" hidden="1">
      <c r="A218" s="246" t="str">
        <f>IF($A$34="","",$A$34)</f>
        <v/>
      </c>
      <c r="B218" s="243"/>
      <c r="C218" s="243"/>
      <c r="D218" s="243"/>
      <c r="E218" s="243"/>
      <c r="F218" s="243"/>
      <c r="G218" s="244">
        <f t="shared" si="69"/>
        <v>0</v>
      </c>
      <c r="H218" s="243"/>
      <c r="I218" s="243"/>
      <c r="J218" s="243"/>
      <c r="K218" s="243"/>
      <c r="L218" s="243"/>
      <c r="M218" s="243"/>
      <c r="N218" s="243"/>
      <c r="O218" s="243"/>
      <c r="P218" s="247">
        <f t="shared" si="68"/>
        <v>0</v>
      </c>
      <c r="Q218" s="253"/>
      <c r="R218" s="253"/>
      <c r="S218" s="253"/>
      <c r="T218" s="253"/>
      <c r="U218" s="245">
        <f t="shared" si="70"/>
        <v>0</v>
      </c>
      <c r="V218" s="245">
        <f t="shared" si="71"/>
        <v>0</v>
      </c>
    </row>
    <row r="219" spans="1:22" hidden="1">
      <c r="A219" s="246" t="str">
        <f>IF($A$35="","",$A$35)</f>
        <v/>
      </c>
      <c r="B219" s="243"/>
      <c r="C219" s="243"/>
      <c r="D219" s="243"/>
      <c r="E219" s="243"/>
      <c r="F219" s="243"/>
      <c r="G219" s="244">
        <f t="shared" si="69"/>
        <v>0</v>
      </c>
      <c r="H219" s="243"/>
      <c r="I219" s="243"/>
      <c r="J219" s="243"/>
      <c r="K219" s="243"/>
      <c r="L219" s="243"/>
      <c r="M219" s="243"/>
      <c r="N219" s="243"/>
      <c r="O219" s="243"/>
      <c r="P219" s="247">
        <f t="shared" si="68"/>
        <v>0</v>
      </c>
      <c r="Q219" s="253"/>
      <c r="R219" s="253"/>
      <c r="S219" s="253"/>
      <c r="T219" s="253"/>
      <c r="U219" s="245">
        <f t="shared" si="70"/>
        <v>0</v>
      </c>
      <c r="V219" s="245">
        <f t="shared" si="71"/>
        <v>0</v>
      </c>
    </row>
    <row r="220" spans="1:22" hidden="1">
      <c r="A220" s="246" t="str">
        <f>IF($A$36="","",$A$36)</f>
        <v/>
      </c>
      <c r="B220" s="243"/>
      <c r="C220" s="243"/>
      <c r="D220" s="243"/>
      <c r="E220" s="243"/>
      <c r="F220" s="243"/>
      <c r="G220" s="244">
        <f t="shared" si="69"/>
        <v>0</v>
      </c>
      <c r="H220" s="243"/>
      <c r="I220" s="243"/>
      <c r="J220" s="243"/>
      <c r="K220" s="243"/>
      <c r="L220" s="243"/>
      <c r="M220" s="243"/>
      <c r="N220" s="243"/>
      <c r="O220" s="243"/>
      <c r="P220" s="247">
        <f t="shared" si="68"/>
        <v>0</v>
      </c>
      <c r="Q220" s="253"/>
      <c r="R220" s="253"/>
      <c r="S220" s="253"/>
      <c r="T220" s="253"/>
      <c r="U220" s="245">
        <f t="shared" si="70"/>
        <v>0</v>
      </c>
      <c r="V220" s="245">
        <f t="shared" si="71"/>
        <v>0</v>
      </c>
    </row>
    <row r="221" spans="1:22" hidden="1">
      <c r="A221" s="246" t="str">
        <f>IF($A$37="","",$A$37)</f>
        <v/>
      </c>
      <c r="B221" s="243"/>
      <c r="C221" s="243"/>
      <c r="D221" s="243"/>
      <c r="E221" s="243"/>
      <c r="F221" s="243"/>
      <c r="G221" s="244">
        <f t="shared" si="69"/>
        <v>0</v>
      </c>
      <c r="H221" s="243"/>
      <c r="I221" s="243"/>
      <c r="J221" s="243"/>
      <c r="K221" s="243"/>
      <c r="L221" s="243"/>
      <c r="M221" s="243"/>
      <c r="N221" s="243"/>
      <c r="O221" s="243"/>
      <c r="P221" s="247">
        <f t="shared" si="68"/>
        <v>0</v>
      </c>
      <c r="Q221" s="253"/>
      <c r="R221" s="253"/>
      <c r="S221" s="253"/>
      <c r="T221" s="253"/>
      <c r="U221" s="245">
        <f t="shared" si="70"/>
        <v>0</v>
      </c>
      <c r="V221" s="245">
        <f t="shared" si="71"/>
        <v>0</v>
      </c>
    </row>
    <row r="222" spans="1:22" hidden="1">
      <c r="A222" s="246" t="str">
        <f>IF($A$38="","",$A$38)</f>
        <v/>
      </c>
      <c r="B222" s="243"/>
      <c r="C222" s="243"/>
      <c r="D222" s="243"/>
      <c r="E222" s="243"/>
      <c r="F222" s="243"/>
      <c r="G222" s="244">
        <f t="shared" si="69"/>
        <v>0</v>
      </c>
      <c r="H222" s="243"/>
      <c r="I222" s="243"/>
      <c r="J222" s="243"/>
      <c r="K222" s="243"/>
      <c r="L222" s="243"/>
      <c r="M222" s="243"/>
      <c r="N222" s="243"/>
      <c r="O222" s="243"/>
      <c r="P222" s="247">
        <f t="shared" si="68"/>
        <v>0</v>
      </c>
      <c r="Q222" s="253"/>
      <c r="R222" s="253"/>
      <c r="S222" s="253"/>
      <c r="T222" s="253"/>
      <c r="U222" s="245">
        <f t="shared" si="70"/>
        <v>0</v>
      </c>
      <c r="V222" s="245">
        <f t="shared" si="71"/>
        <v>0</v>
      </c>
    </row>
    <row r="223" spans="1:22" hidden="1">
      <c r="A223" s="237" t="s">
        <v>522</v>
      </c>
      <c r="B223" s="245">
        <f t="shared" ref="B223:I223" si="72">+SUM(B211:B222)</f>
        <v>0</v>
      </c>
      <c r="C223" s="245">
        <f t="shared" si="72"/>
        <v>0</v>
      </c>
      <c r="D223" s="245">
        <f t="shared" si="72"/>
        <v>0</v>
      </c>
      <c r="E223" s="245">
        <f t="shared" si="72"/>
        <v>0</v>
      </c>
      <c r="F223" s="245">
        <f t="shared" si="72"/>
        <v>0</v>
      </c>
      <c r="G223" s="245">
        <f t="shared" si="72"/>
        <v>0</v>
      </c>
      <c r="H223" s="245">
        <f t="shared" si="72"/>
        <v>0</v>
      </c>
      <c r="I223" s="245">
        <f t="shared" si="72"/>
        <v>0</v>
      </c>
      <c r="J223" s="245">
        <f t="shared" ref="J223:O223" si="73">+SUM(J211:J222)</f>
        <v>0</v>
      </c>
      <c r="K223" s="245">
        <f t="shared" si="73"/>
        <v>0</v>
      </c>
      <c r="L223" s="245">
        <f t="shared" si="73"/>
        <v>0</v>
      </c>
      <c r="M223" s="245">
        <f t="shared" si="73"/>
        <v>0</v>
      </c>
      <c r="N223" s="245">
        <f t="shared" si="73"/>
        <v>0</v>
      </c>
      <c r="O223" s="245">
        <f t="shared" si="73"/>
        <v>0</v>
      </c>
      <c r="P223" s="245">
        <f t="shared" ref="P223:V223" si="74">+SUM(P211:P222)</f>
        <v>0</v>
      </c>
      <c r="Q223" s="245">
        <f t="shared" si="74"/>
        <v>0</v>
      </c>
      <c r="R223" s="245">
        <f t="shared" si="74"/>
        <v>0</v>
      </c>
      <c r="S223" s="245">
        <f t="shared" si="74"/>
        <v>0</v>
      </c>
      <c r="T223" s="245">
        <f t="shared" si="74"/>
        <v>0</v>
      </c>
      <c r="U223" s="245">
        <f t="shared" si="74"/>
        <v>0</v>
      </c>
      <c r="V223" s="245">
        <f t="shared" si="74"/>
        <v>0</v>
      </c>
    </row>
    <row r="224" spans="1:22" hidden="1">
      <c r="A224" s="237" t="s">
        <v>523</v>
      </c>
      <c r="B224" s="245">
        <f>IFERROR(B223/(COUNTA(A211:A222)-COUNTIF(A211:A222,"")),0)</f>
        <v>0</v>
      </c>
      <c r="C224" s="245">
        <f>IFERROR(C223/(COUNTA(A211:A222)-COUNTIF(A211:A222,"")),0)</f>
        <v>0</v>
      </c>
      <c r="D224" s="245">
        <f>IFERROR(D223/(COUNTA(A211:A222)-COUNTIF(A211:A222,"")),0)</f>
        <v>0</v>
      </c>
      <c r="E224" s="245">
        <f>IFERROR(E223/(COUNTA(A211:A222)-COUNTIF(A211:A222,"")),0)</f>
        <v>0</v>
      </c>
      <c r="F224" s="245">
        <f>IFERROR(F223/(COUNTA(A211:A222)-COUNTIF(A211:A222,"")),0)</f>
        <v>0</v>
      </c>
      <c r="G224" s="245">
        <f>IFERROR(G223/(COUNTA(A211:A222)-COUNTIF(A211:A222,"")),0)</f>
        <v>0</v>
      </c>
      <c r="H224" s="245">
        <f>IFERROR(H223/(COUNTA(A211:A222)-COUNTIF(A211:A222,"")),0)</f>
        <v>0</v>
      </c>
      <c r="I224" s="245">
        <f>IFERROR(I223/(COUNTA(A211:A222)-COUNTIF(A211:A222,"")),0)</f>
        <v>0</v>
      </c>
      <c r="J224" s="245">
        <f>IFERROR(J223/(COUNTA(A211:A222)-COUNTIF(A211:A222,"")),0)</f>
        <v>0</v>
      </c>
      <c r="K224" s="245">
        <f>IFERROR(K223/(COUNTA(A211:A222)-COUNTIF(A211:A222,"")),0)</f>
        <v>0</v>
      </c>
      <c r="L224" s="245">
        <f>IFERROR(L223/(COUNTA(A211:A222)-COUNTIF(A211:A222,"")),0)</f>
        <v>0</v>
      </c>
      <c r="M224" s="245">
        <f>IFERROR(M223/(COUNTA(A211:A222)-COUNTIF(A211:A222,"")),0)</f>
        <v>0</v>
      </c>
      <c r="N224" s="245">
        <f>IFERROR(N223/(COUNTA(A211:A222)-COUNTIF(A211:A222,"")),0)</f>
        <v>0</v>
      </c>
      <c r="O224" s="245">
        <f>IFERROR(O223/(COUNTA(A211:A222)-COUNTIF(A211:A222,"")),0)</f>
        <v>0</v>
      </c>
      <c r="P224" s="245">
        <f>IFERROR(P223/(COUNTA(A211:A222)-COUNTIF(A211:A222,"")),0)</f>
        <v>0</v>
      </c>
      <c r="Q224" s="250"/>
      <c r="R224" s="250"/>
      <c r="S224" s="238">
        <f>IFERROR(R223/S223*100,0)</f>
        <v>0</v>
      </c>
      <c r="T224" s="238">
        <f>IFERROR(Q223/T223*100,0)</f>
        <v>0</v>
      </c>
      <c r="U224" s="245">
        <f>IFERROR(U223/COUNTA(A211:A222),0)</f>
        <v>0</v>
      </c>
      <c r="V224" s="245">
        <f>IFERROR(V223/COUNTA(A211:A222),0)</f>
        <v>0</v>
      </c>
    </row>
    <row r="225" spans="1:22" ht="38.25" hidden="1">
      <c r="A225" s="237" t="s">
        <v>524</v>
      </c>
      <c r="B225" s="245">
        <f>O208+B224</f>
        <v>0</v>
      </c>
      <c r="C225" s="245">
        <f>O208+C224</f>
        <v>0</v>
      </c>
      <c r="D225" s="245">
        <f>O208+D224</f>
        <v>0</v>
      </c>
      <c r="E225" s="245"/>
      <c r="F225" s="245"/>
      <c r="G225" s="245">
        <f>O208+G224</f>
        <v>0</v>
      </c>
      <c r="H225" s="245"/>
      <c r="I225" s="245"/>
      <c r="J225" s="245"/>
      <c r="K225" s="245"/>
      <c r="L225" s="245"/>
      <c r="M225" s="245"/>
      <c r="N225" s="245"/>
      <c r="O225" s="245"/>
      <c r="P225" s="245"/>
      <c r="Q225" s="250"/>
      <c r="R225" s="250"/>
      <c r="S225" s="251" t="s">
        <v>525</v>
      </c>
      <c r="T225" s="251" t="s">
        <v>526</v>
      </c>
      <c r="U225" s="251"/>
      <c r="V225" s="251"/>
    </row>
    <row r="229" spans="1:22" ht="12.75" hidden="1" customHeight="1">
      <c r="A229" s="413" t="s">
        <v>502</v>
      </c>
      <c r="B229" s="413"/>
      <c r="C229" s="418"/>
      <c r="D229" s="419"/>
      <c r="E229" s="419"/>
      <c r="F229" s="419"/>
      <c r="G229" s="419"/>
      <c r="H229" s="419"/>
      <c r="I229" s="419"/>
      <c r="J229" s="419"/>
      <c r="K229" s="419"/>
      <c r="L229" s="419"/>
      <c r="M229" s="419"/>
      <c r="N229" s="419"/>
      <c r="O229" s="419"/>
      <c r="P229" s="419"/>
      <c r="Q229" s="419"/>
      <c r="R229" s="419"/>
      <c r="S229" s="419"/>
      <c r="T229" s="420"/>
      <c r="U229" s="239"/>
      <c r="V229" s="239"/>
    </row>
    <row r="230" spans="1:22" ht="12.75" hidden="1" customHeight="1">
      <c r="A230" s="413" t="s">
        <v>527</v>
      </c>
      <c r="B230" s="413"/>
      <c r="C230" s="421"/>
      <c r="D230" s="421"/>
      <c r="E230" s="421"/>
      <c r="F230" s="421"/>
      <c r="G230" s="421"/>
      <c r="H230" s="422" t="s">
        <v>528</v>
      </c>
      <c r="I230" s="422"/>
      <c r="J230" s="421"/>
      <c r="K230" s="421"/>
      <c r="L230" s="421"/>
      <c r="M230" s="421"/>
      <c r="N230" s="421"/>
      <c r="O230" s="421"/>
      <c r="P230" s="421"/>
      <c r="Q230" s="421"/>
      <c r="R230" s="421"/>
      <c r="S230" s="421"/>
      <c r="T230" s="421"/>
      <c r="U230" s="239"/>
      <c r="V230" s="239"/>
    </row>
    <row r="231" spans="1:22" ht="25.5" hidden="1" customHeight="1">
      <c r="A231" s="413" t="s">
        <v>529</v>
      </c>
      <c r="B231" s="413"/>
      <c r="C231" s="418"/>
      <c r="D231" s="420"/>
      <c r="E231" s="241" t="s">
        <v>530</v>
      </c>
      <c r="F231" s="423"/>
      <c r="G231" s="424"/>
      <c r="H231" s="424"/>
      <c r="I231" s="425"/>
      <c r="J231" s="241" t="s">
        <v>531</v>
      </c>
      <c r="K231" s="423"/>
      <c r="L231" s="424"/>
      <c r="M231" s="425"/>
      <c r="N231" s="240" t="s">
        <v>532</v>
      </c>
      <c r="O231" s="426"/>
      <c r="P231" s="427"/>
      <c r="Q231" s="427"/>
      <c r="R231" s="427"/>
      <c r="S231" s="427"/>
      <c r="T231" s="428"/>
      <c r="U231" s="252"/>
      <c r="V231" s="252"/>
    </row>
    <row r="232" spans="1:22" ht="38.25" hidden="1" customHeight="1">
      <c r="A232" s="231" t="s">
        <v>163</v>
      </c>
      <c r="B232" s="415" t="s">
        <v>533</v>
      </c>
      <c r="C232" s="415"/>
      <c r="D232" s="415"/>
      <c r="E232" s="232" t="s">
        <v>534</v>
      </c>
      <c r="F232" s="232" t="s">
        <v>535</v>
      </c>
      <c r="G232" s="231" t="s">
        <v>536</v>
      </c>
      <c r="H232" s="231" t="s">
        <v>537</v>
      </c>
      <c r="I232" s="231" t="s">
        <v>538</v>
      </c>
      <c r="J232" s="232" t="s">
        <v>539</v>
      </c>
      <c r="K232" s="232" t="s">
        <v>540</v>
      </c>
      <c r="L232" s="416" t="s">
        <v>541</v>
      </c>
      <c r="M232" s="417"/>
      <c r="N232" s="416" t="s">
        <v>542</v>
      </c>
      <c r="O232" s="417"/>
      <c r="P232" s="231" t="s">
        <v>543</v>
      </c>
      <c r="Q232" s="231" t="s">
        <v>514</v>
      </c>
      <c r="R232" s="231" t="s">
        <v>515</v>
      </c>
      <c r="S232" s="231" t="s">
        <v>516</v>
      </c>
      <c r="T232" s="231" t="s">
        <v>517</v>
      </c>
      <c r="U232" s="231" t="s">
        <v>544</v>
      </c>
      <c r="V232" s="231" t="s">
        <v>545</v>
      </c>
    </row>
    <row r="233" spans="1:22" hidden="1">
      <c r="A233" s="231"/>
      <c r="B233" s="231">
        <v>10</v>
      </c>
      <c r="C233" s="231">
        <v>20</v>
      </c>
      <c r="D233" s="231">
        <v>30</v>
      </c>
      <c r="E233" s="231"/>
      <c r="F233" s="231"/>
      <c r="G233" s="231"/>
      <c r="H233" s="231"/>
      <c r="I233" s="231"/>
      <c r="J233" s="231"/>
      <c r="K233" s="231"/>
      <c r="L233" s="231" t="s">
        <v>520</v>
      </c>
      <c r="M233" s="231" t="s">
        <v>521</v>
      </c>
      <c r="N233" s="231" t="s">
        <v>520</v>
      </c>
      <c r="O233" s="231" t="s">
        <v>521</v>
      </c>
      <c r="P233" s="231"/>
      <c r="Q233" s="231"/>
      <c r="R233" s="231"/>
      <c r="S233" s="231"/>
      <c r="T233" s="231"/>
      <c r="U233" s="231"/>
      <c r="V233" s="231"/>
    </row>
    <row r="234" spans="1:22" hidden="1">
      <c r="A234" s="246">
        <f>IF($A$27="","",$A$27)</f>
        <v>45139</v>
      </c>
      <c r="B234" s="243"/>
      <c r="C234" s="243"/>
      <c r="D234" s="243"/>
      <c r="E234" s="243"/>
      <c r="F234" s="243"/>
      <c r="G234" s="244">
        <f>IFERROR(AVERAGE(B234:D234),0)</f>
        <v>0</v>
      </c>
      <c r="H234" s="243"/>
      <c r="I234" s="243"/>
      <c r="J234" s="243"/>
      <c r="K234" s="243"/>
      <c r="L234" s="243"/>
      <c r="M234" s="243"/>
      <c r="N234" s="243"/>
      <c r="O234" s="243"/>
      <c r="P234" s="247">
        <f t="shared" ref="P234:P245" si="75">+H234-I234-J234-M234+L234</f>
        <v>0</v>
      </c>
      <c r="Q234" s="253"/>
      <c r="R234" s="253"/>
      <c r="S234" s="253"/>
      <c r="T234" s="253"/>
      <c r="U234" s="245">
        <f>H234-J234-M234</f>
        <v>0</v>
      </c>
      <c r="V234" s="245">
        <f>I234-L234</f>
        <v>0</v>
      </c>
    </row>
    <row r="235" spans="1:22" hidden="1">
      <c r="A235" s="246">
        <f>IF($A$28="","",$A$28)</f>
        <v>45170</v>
      </c>
      <c r="B235" s="243"/>
      <c r="C235" s="243"/>
      <c r="D235" s="243"/>
      <c r="E235" s="243"/>
      <c r="F235" s="243"/>
      <c r="G235" s="244">
        <f t="shared" ref="G235:G245" si="76">IFERROR(AVERAGE(B235:D235),0)</f>
        <v>0</v>
      </c>
      <c r="H235" s="243"/>
      <c r="I235" s="243"/>
      <c r="J235" s="243"/>
      <c r="K235" s="243"/>
      <c r="L235" s="243"/>
      <c r="M235" s="243"/>
      <c r="N235" s="243"/>
      <c r="O235" s="243"/>
      <c r="P235" s="247">
        <f t="shared" si="75"/>
        <v>0</v>
      </c>
      <c r="Q235" s="253"/>
      <c r="R235" s="253"/>
      <c r="S235" s="253"/>
      <c r="T235" s="253"/>
      <c r="U235" s="245">
        <f t="shared" ref="U235:U245" si="77">H235-J235-M235</f>
        <v>0</v>
      </c>
      <c r="V235" s="245">
        <f t="shared" ref="V235:V245" si="78">I235-L235</f>
        <v>0</v>
      </c>
    </row>
    <row r="236" spans="1:22" hidden="1">
      <c r="A236" s="246">
        <f>IF($A$29="","",$A$29)</f>
        <v>45200</v>
      </c>
      <c r="B236" s="243"/>
      <c r="C236" s="243"/>
      <c r="D236" s="243"/>
      <c r="E236" s="243"/>
      <c r="F236" s="243"/>
      <c r="G236" s="244">
        <f t="shared" si="76"/>
        <v>0</v>
      </c>
      <c r="H236" s="243"/>
      <c r="I236" s="243"/>
      <c r="J236" s="243"/>
      <c r="K236" s="243"/>
      <c r="L236" s="243"/>
      <c r="M236" s="243"/>
      <c r="N236" s="243"/>
      <c r="O236" s="243"/>
      <c r="P236" s="247">
        <f t="shared" si="75"/>
        <v>0</v>
      </c>
      <c r="Q236" s="253"/>
      <c r="R236" s="253"/>
      <c r="S236" s="253"/>
      <c r="T236" s="253"/>
      <c r="U236" s="245">
        <f t="shared" si="77"/>
        <v>0</v>
      </c>
      <c r="V236" s="245">
        <f t="shared" si="78"/>
        <v>0</v>
      </c>
    </row>
    <row r="237" spans="1:22" hidden="1">
      <c r="A237" s="246">
        <f>IF($A$30="","",$A$30)</f>
        <v>45231</v>
      </c>
      <c r="B237" s="243"/>
      <c r="C237" s="243"/>
      <c r="D237" s="243"/>
      <c r="E237" s="243"/>
      <c r="F237" s="243"/>
      <c r="G237" s="244">
        <f t="shared" si="76"/>
        <v>0</v>
      </c>
      <c r="H237" s="243"/>
      <c r="I237" s="243"/>
      <c r="J237" s="243"/>
      <c r="K237" s="243"/>
      <c r="L237" s="243"/>
      <c r="M237" s="243"/>
      <c r="N237" s="243"/>
      <c r="O237" s="243"/>
      <c r="P237" s="247">
        <f t="shared" si="75"/>
        <v>0</v>
      </c>
      <c r="Q237" s="253"/>
      <c r="R237" s="253"/>
      <c r="S237" s="253"/>
      <c r="T237" s="253"/>
      <c r="U237" s="245">
        <f t="shared" si="77"/>
        <v>0</v>
      </c>
      <c r="V237" s="245">
        <f t="shared" si="78"/>
        <v>0</v>
      </c>
    </row>
    <row r="238" spans="1:22" hidden="1">
      <c r="A238" s="246">
        <f>IF($A$31="","",$A$31)</f>
        <v>45261</v>
      </c>
      <c r="B238" s="243"/>
      <c r="C238" s="243"/>
      <c r="D238" s="243"/>
      <c r="E238" s="243"/>
      <c r="F238" s="243"/>
      <c r="G238" s="244">
        <f t="shared" si="76"/>
        <v>0</v>
      </c>
      <c r="H238" s="243"/>
      <c r="I238" s="243"/>
      <c r="J238" s="243"/>
      <c r="K238" s="243"/>
      <c r="L238" s="243"/>
      <c r="M238" s="243"/>
      <c r="N238" s="243"/>
      <c r="O238" s="243"/>
      <c r="P238" s="247">
        <f t="shared" si="75"/>
        <v>0</v>
      </c>
      <c r="Q238" s="253"/>
      <c r="R238" s="253"/>
      <c r="S238" s="253"/>
      <c r="T238" s="253"/>
      <c r="U238" s="245">
        <f t="shared" si="77"/>
        <v>0</v>
      </c>
      <c r="V238" s="245">
        <f t="shared" si="78"/>
        <v>0</v>
      </c>
    </row>
    <row r="239" spans="1:22" hidden="1">
      <c r="A239" s="246">
        <f>IF($A$32="","",$A$32)</f>
        <v>45292</v>
      </c>
      <c r="B239" s="243"/>
      <c r="C239" s="243"/>
      <c r="D239" s="243"/>
      <c r="E239" s="243"/>
      <c r="F239" s="243"/>
      <c r="G239" s="244">
        <f t="shared" si="76"/>
        <v>0</v>
      </c>
      <c r="H239" s="243"/>
      <c r="I239" s="243"/>
      <c r="J239" s="243"/>
      <c r="K239" s="243"/>
      <c r="L239" s="243"/>
      <c r="M239" s="243"/>
      <c r="N239" s="243"/>
      <c r="O239" s="243"/>
      <c r="P239" s="247">
        <f t="shared" si="75"/>
        <v>0</v>
      </c>
      <c r="Q239" s="253"/>
      <c r="R239" s="253"/>
      <c r="S239" s="253"/>
      <c r="T239" s="253"/>
      <c r="U239" s="245">
        <f t="shared" si="77"/>
        <v>0</v>
      </c>
      <c r="V239" s="245">
        <f t="shared" si="78"/>
        <v>0</v>
      </c>
    </row>
    <row r="240" spans="1:22" hidden="1">
      <c r="A240" s="246" t="str">
        <f>IF($A$33="","",$A$33)</f>
        <v/>
      </c>
      <c r="B240" s="243"/>
      <c r="C240" s="243"/>
      <c r="D240" s="243"/>
      <c r="E240" s="243"/>
      <c r="F240" s="243"/>
      <c r="G240" s="244">
        <f t="shared" si="76"/>
        <v>0</v>
      </c>
      <c r="H240" s="243"/>
      <c r="I240" s="243"/>
      <c r="J240" s="243"/>
      <c r="K240" s="243"/>
      <c r="L240" s="243"/>
      <c r="M240" s="243"/>
      <c r="N240" s="243"/>
      <c r="O240" s="243"/>
      <c r="P240" s="247">
        <f t="shared" si="75"/>
        <v>0</v>
      </c>
      <c r="Q240" s="253"/>
      <c r="R240" s="253"/>
      <c r="S240" s="253"/>
      <c r="T240" s="253"/>
      <c r="U240" s="245">
        <f t="shared" si="77"/>
        <v>0</v>
      </c>
      <c r="V240" s="245">
        <f t="shared" si="78"/>
        <v>0</v>
      </c>
    </row>
    <row r="241" spans="1:22" hidden="1">
      <c r="A241" s="246" t="str">
        <f>IF($A$34="","",$A$34)</f>
        <v/>
      </c>
      <c r="B241" s="243"/>
      <c r="C241" s="243"/>
      <c r="D241" s="243"/>
      <c r="E241" s="243"/>
      <c r="F241" s="243"/>
      <c r="G241" s="244">
        <f t="shared" si="76"/>
        <v>0</v>
      </c>
      <c r="H241" s="243"/>
      <c r="I241" s="243"/>
      <c r="J241" s="243"/>
      <c r="K241" s="243"/>
      <c r="L241" s="243"/>
      <c r="M241" s="243"/>
      <c r="N241" s="243"/>
      <c r="O241" s="243"/>
      <c r="P241" s="247">
        <f t="shared" si="75"/>
        <v>0</v>
      </c>
      <c r="Q241" s="253"/>
      <c r="R241" s="253"/>
      <c r="S241" s="253"/>
      <c r="T241" s="253"/>
      <c r="U241" s="245">
        <f t="shared" si="77"/>
        <v>0</v>
      </c>
      <c r="V241" s="245">
        <f t="shared" si="78"/>
        <v>0</v>
      </c>
    </row>
    <row r="242" spans="1:22" hidden="1">
      <c r="A242" s="246" t="str">
        <f>IF($A$35="","",$A$35)</f>
        <v/>
      </c>
      <c r="B242" s="243"/>
      <c r="C242" s="243"/>
      <c r="D242" s="243"/>
      <c r="E242" s="243"/>
      <c r="F242" s="243"/>
      <c r="G242" s="244">
        <f t="shared" si="76"/>
        <v>0</v>
      </c>
      <c r="H242" s="243"/>
      <c r="I242" s="243"/>
      <c r="J242" s="243"/>
      <c r="K242" s="243"/>
      <c r="L242" s="243"/>
      <c r="M242" s="243"/>
      <c r="N242" s="243"/>
      <c r="O242" s="243"/>
      <c r="P242" s="247">
        <f t="shared" si="75"/>
        <v>0</v>
      </c>
      <c r="Q242" s="253"/>
      <c r="R242" s="253"/>
      <c r="S242" s="253"/>
      <c r="T242" s="253"/>
      <c r="U242" s="245">
        <f t="shared" si="77"/>
        <v>0</v>
      </c>
      <c r="V242" s="245">
        <f t="shared" si="78"/>
        <v>0</v>
      </c>
    </row>
    <row r="243" spans="1:22" hidden="1">
      <c r="A243" s="246" t="str">
        <f>IF($A$36="","",$A$36)</f>
        <v/>
      </c>
      <c r="B243" s="243"/>
      <c r="C243" s="243"/>
      <c r="D243" s="243"/>
      <c r="E243" s="243"/>
      <c r="F243" s="243"/>
      <c r="G243" s="244">
        <f t="shared" si="76"/>
        <v>0</v>
      </c>
      <c r="H243" s="243"/>
      <c r="I243" s="243"/>
      <c r="J243" s="243"/>
      <c r="K243" s="243"/>
      <c r="L243" s="243"/>
      <c r="M243" s="243"/>
      <c r="N243" s="243"/>
      <c r="O243" s="243"/>
      <c r="P243" s="247">
        <f t="shared" si="75"/>
        <v>0</v>
      </c>
      <c r="Q243" s="253"/>
      <c r="R243" s="253"/>
      <c r="S243" s="253"/>
      <c r="T243" s="253"/>
      <c r="U243" s="245">
        <f t="shared" si="77"/>
        <v>0</v>
      </c>
      <c r="V243" s="245">
        <f t="shared" si="78"/>
        <v>0</v>
      </c>
    </row>
    <row r="244" spans="1:22" hidden="1">
      <c r="A244" s="246" t="str">
        <f>IF($A$37="","",$A$37)</f>
        <v/>
      </c>
      <c r="B244" s="243"/>
      <c r="C244" s="243"/>
      <c r="D244" s="243"/>
      <c r="E244" s="243"/>
      <c r="F244" s="243"/>
      <c r="G244" s="244">
        <f t="shared" si="76"/>
        <v>0</v>
      </c>
      <c r="H244" s="243"/>
      <c r="I244" s="243"/>
      <c r="J244" s="243"/>
      <c r="K244" s="243"/>
      <c r="L244" s="243"/>
      <c r="M244" s="243"/>
      <c r="N244" s="243"/>
      <c r="O244" s="243"/>
      <c r="P244" s="247">
        <f t="shared" si="75"/>
        <v>0</v>
      </c>
      <c r="Q244" s="253"/>
      <c r="R244" s="253"/>
      <c r="S244" s="253"/>
      <c r="T244" s="253"/>
      <c r="U244" s="245">
        <f t="shared" si="77"/>
        <v>0</v>
      </c>
      <c r="V244" s="245">
        <f t="shared" si="78"/>
        <v>0</v>
      </c>
    </row>
    <row r="245" spans="1:22" hidden="1">
      <c r="A245" s="246" t="str">
        <f>IF($A$38="","",$A$38)</f>
        <v/>
      </c>
      <c r="B245" s="243"/>
      <c r="C245" s="243"/>
      <c r="D245" s="243"/>
      <c r="E245" s="243"/>
      <c r="F245" s="243"/>
      <c r="G245" s="244">
        <f t="shared" si="76"/>
        <v>0</v>
      </c>
      <c r="H245" s="243"/>
      <c r="I245" s="243"/>
      <c r="J245" s="243"/>
      <c r="K245" s="243"/>
      <c r="L245" s="243"/>
      <c r="M245" s="243"/>
      <c r="N245" s="243"/>
      <c r="O245" s="243"/>
      <c r="P245" s="247">
        <f t="shared" si="75"/>
        <v>0</v>
      </c>
      <c r="Q245" s="253"/>
      <c r="R245" s="253"/>
      <c r="S245" s="253"/>
      <c r="T245" s="253"/>
      <c r="U245" s="245">
        <f t="shared" si="77"/>
        <v>0</v>
      </c>
      <c r="V245" s="245">
        <f t="shared" si="78"/>
        <v>0</v>
      </c>
    </row>
    <row r="246" spans="1:22" hidden="1">
      <c r="A246" s="237" t="s">
        <v>522</v>
      </c>
      <c r="B246" s="245">
        <f t="shared" ref="B246:I246" si="79">+SUM(B234:B245)</f>
        <v>0</v>
      </c>
      <c r="C246" s="245">
        <f t="shared" si="79"/>
        <v>0</v>
      </c>
      <c r="D246" s="245">
        <f t="shared" si="79"/>
        <v>0</v>
      </c>
      <c r="E246" s="245">
        <f t="shared" si="79"/>
        <v>0</v>
      </c>
      <c r="F246" s="245">
        <f t="shared" si="79"/>
        <v>0</v>
      </c>
      <c r="G246" s="245">
        <f t="shared" si="79"/>
        <v>0</v>
      </c>
      <c r="H246" s="245">
        <f t="shared" si="79"/>
        <v>0</v>
      </c>
      <c r="I246" s="245">
        <f t="shared" si="79"/>
        <v>0</v>
      </c>
      <c r="J246" s="245">
        <f t="shared" ref="J246:O246" si="80">+SUM(J234:J245)</f>
        <v>0</v>
      </c>
      <c r="K246" s="245">
        <f t="shared" si="80"/>
        <v>0</v>
      </c>
      <c r="L246" s="245">
        <f t="shared" si="80"/>
        <v>0</v>
      </c>
      <c r="M246" s="245">
        <f t="shared" si="80"/>
        <v>0</v>
      </c>
      <c r="N246" s="245">
        <f t="shared" si="80"/>
        <v>0</v>
      </c>
      <c r="O246" s="245">
        <f t="shared" si="80"/>
        <v>0</v>
      </c>
      <c r="P246" s="245">
        <f t="shared" ref="P246:V246" si="81">+SUM(P234:P245)</f>
        <v>0</v>
      </c>
      <c r="Q246" s="245">
        <f t="shared" si="81"/>
        <v>0</v>
      </c>
      <c r="R246" s="245">
        <f t="shared" si="81"/>
        <v>0</v>
      </c>
      <c r="S246" s="245">
        <f t="shared" si="81"/>
        <v>0</v>
      </c>
      <c r="T246" s="245">
        <f t="shared" si="81"/>
        <v>0</v>
      </c>
      <c r="U246" s="245">
        <f t="shared" si="81"/>
        <v>0</v>
      </c>
      <c r="V246" s="245">
        <f t="shared" si="81"/>
        <v>0</v>
      </c>
    </row>
    <row r="247" spans="1:22" hidden="1">
      <c r="A247" s="237" t="s">
        <v>523</v>
      </c>
      <c r="B247" s="245">
        <f>IFERROR(B246/(COUNTA(A234:A245)-COUNTIF(A234:A245,"")),0)</f>
        <v>0</v>
      </c>
      <c r="C247" s="245">
        <f>IFERROR(C246/(COUNTA(A234:A245)-COUNTIF(A234:A245,"")),0)</f>
        <v>0</v>
      </c>
      <c r="D247" s="245">
        <f>IFERROR(D246/(COUNTA(A234:A245)-COUNTIF(A234:A245,"")),0)</f>
        <v>0</v>
      </c>
      <c r="E247" s="245">
        <f>IFERROR(E246/(COUNTA(A234:A245)-COUNTIF(A234:A245,"")),0)</f>
        <v>0</v>
      </c>
      <c r="F247" s="245">
        <f>IFERROR(F246/(COUNTA(A234:A245)-COUNTIF(A234:A245,"")),0)</f>
        <v>0</v>
      </c>
      <c r="G247" s="245">
        <f>IFERROR(G246/(COUNTA(A234:A245)-COUNTIF(A234:A245,"")),0)</f>
        <v>0</v>
      </c>
      <c r="H247" s="245">
        <f>IFERROR(H246/(COUNTA(A234:A245)-COUNTIF(A234:A245,"")),0)</f>
        <v>0</v>
      </c>
      <c r="I247" s="245">
        <f>IFERROR(I246/(COUNTA(A234:A245)-COUNTIF(A234:A245,"")),0)</f>
        <v>0</v>
      </c>
      <c r="J247" s="245">
        <f>IFERROR(J246/(COUNTA(A234:A245)-COUNTIF(A234:A245,"")),0)</f>
        <v>0</v>
      </c>
      <c r="K247" s="245">
        <f>IFERROR(K246/(COUNTA(A234:A245)-COUNTIF(A234:A245,"")),0)</f>
        <v>0</v>
      </c>
      <c r="L247" s="245">
        <f>IFERROR(L246/(COUNTA(A234:A245)-COUNTIF(A234:A245,"")),0)</f>
        <v>0</v>
      </c>
      <c r="M247" s="245">
        <f>IFERROR(M246/(COUNTA(A234:A245)-COUNTIF(A234:A245,"")),0)</f>
        <v>0</v>
      </c>
      <c r="N247" s="245">
        <f>IFERROR(N246/(COUNTA(A234:A245)-COUNTIF(A234:A245,"")),0)</f>
        <v>0</v>
      </c>
      <c r="O247" s="245">
        <f>IFERROR(O246/(COUNTA(A234:A245)-COUNTIF(A234:A245,"")),0)</f>
        <v>0</v>
      </c>
      <c r="P247" s="245">
        <f>IFERROR(P246/(COUNTA(A234:A245)-COUNTIF(A234:A245,"")),0)</f>
        <v>0</v>
      </c>
      <c r="Q247" s="250"/>
      <c r="R247" s="250"/>
      <c r="S247" s="238">
        <f>IFERROR(R246/S246*100,0)</f>
        <v>0</v>
      </c>
      <c r="T247" s="238">
        <f>IFERROR(Q246/T246*100,0)</f>
        <v>0</v>
      </c>
      <c r="U247" s="245">
        <f>IFERROR(U246/COUNTA(A234:A245),0)</f>
        <v>0</v>
      </c>
      <c r="V247" s="245">
        <f>IFERROR(V246/COUNTA(A234:A245),0)</f>
        <v>0</v>
      </c>
    </row>
    <row r="248" spans="1:22" ht="38.25" hidden="1">
      <c r="A248" s="237" t="s">
        <v>524</v>
      </c>
      <c r="B248" s="245">
        <f>O231+B247</f>
        <v>0</v>
      </c>
      <c r="C248" s="245">
        <f>O231+C247</f>
        <v>0</v>
      </c>
      <c r="D248" s="245">
        <f>O231+D247</f>
        <v>0</v>
      </c>
      <c r="E248" s="245"/>
      <c r="F248" s="245"/>
      <c r="G248" s="245">
        <f>O231+G247</f>
        <v>0</v>
      </c>
      <c r="H248" s="245"/>
      <c r="I248" s="245"/>
      <c r="J248" s="245"/>
      <c r="K248" s="245"/>
      <c r="L248" s="245"/>
      <c r="M248" s="245"/>
      <c r="N248" s="245"/>
      <c r="O248" s="245"/>
      <c r="P248" s="245"/>
      <c r="Q248" s="250"/>
      <c r="R248" s="250"/>
      <c r="S248" s="251" t="s">
        <v>525</v>
      </c>
      <c r="T248" s="251" t="s">
        <v>526</v>
      </c>
      <c r="U248" s="251"/>
      <c r="V248" s="251"/>
    </row>
    <row r="252" spans="1:22" ht="12.75" hidden="1" customHeight="1">
      <c r="A252" s="413" t="s">
        <v>502</v>
      </c>
      <c r="B252" s="413"/>
      <c r="C252" s="418"/>
      <c r="D252" s="419"/>
      <c r="E252" s="419"/>
      <c r="F252" s="419"/>
      <c r="G252" s="419"/>
      <c r="H252" s="419"/>
      <c r="I252" s="419"/>
      <c r="J252" s="419"/>
      <c r="K252" s="419"/>
      <c r="L252" s="419"/>
      <c r="M252" s="419"/>
      <c r="N252" s="419"/>
      <c r="O252" s="419"/>
      <c r="P252" s="419"/>
      <c r="Q252" s="419"/>
      <c r="R252" s="419"/>
      <c r="S252" s="419"/>
      <c r="T252" s="420"/>
      <c r="U252" s="239"/>
      <c r="V252" s="239"/>
    </row>
    <row r="253" spans="1:22" ht="12.75" hidden="1" customHeight="1">
      <c r="A253" s="413" t="s">
        <v>527</v>
      </c>
      <c r="B253" s="413"/>
      <c r="C253" s="421"/>
      <c r="D253" s="421"/>
      <c r="E253" s="421"/>
      <c r="F253" s="421"/>
      <c r="G253" s="421"/>
      <c r="H253" s="422" t="s">
        <v>528</v>
      </c>
      <c r="I253" s="422"/>
      <c r="J253" s="421"/>
      <c r="K253" s="421"/>
      <c r="L253" s="421"/>
      <c r="M253" s="421"/>
      <c r="N253" s="421"/>
      <c r="O253" s="421"/>
      <c r="P253" s="421"/>
      <c r="Q253" s="421"/>
      <c r="R253" s="421"/>
      <c r="S253" s="421"/>
      <c r="T253" s="421"/>
      <c r="U253" s="239"/>
      <c r="V253" s="239"/>
    </row>
    <row r="254" spans="1:22" ht="25.5" hidden="1" customHeight="1">
      <c r="A254" s="413" t="s">
        <v>529</v>
      </c>
      <c r="B254" s="413"/>
      <c r="C254" s="418"/>
      <c r="D254" s="420"/>
      <c r="E254" s="241" t="s">
        <v>530</v>
      </c>
      <c r="F254" s="423"/>
      <c r="G254" s="424"/>
      <c r="H254" s="424"/>
      <c r="I254" s="425"/>
      <c r="J254" s="241" t="s">
        <v>531</v>
      </c>
      <c r="K254" s="423"/>
      <c r="L254" s="424"/>
      <c r="M254" s="425"/>
      <c r="N254" s="240" t="s">
        <v>532</v>
      </c>
      <c r="O254" s="426"/>
      <c r="P254" s="427"/>
      <c r="Q254" s="427"/>
      <c r="R254" s="427"/>
      <c r="S254" s="427"/>
      <c r="T254" s="428"/>
      <c r="U254" s="252"/>
      <c r="V254" s="252"/>
    </row>
    <row r="255" spans="1:22" ht="38.25" hidden="1" customHeight="1">
      <c r="A255" s="231" t="s">
        <v>163</v>
      </c>
      <c r="B255" s="415" t="s">
        <v>533</v>
      </c>
      <c r="C255" s="415"/>
      <c r="D255" s="415"/>
      <c r="E255" s="232" t="s">
        <v>534</v>
      </c>
      <c r="F255" s="232" t="s">
        <v>535</v>
      </c>
      <c r="G255" s="231" t="s">
        <v>536</v>
      </c>
      <c r="H255" s="231" t="s">
        <v>537</v>
      </c>
      <c r="I255" s="231" t="s">
        <v>538</v>
      </c>
      <c r="J255" s="232" t="s">
        <v>539</v>
      </c>
      <c r="K255" s="232" t="s">
        <v>540</v>
      </c>
      <c r="L255" s="416" t="s">
        <v>541</v>
      </c>
      <c r="M255" s="417"/>
      <c r="N255" s="416" t="s">
        <v>542</v>
      </c>
      <c r="O255" s="417"/>
      <c r="P255" s="231" t="s">
        <v>543</v>
      </c>
      <c r="Q255" s="231" t="s">
        <v>514</v>
      </c>
      <c r="R255" s="231" t="s">
        <v>515</v>
      </c>
      <c r="S255" s="231" t="s">
        <v>516</v>
      </c>
      <c r="T255" s="231" t="s">
        <v>517</v>
      </c>
      <c r="U255" s="231" t="s">
        <v>544</v>
      </c>
      <c r="V255" s="231" t="s">
        <v>545</v>
      </c>
    </row>
    <row r="256" spans="1:22" hidden="1">
      <c r="A256" s="231"/>
      <c r="B256" s="231">
        <v>10</v>
      </c>
      <c r="C256" s="231">
        <v>20</v>
      </c>
      <c r="D256" s="231">
        <v>30</v>
      </c>
      <c r="E256" s="231"/>
      <c r="F256" s="231"/>
      <c r="G256" s="231"/>
      <c r="H256" s="231"/>
      <c r="I256" s="231"/>
      <c r="J256" s="231"/>
      <c r="K256" s="231"/>
      <c r="L256" s="231" t="s">
        <v>520</v>
      </c>
      <c r="M256" s="231" t="s">
        <v>521</v>
      </c>
      <c r="N256" s="231" t="s">
        <v>520</v>
      </c>
      <c r="O256" s="231" t="s">
        <v>521</v>
      </c>
      <c r="P256" s="231"/>
      <c r="Q256" s="231"/>
      <c r="R256" s="231"/>
      <c r="S256" s="231"/>
      <c r="T256" s="231"/>
      <c r="U256" s="231"/>
      <c r="V256" s="231"/>
    </row>
    <row r="257" spans="1:22" hidden="1">
      <c r="A257" s="246">
        <f>IF($A$27="","",$A$27)</f>
        <v>45139</v>
      </c>
      <c r="B257" s="243"/>
      <c r="C257" s="243"/>
      <c r="D257" s="243"/>
      <c r="E257" s="243"/>
      <c r="F257" s="243"/>
      <c r="G257" s="244">
        <f>IFERROR(AVERAGE(B257:D257),0)</f>
        <v>0</v>
      </c>
      <c r="H257" s="243"/>
      <c r="I257" s="243"/>
      <c r="J257" s="243"/>
      <c r="K257" s="243"/>
      <c r="L257" s="243"/>
      <c r="M257" s="243"/>
      <c r="N257" s="243"/>
      <c r="O257" s="243"/>
      <c r="P257" s="247">
        <f t="shared" ref="P257:P268" si="82">+H257-I257-J257-M257+L257</f>
        <v>0</v>
      </c>
      <c r="Q257" s="253"/>
      <c r="R257" s="253"/>
      <c r="S257" s="253"/>
      <c r="T257" s="253"/>
      <c r="U257" s="245">
        <f>H257-J257-M257</f>
        <v>0</v>
      </c>
      <c r="V257" s="245">
        <f>I257-L257</f>
        <v>0</v>
      </c>
    </row>
    <row r="258" spans="1:22" hidden="1">
      <c r="A258" s="246">
        <f>IF($A$28="","",$A$28)</f>
        <v>45170</v>
      </c>
      <c r="B258" s="243"/>
      <c r="C258" s="243"/>
      <c r="D258" s="243"/>
      <c r="E258" s="243"/>
      <c r="F258" s="243"/>
      <c r="G258" s="244">
        <f t="shared" ref="G258:G268" si="83">IFERROR(AVERAGE(B258:D258),0)</f>
        <v>0</v>
      </c>
      <c r="H258" s="243"/>
      <c r="I258" s="243"/>
      <c r="J258" s="243"/>
      <c r="K258" s="243"/>
      <c r="L258" s="243"/>
      <c r="M258" s="243"/>
      <c r="N258" s="243"/>
      <c r="O258" s="243"/>
      <c r="P258" s="247">
        <f t="shared" si="82"/>
        <v>0</v>
      </c>
      <c r="Q258" s="253"/>
      <c r="R258" s="253"/>
      <c r="S258" s="253"/>
      <c r="T258" s="253"/>
      <c r="U258" s="245">
        <f t="shared" ref="U258:U268" si="84">H258-J258-M258</f>
        <v>0</v>
      </c>
      <c r="V258" s="245">
        <f t="shared" ref="V258:V268" si="85">I258-L258</f>
        <v>0</v>
      </c>
    </row>
    <row r="259" spans="1:22" hidden="1">
      <c r="A259" s="246">
        <f>IF($A$29="","",$A$29)</f>
        <v>45200</v>
      </c>
      <c r="B259" s="243"/>
      <c r="C259" s="243"/>
      <c r="D259" s="243"/>
      <c r="E259" s="243"/>
      <c r="F259" s="243"/>
      <c r="G259" s="244">
        <f t="shared" si="83"/>
        <v>0</v>
      </c>
      <c r="H259" s="243"/>
      <c r="I259" s="243"/>
      <c r="J259" s="243"/>
      <c r="K259" s="243"/>
      <c r="L259" s="243"/>
      <c r="M259" s="243"/>
      <c r="N259" s="243"/>
      <c r="O259" s="243"/>
      <c r="P259" s="247">
        <f t="shared" si="82"/>
        <v>0</v>
      </c>
      <c r="Q259" s="253"/>
      <c r="R259" s="253"/>
      <c r="S259" s="253"/>
      <c r="T259" s="253"/>
      <c r="U259" s="245">
        <f t="shared" si="84"/>
        <v>0</v>
      </c>
      <c r="V259" s="245">
        <f t="shared" si="85"/>
        <v>0</v>
      </c>
    </row>
    <row r="260" spans="1:22" hidden="1">
      <c r="A260" s="246">
        <f>IF($A$30="","",$A$30)</f>
        <v>45231</v>
      </c>
      <c r="B260" s="243"/>
      <c r="C260" s="243"/>
      <c r="D260" s="243"/>
      <c r="E260" s="243"/>
      <c r="F260" s="243"/>
      <c r="G260" s="244">
        <f t="shared" si="83"/>
        <v>0</v>
      </c>
      <c r="H260" s="243"/>
      <c r="I260" s="243"/>
      <c r="J260" s="243"/>
      <c r="K260" s="243"/>
      <c r="L260" s="243"/>
      <c r="M260" s="243"/>
      <c r="N260" s="243"/>
      <c r="O260" s="243"/>
      <c r="P260" s="247">
        <f t="shared" si="82"/>
        <v>0</v>
      </c>
      <c r="Q260" s="253"/>
      <c r="R260" s="253"/>
      <c r="S260" s="253"/>
      <c r="T260" s="253"/>
      <c r="U260" s="245">
        <f t="shared" si="84"/>
        <v>0</v>
      </c>
      <c r="V260" s="245">
        <f t="shared" si="85"/>
        <v>0</v>
      </c>
    </row>
    <row r="261" spans="1:22" hidden="1">
      <c r="A261" s="246">
        <f>IF($A$31="","",$A$31)</f>
        <v>45261</v>
      </c>
      <c r="B261" s="243"/>
      <c r="C261" s="243"/>
      <c r="D261" s="243"/>
      <c r="E261" s="243"/>
      <c r="F261" s="243"/>
      <c r="G261" s="244">
        <f t="shared" si="83"/>
        <v>0</v>
      </c>
      <c r="H261" s="243"/>
      <c r="I261" s="243"/>
      <c r="J261" s="243"/>
      <c r="K261" s="243"/>
      <c r="L261" s="243"/>
      <c r="M261" s="243"/>
      <c r="N261" s="243"/>
      <c r="O261" s="243"/>
      <c r="P261" s="247">
        <f t="shared" si="82"/>
        <v>0</v>
      </c>
      <c r="Q261" s="253"/>
      <c r="R261" s="253"/>
      <c r="S261" s="253"/>
      <c r="T261" s="253"/>
      <c r="U261" s="245">
        <f t="shared" si="84"/>
        <v>0</v>
      </c>
      <c r="V261" s="245">
        <f t="shared" si="85"/>
        <v>0</v>
      </c>
    </row>
    <row r="262" spans="1:22" hidden="1">
      <c r="A262" s="246">
        <f>IF($A$32="","",$A$32)</f>
        <v>45292</v>
      </c>
      <c r="B262" s="243"/>
      <c r="C262" s="243"/>
      <c r="D262" s="243"/>
      <c r="E262" s="243"/>
      <c r="F262" s="243"/>
      <c r="G262" s="244">
        <f t="shared" si="83"/>
        <v>0</v>
      </c>
      <c r="H262" s="243"/>
      <c r="I262" s="243"/>
      <c r="J262" s="243"/>
      <c r="K262" s="243"/>
      <c r="L262" s="243"/>
      <c r="M262" s="243"/>
      <c r="N262" s="243"/>
      <c r="O262" s="243"/>
      <c r="P262" s="247">
        <f t="shared" si="82"/>
        <v>0</v>
      </c>
      <c r="Q262" s="253"/>
      <c r="R262" s="253"/>
      <c r="S262" s="253"/>
      <c r="T262" s="253"/>
      <c r="U262" s="245">
        <f t="shared" si="84"/>
        <v>0</v>
      </c>
      <c r="V262" s="245">
        <f t="shared" si="85"/>
        <v>0</v>
      </c>
    </row>
    <row r="263" spans="1:22" hidden="1">
      <c r="A263" s="246" t="str">
        <f>IF($A$33="","",$A$33)</f>
        <v/>
      </c>
      <c r="B263" s="243"/>
      <c r="C263" s="243"/>
      <c r="D263" s="243"/>
      <c r="E263" s="243"/>
      <c r="F263" s="243"/>
      <c r="G263" s="244">
        <f t="shared" si="83"/>
        <v>0</v>
      </c>
      <c r="H263" s="243"/>
      <c r="I263" s="243"/>
      <c r="J263" s="243"/>
      <c r="K263" s="243"/>
      <c r="L263" s="243"/>
      <c r="M263" s="243"/>
      <c r="N263" s="243"/>
      <c r="O263" s="243"/>
      <c r="P263" s="247">
        <f t="shared" si="82"/>
        <v>0</v>
      </c>
      <c r="Q263" s="253"/>
      <c r="R263" s="253"/>
      <c r="S263" s="253"/>
      <c r="T263" s="253"/>
      <c r="U263" s="245">
        <f t="shared" si="84"/>
        <v>0</v>
      </c>
      <c r="V263" s="245">
        <f t="shared" si="85"/>
        <v>0</v>
      </c>
    </row>
    <row r="264" spans="1:22" hidden="1">
      <c r="A264" s="246" t="str">
        <f>IF($A$34="","",$A$34)</f>
        <v/>
      </c>
      <c r="B264" s="243"/>
      <c r="C264" s="243"/>
      <c r="D264" s="243"/>
      <c r="E264" s="243"/>
      <c r="F264" s="243"/>
      <c r="G264" s="244">
        <f t="shared" si="83"/>
        <v>0</v>
      </c>
      <c r="H264" s="243"/>
      <c r="I264" s="243"/>
      <c r="J264" s="243"/>
      <c r="K264" s="243"/>
      <c r="L264" s="243"/>
      <c r="M264" s="243"/>
      <c r="N264" s="243"/>
      <c r="O264" s="243"/>
      <c r="P264" s="247">
        <f t="shared" si="82"/>
        <v>0</v>
      </c>
      <c r="Q264" s="253"/>
      <c r="R264" s="253"/>
      <c r="S264" s="253"/>
      <c r="T264" s="253"/>
      <c r="U264" s="245">
        <f t="shared" si="84"/>
        <v>0</v>
      </c>
      <c r="V264" s="245">
        <f t="shared" si="85"/>
        <v>0</v>
      </c>
    </row>
    <row r="265" spans="1:22" hidden="1">
      <c r="A265" s="246" t="str">
        <f>IF($A$35="","",$A$35)</f>
        <v/>
      </c>
      <c r="B265" s="243"/>
      <c r="C265" s="243"/>
      <c r="D265" s="243"/>
      <c r="E265" s="243"/>
      <c r="F265" s="243"/>
      <c r="G265" s="244">
        <f t="shared" si="83"/>
        <v>0</v>
      </c>
      <c r="H265" s="243"/>
      <c r="I265" s="243"/>
      <c r="J265" s="243"/>
      <c r="K265" s="243"/>
      <c r="L265" s="243"/>
      <c r="M265" s="243"/>
      <c r="N265" s="243"/>
      <c r="O265" s="243"/>
      <c r="P265" s="247">
        <f t="shared" si="82"/>
        <v>0</v>
      </c>
      <c r="Q265" s="253"/>
      <c r="R265" s="253"/>
      <c r="S265" s="253"/>
      <c r="T265" s="253"/>
      <c r="U265" s="245">
        <f t="shared" si="84"/>
        <v>0</v>
      </c>
      <c r="V265" s="245">
        <f t="shared" si="85"/>
        <v>0</v>
      </c>
    </row>
    <row r="266" spans="1:22" hidden="1">
      <c r="A266" s="246" t="str">
        <f>IF($A$36="","",$A$36)</f>
        <v/>
      </c>
      <c r="B266" s="243"/>
      <c r="C266" s="243"/>
      <c r="D266" s="243"/>
      <c r="E266" s="243"/>
      <c r="F266" s="243"/>
      <c r="G266" s="244">
        <f t="shared" si="83"/>
        <v>0</v>
      </c>
      <c r="H266" s="243"/>
      <c r="I266" s="243"/>
      <c r="J266" s="243"/>
      <c r="K266" s="243"/>
      <c r="L266" s="243"/>
      <c r="M266" s="243"/>
      <c r="N266" s="243"/>
      <c r="O266" s="243"/>
      <c r="P266" s="247">
        <f t="shared" si="82"/>
        <v>0</v>
      </c>
      <c r="Q266" s="253"/>
      <c r="R266" s="253"/>
      <c r="S266" s="253"/>
      <c r="T266" s="253"/>
      <c r="U266" s="245">
        <f t="shared" si="84"/>
        <v>0</v>
      </c>
      <c r="V266" s="245">
        <f t="shared" si="85"/>
        <v>0</v>
      </c>
    </row>
    <row r="267" spans="1:22" hidden="1">
      <c r="A267" s="246" t="str">
        <f>IF($A$37="","",$A$37)</f>
        <v/>
      </c>
      <c r="B267" s="243"/>
      <c r="C267" s="243"/>
      <c r="D267" s="243"/>
      <c r="E267" s="243"/>
      <c r="F267" s="243"/>
      <c r="G267" s="244">
        <f t="shared" si="83"/>
        <v>0</v>
      </c>
      <c r="H267" s="243"/>
      <c r="I267" s="243"/>
      <c r="J267" s="243"/>
      <c r="K267" s="243"/>
      <c r="L267" s="243"/>
      <c r="M267" s="243"/>
      <c r="N267" s="243"/>
      <c r="O267" s="243"/>
      <c r="P267" s="247">
        <f t="shared" si="82"/>
        <v>0</v>
      </c>
      <c r="Q267" s="253"/>
      <c r="R267" s="253"/>
      <c r="S267" s="253"/>
      <c r="T267" s="253"/>
      <c r="U267" s="245">
        <f t="shared" si="84"/>
        <v>0</v>
      </c>
      <c r="V267" s="245">
        <f t="shared" si="85"/>
        <v>0</v>
      </c>
    </row>
    <row r="268" spans="1:22" hidden="1">
      <c r="A268" s="246" t="str">
        <f>IF($A$38="","",$A$38)</f>
        <v/>
      </c>
      <c r="B268" s="243"/>
      <c r="C268" s="243"/>
      <c r="D268" s="243"/>
      <c r="E268" s="243"/>
      <c r="F268" s="243"/>
      <c r="G268" s="244">
        <f t="shared" si="83"/>
        <v>0</v>
      </c>
      <c r="H268" s="243"/>
      <c r="I268" s="243"/>
      <c r="J268" s="243"/>
      <c r="K268" s="243"/>
      <c r="L268" s="243"/>
      <c r="M268" s="243"/>
      <c r="N268" s="243"/>
      <c r="O268" s="243"/>
      <c r="P268" s="247">
        <f t="shared" si="82"/>
        <v>0</v>
      </c>
      <c r="Q268" s="253"/>
      <c r="R268" s="253"/>
      <c r="S268" s="253"/>
      <c r="T268" s="253"/>
      <c r="U268" s="245">
        <f t="shared" si="84"/>
        <v>0</v>
      </c>
      <c r="V268" s="245">
        <f t="shared" si="85"/>
        <v>0</v>
      </c>
    </row>
    <row r="269" spans="1:22" hidden="1">
      <c r="A269" s="237" t="s">
        <v>522</v>
      </c>
      <c r="B269" s="245">
        <f t="shared" ref="B269:I269" si="86">+SUM(B257:B268)</f>
        <v>0</v>
      </c>
      <c r="C269" s="245">
        <f t="shared" si="86"/>
        <v>0</v>
      </c>
      <c r="D269" s="245">
        <f t="shared" si="86"/>
        <v>0</v>
      </c>
      <c r="E269" s="245">
        <f t="shared" si="86"/>
        <v>0</v>
      </c>
      <c r="F269" s="245">
        <f t="shared" si="86"/>
        <v>0</v>
      </c>
      <c r="G269" s="245">
        <f t="shared" si="86"/>
        <v>0</v>
      </c>
      <c r="H269" s="245">
        <f t="shared" si="86"/>
        <v>0</v>
      </c>
      <c r="I269" s="245">
        <f t="shared" si="86"/>
        <v>0</v>
      </c>
      <c r="J269" s="245">
        <f t="shared" ref="J269:O269" si="87">+SUM(J257:J268)</f>
        <v>0</v>
      </c>
      <c r="K269" s="245">
        <f t="shared" si="87"/>
        <v>0</v>
      </c>
      <c r="L269" s="245">
        <f t="shared" si="87"/>
        <v>0</v>
      </c>
      <c r="M269" s="245">
        <f t="shared" si="87"/>
        <v>0</v>
      </c>
      <c r="N269" s="245">
        <f t="shared" si="87"/>
        <v>0</v>
      </c>
      <c r="O269" s="245">
        <f t="shared" si="87"/>
        <v>0</v>
      </c>
      <c r="P269" s="245">
        <f t="shared" ref="P269:V269" si="88">+SUM(P257:P268)</f>
        <v>0</v>
      </c>
      <c r="Q269" s="245">
        <f t="shared" si="88"/>
        <v>0</v>
      </c>
      <c r="R269" s="245">
        <f t="shared" si="88"/>
        <v>0</v>
      </c>
      <c r="S269" s="245">
        <f t="shared" si="88"/>
        <v>0</v>
      </c>
      <c r="T269" s="245">
        <f t="shared" si="88"/>
        <v>0</v>
      </c>
      <c r="U269" s="245">
        <f t="shared" si="88"/>
        <v>0</v>
      </c>
      <c r="V269" s="245">
        <f t="shared" si="88"/>
        <v>0</v>
      </c>
    </row>
    <row r="270" spans="1:22" hidden="1">
      <c r="A270" s="237" t="s">
        <v>523</v>
      </c>
      <c r="B270" s="245">
        <f>IFERROR(B269/(COUNTA(A257:A268)-COUNTIF(A257:A268,"")),0)</f>
        <v>0</v>
      </c>
      <c r="C270" s="245">
        <f>IFERROR(C269/(COUNTA(A257:A268)-COUNTIF(A257:A268,"")),0)</f>
        <v>0</v>
      </c>
      <c r="D270" s="245">
        <f>IFERROR(D269/(COUNTA(A257:A268)-COUNTIF(A257:A268,"")),0)</f>
        <v>0</v>
      </c>
      <c r="E270" s="245">
        <f>IFERROR(E269/(COUNTA(A257:A268)-COUNTIF(A257:A268,"")),0)</f>
        <v>0</v>
      </c>
      <c r="F270" s="245">
        <f>IFERROR(F269/(COUNTA(A257:A268)-COUNTIF(A257:A268,"")),0)</f>
        <v>0</v>
      </c>
      <c r="G270" s="245">
        <f>IFERROR(G269/(COUNTA(A257:A268)-COUNTIF(A257:A268,"")),0)</f>
        <v>0</v>
      </c>
      <c r="H270" s="245">
        <f>IFERROR(H269/(COUNTA(A257:A268)-COUNTIF(A257:A268,"")),0)</f>
        <v>0</v>
      </c>
      <c r="I270" s="245">
        <f>IFERROR(I269/(COUNTA(A257:A268)-COUNTIF(A257:A268,"")),0)</f>
        <v>0</v>
      </c>
      <c r="J270" s="245">
        <f>IFERROR(J269/(COUNTA(A257:A268)-COUNTIF(A257:A268,"")),0)</f>
        <v>0</v>
      </c>
      <c r="K270" s="245">
        <f>IFERROR(K269/(COUNTA(A257:A268)-COUNTIF(A257:A268,"")),0)</f>
        <v>0</v>
      </c>
      <c r="L270" s="245">
        <f>IFERROR(L269/(COUNTA(A257:A268)-COUNTIF(A257:A268,"")),0)</f>
        <v>0</v>
      </c>
      <c r="M270" s="245">
        <f>IFERROR(M269/(COUNTA(A257:A268)-COUNTIF(A257:A268,"")),0)</f>
        <v>0</v>
      </c>
      <c r="N270" s="245">
        <f>IFERROR(N269/(COUNTA(A257:A268)-COUNTIF(A257:A268,"")),0)</f>
        <v>0</v>
      </c>
      <c r="O270" s="245">
        <f>IFERROR(O269/(COUNTA(A257:A268)-COUNTIF(A257:A268,"")),0)</f>
        <v>0</v>
      </c>
      <c r="P270" s="245">
        <f>IFERROR(P269/(COUNTA(A257:A268)-COUNTIF(A257:A268,"")),0)</f>
        <v>0</v>
      </c>
      <c r="Q270" s="250"/>
      <c r="R270" s="250"/>
      <c r="S270" s="238">
        <f>IFERROR(R269/S269*100,0)</f>
        <v>0</v>
      </c>
      <c r="T270" s="238">
        <f>IFERROR(Q269/T269*100,0)</f>
        <v>0</v>
      </c>
      <c r="U270" s="245">
        <f>IFERROR(U269/COUNTA(A257:A268),0)</f>
        <v>0</v>
      </c>
      <c r="V270" s="245">
        <f>IFERROR(V269/COUNTA(A257:A268),0)</f>
        <v>0</v>
      </c>
    </row>
    <row r="271" spans="1:22" ht="38.25" hidden="1">
      <c r="A271" s="237" t="s">
        <v>524</v>
      </c>
      <c r="B271" s="245">
        <f>O254+B270</f>
        <v>0</v>
      </c>
      <c r="C271" s="245">
        <f>O254+C270</f>
        <v>0</v>
      </c>
      <c r="D271" s="245">
        <f>O254+D270</f>
        <v>0</v>
      </c>
      <c r="E271" s="245"/>
      <c r="F271" s="245"/>
      <c r="G271" s="245">
        <f>O254+G270</f>
        <v>0</v>
      </c>
      <c r="H271" s="245"/>
      <c r="I271" s="245"/>
      <c r="J271" s="245"/>
      <c r="K271" s="245"/>
      <c r="L271" s="245"/>
      <c r="M271" s="245"/>
      <c r="N271" s="245"/>
      <c r="O271" s="245"/>
      <c r="P271" s="245"/>
      <c r="Q271" s="250"/>
      <c r="R271" s="250"/>
      <c r="S271" s="251" t="s">
        <v>525</v>
      </c>
      <c r="T271" s="251" t="s">
        <v>526</v>
      </c>
      <c r="U271" s="251"/>
      <c r="V271" s="251"/>
    </row>
    <row r="275" spans="1:22" ht="12.75" hidden="1" customHeight="1">
      <c r="A275" s="413" t="s">
        <v>502</v>
      </c>
      <c r="B275" s="413"/>
      <c r="C275" s="418"/>
      <c r="D275" s="419"/>
      <c r="E275" s="419"/>
      <c r="F275" s="419"/>
      <c r="G275" s="419"/>
      <c r="H275" s="419"/>
      <c r="I275" s="419"/>
      <c r="J275" s="419"/>
      <c r="K275" s="419"/>
      <c r="L275" s="419"/>
      <c r="M275" s="419"/>
      <c r="N275" s="419"/>
      <c r="O275" s="419"/>
      <c r="P275" s="419"/>
      <c r="Q275" s="419"/>
      <c r="R275" s="419"/>
      <c r="S275" s="419"/>
      <c r="T275" s="420"/>
      <c r="U275" s="239"/>
      <c r="V275" s="239"/>
    </row>
    <row r="276" spans="1:22" ht="12.75" hidden="1" customHeight="1">
      <c r="A276" s="413" t="s">
        <v>527</v>
      </c>
      <c r="B276" s="413"/>
      <c r="C276" s="421"/>
      <c r="D276" s="421"/>
      <c r="E276" s="421"/>
      <c r="F276" s="421"/>
      <c r="G276" s="421"/>
      <c r="H276" s="422" t="s">
        <v>528</v>
      </c>
      <c r="I276" s="422"/>
      <c r="J276" s="421"/>
      <c r="K276" s="421"/>
      <c r="L276" s="421"/>
      <c r="M276" s="421"/>
      <c r="N276" s="421"/>
      <c r="O276" s="421"/>
      <c r="P276" s="421"/>
      <c r="Q276" s="421"/>
      <c r="R276" s="421"/>
      <c r="S276" s="421"/>
      <c r="T276" s="421"/>
      <c r="U276" s="239"/>
      <c r="V276" s="239"/>
    </row>
    <row r="277" spans="1:22" ht="25.5" hidden="1" customHeight="1">
      <c r="A277" s="413" t="s">
        <v>529</v>
      </c>
      <c r="B277" s="413"/>
      <c r="C277" s="418"/>
      <c r="D277" s="420"/>
      <c r="E277" s="241" t="s">
        <v>530</v>
      </c>
      <c r="F277" s="423"/>
      <c r="G277" s="424"/>
      <c r="H277" s="424"/>
      <c r="I277" s="425"/>
      <c r="J277" s="241" t="s">
        <v>531</v>
      </c>
      <c r="K277" s="423"/>
      <c r="L277" s="424"/>
      <c r="M277" s="425"/>
      <c r="N277" s="240" t="s">
        <v>532</v>
      </c>
      <c r="O277" s="426"/>
      <c r="P277" s="427"/>
      <c r="Q277" s="427"/>
      <c r="R277" s="427"/>
      <c r="S277" s="427"/>
      <c r="T277" s="428"/>
      <c r="U277" s="252"/>
      <c r="V277" s="252"/>
    </row>
    <row r="278" spans="1:22" ht="38.25" hidden="1" customHeight="1">
      <c r="A278" s="231" t="s">
        <v>163</v>
      </c>
      <c r="B278" s="415" t="s">
        <v>533</v>
      </c>
      <c r="C278" s="415"/>
      <c r="D278" s="415"/>
      <c r="E278" s="232" t="s">
        <v>534</v>
      </c>
      <c r="F278" s="232" t="s">
        <v>535</v>
      </c>
      <c r="G278" s="231" t="s">
        <v>536</v>
      </c>
      <c r="H278" s="231" t="s">
        <v>537</v>
      </c>
      <c r="I278" s="231" t="s">
        <v>538</v>
      </c>
      <c r="J278" s="232" t="s">
        <v>539</v>
      </c>
      <c r="K278" s="232" t="s">
        <v>540</v>
      </c>
      <c r="L278" s="416" t="s">
        <v>541</v>
      </c>
      <c r="M278" s="417"/>
      <c r="N278" s="416" t="s">
        <v>542</v>
      </c>
      <c r="O278" s="417"/>
      <c r="P278" s="231" t="s">
        <v>543</v>
      </c>
      <c r="Q278" s="231" t="s">
        <v>514</v>
      </c>
      <c r="R278" s="231" t="s">
        <v>515</v>
      </c>
      <c r="S278" s="231" t="s">
        <v>516</v>
      </c>
      <c r="T278" s="231" t="s">
        <v>517</v>
      </c>
      <c r="U278" s="231" t="s">
        <v>544</v>
      </c>
      <c r="V278" s="231" t="s">
        <v>545</v>
      </c>
    </row>
    <row r="279" spans="1:22" hidden="1">
      <c r="A279" s="231"/>
      <c r="B279" s="231">
        <v>10</v>
      </c>
      <c r="C279" s="231">
        <v>20</v>
      </c>
      <c r="D279" s="231">
        <v>30</v>
      </c>
      <c r="E279" s="231"/>
      <c r="F279" s="231"/>
      <c r="G279" s="231"/>
      <c r="H279" s="231"/>
      <c r="I279" s="231"/>
      <c r="J279" s="231"/>
      <c r="K279" s="231"/>
      <c r="L279" s="231" t="s">
        <v>520</v>
      </c>
      <c r="M279" s="231" t="s">
        <v>521</v>
      </c>
      <c r="N279" s="231" t="s">
        <v>520</v>
      </c>
      <c r="O279" s="231" t="s">
        <v>521</v>
      </c>
      <c r="P279" s="231"/>
      <c r="Q279" s="231"/>
      <c r="R279" s="231"/>
      <c r="S279" s="231"/>
      <c r="T279" s="231"/>
      <c r="U279" s="231"/>
      <c r="V279" s="231"/>
    </row>
    <row r="280" spans="1:22" hidden="1">
      <c r="A280" s="246">
        <f>IF($A$27="","",$A$27)</f>
        <v>45139</v>
      </c>
      <c r="B280" s="243"/>
      <c r="C280" s="243"/>
      <c r="D280" s="243"/>
      <c r="E280" s="243"/>
      <c r="F280" s="243"/>
      <c r="G280" s="244">
        <f>IFERROR(AVERAGE(B280:D280),0)</f>
        <v>0</v>
      </c>
      <c r="H280" s="243"/>
      <c r="I280" s="243"/>
      <c r="J280" s="243"/>
      <c r="K280" s="243"/>
      <c r="L280" s="243"/>
      <c r="M280" s="243"/>
      <c r="N280" s="243"/>
      <c r="O280" s="243"/>
      <c r="P280" s="247">
        <f t="shared" ref="P280:P291" si="89">+H280-I280-J280-M280+L280</f>
        <v>0</v>
      </c>
      <c r="Q280" s="253"/>
      <c r="R280" s="253"/>
      <c r="S280" s="253"/>
      <c r="T280" s="253"/>
      <c r="U280" s="245">
        <f>H280-J280-M280</f>
        <v>0</v>
      </c>
      <c r="V280" s="245">
        <f>I280-L280</f>
        <v>0</v>
      </c>
    </row>
    <row r="281" spans="1:22" hidden="1">
      <c r="A281" s="246">
        <f>IF($A$28="","",$A$28)</f>
        <v>45170</v>
      </c>
      <c r="B281" s="243"/>
      <c r="C281" s="243"/>
      <c r="D281" s="243"/>
      <c r="E281" s="243"/>
      <c r="F281" s="243"/>
      <c r="G281" s="244">
        <f t="shared" ref="G281:G291" si="90">IFERROR(AVERAGE(B281:D281),0)</f>
        <v>0</v>
      </c>
      <c r="H281" s="243"/>
      <c r="I281" s="243"/>
      <c r="J281" s="243"/>
      <c r="K281" s="243"/>
      <c r="L281" s="243"/>
      <c r="M281" s="243"/>
      <c r="N281" s="243"/>
      <c r="O281" s="243"/>
      <c r="P281" s="247">
        <f t="shared" si="89"/>
        <v>0</v>
      </c>
      <c r="Q281" s="253"/>
      <c r="R281" s="253"/>
      <c r="S281" s="253"/>
      <c r="T281" s="253"/>
      <c r="U281" s="245">
        <f t="shared" ref="U281:U291" si="91">H281-J281-M281</f>
        <v>0</v>
      </c>
      <c r="V281" s="245">
        <f t="shared" ref="V281:V291" si="92">I281-L281</f>
        <v>0</v>
      </c>
    </row>
    <row r="282" spans="1:22" hidden="1">
      <c r="A282" s="246">
        <f>IF($A$29="","",$A$29)</f>
        <v>45200</v>
      </c>
      <c r="B282" s="243"/>
      <c r="C282" s="243"/>
      <c r="D282" s="243"/>
      <c r="E282" s="243"/>
      <c r="F282" s="243"/>
      <c r="G282" s="244">
        <f t="shared" si="90"/>
        <v>0</v>
      </c>
      <c r="H282" s="243"/>
      <c r="I282" s="243"/>
      <c r="J282" s="243"/>
      <c r="K282" s="243"/>
      <c r="L282" s="243"/>
      <c r="M282" s="243"/>
      <c r="N282" s="243"/>
      <c r="O282" s="243"/>
      <c r="P282" s="247">
        <f t="shared" si="89"/>
        <v>0</v>
      </c>
      <c r="Q282" s="253"/>
      <c r="R282" s="253"/>
      <c r="S282" s="253"/>
      <c r="T282" s="253"/>
      <c r="U282" s="245">
        <f t="shared" si="91"/>
        <v>0</v>
      </c>
      <c r="V282" s="245">
        <f t="shared" si="92"/>
        <v>0</v>
      </c>
    </row>
    <row r="283" spans="1:22" hidden="1">
      <c r="A283" s="246">
        <f>IF($A$30="","",$A$30)</f>
        <v>45231</v>
      </c>
      <c r="B283" s="243"/>
      <c r="C283" s="243"/>
      <c r="D283" s="243"/>
      <c r="E283" s="243"/>
      <c r="F283" s="243"/>
      <c r="G283" s="244">
        <f t="shared" si="90"/>
        <v>0</v>
      </c>
      <c r="H283" s="243"/>
      <c r="I283" s="243"/>
      <c r="J283" s="243"/>
      <c r="K283" s="243"/>
      <c r="L283" s="243"/>
      <c r="M283" s="243"/>
      <c r="N283" s="243"/>
      <c r="O283" s="243"/>
      <c r="P283" s="247">
        <f t="shared" si="89"/>
        <v>0</v>
      </c>
      <c r="Q283" s="253"/>
      <c r="R283" s="253"/>
      <c r="S283" s="253"/>
      <c r="T283" s="253"/>
      <c r="U283" s="245">
        <f t="shared" si="91"/>
        <v>0</v>
      </c>
      <c r="V283" s="245">
        <f t="shared" si="92"/>
        <v>0</v>
      </c>
    </row>
    <row r="284" spans="1:22" hidden="1">
      <c r="A284" s="246">
        <f>IF($A$31="","",$A$31)</f>
        <v>45261</v>
      </c>
      <c r="B284" s="243"/>
      <c r="C284" s="243"/>
      <c r="D284" s="243"/>
      <c r="E284" s="243"/>
      <c r="F284" s="243"/>
      <c r="G284" s="244">
        <f t="shared" si="90"/>
        <v>0</v>
      </c>
      <c r="H284" s="243"/>
      <c r="I284" s="243"/>
      <c r="J284" s="243"/>
      <c r="K284" s="243"/>
      <c r="L284" s="243"/>
      <c r="M284" s="243"/>
      <c r="N284" s="243"/>
      <c r="O284" s="243"/>
      <c r="P284" s="247">
        <f t="shared" si="89"/>
        <v>0</v>
      </c>
      <c r="Q284" s="253"/>
      <c r="R284" s="253"/>
      <c r="S284" s="253"/>
      <c r="T284" s="253"/>
      <c r="U284" s="245">
        <f t="shared" si="91"/>
        <v>0</v>
      </c>
      <c r="V284" s="245">
        <f t="shared" si="92"/>
        <v>0</v>
      </c>
    </row>
    <row r="285" spans="1:22" hidden="1">
      <c r="A285" s="246">
        <f>IF($A$32="","",$A$32)</f>
        <v>45292</v>
      </c>
      <c r="B285" s="243"/>
      <c r="C285" s="243"/>
      <c r="D285" s="243"/>
      <c r="E285" s="243"/>
      <c r="F285" s="243"/>
      <c r="G285" s="244">
        <f t="shared" si="90"/>
        <v>0</v>
      </c>
      <c r="H285" s="243"/>
      <c r="I285" s="243"/>
      <c r="J285" s="243"/>
      <c r="K285" s="243"/>
      <c r="L285" s="243"/>
      <c r="M285" s="243"/>
      <c r="N285" s="243"/>
      <c r="O285" s="243"/>
      <c r="P285" s="247">
        <f t="shared" si="89"/>
        <v>0</v>
      </c>
      <c r="Q285" s="253"/>
      <c r="R285" s="253"/>
      <c r="S285" s="253"/>
      <c r="T285" s="253"/>
      <c r="U285" s="245">
        <f t="shared" si="91"/>
        <v>0</v>
      </c>
      <c r="V285" s="245">
        <f t="shared" si="92"/>
        <v>0</v>
      </c>
    </row>
    <row r="286" spans="1:22" hidden="1">
      <c r="A286" s="246" t="str">
        <f>IF($A$33="","",$A$33)</f>
        <v/>
      </c>
      <c r="B286" s="243"/>
      <c r="C286" s="243"/>
      <c r="D286" s="243"/>
      <c r="E286" s="243"/>
      <c r="F286" s="243"/>
      <c r="G286" s="244">
        <f t="shared" si="90"/>
        <v>0</v>
      </c>
      <c r="H286" s="243"/>
      <c r="I286" s="243"/>
      <c r="J286" s="243"/>
      <c r="K286" s="243"/>
      <c r="L286" s="243"/>
      <c r="M286" s="243"/>
      <c r="N286" s="243"/>
      <c r="O286" s="243"/>
      <c r="P286" s="247">
        <f t="shared" si="89"/>
        <v>0</v>
      </c>
      <c r="Q286" s="253"/>
      <c r="R286" s="253"/>
      <c r="S286" s="253"/>
      <c r="T286" s="253"/>
      <c r="U286" s="245">
        <f t="shared" si="91"/>
        <v>0</v>
      </c>
      <c r="V286" s="245">
        <f t="shared" si="92"/>
        <v>0</v>
      </c>
    </row>
    <row r="287" spans="1:22" hidden="1">
      <c r="A287" s="246" t="str">
        <f>IF($A$34="","",$A$34)</f>
        <v/>
      </c>
      <c r="B287" s="243"/>
      <c r="C287" s="243"/>
      <c r="D287" s="243"/>
      <c r="E287" s="243"/>
      <c r="F287" s="243"/>
      <c r="G287" s="244">
        <f t="shared" si="90"/>
        <v>0</v>
      </c>
      <c r="H287" s="243"/>
      <c r="I287" s="243"/>
      <c r="J287" s="243"/>
      <c r="K287" s="243"/>
      <c r="L287" s="243"/>
      <c r="M287" s="243"/>
      <c r="N287" s="243"/>
      <c r="O287" s="243"/>
      <c r="P287" s="247">
        <f t="shared" si="89"/>
        <v>0</v>
      </c>
      <c r="Q287" s="253"/>
      <c r="R287" s="253"/>
      <c r="S287" s="253"/>
      <c r="T287" s="253"/>
      <c r="U287" s="245">
        <f t="shared" si="91"/>
        <v>0</v>
      </c>
      <c r="V287" s="245">
        <f t="shared" si="92"/>
        <v>0</v>
      </c>
    </row>
    <row r="288" spans="1:22" hidden="1">
      <c r="A288" s="246" t="str">
        <f>IF($A$35="","",$A$35)</f>
        <v/>
      </c>
      <c r="B288" s="243"/>
      <c r="C288" s="243"/>
      <c r="D288" s="243"/>
      <c r="E288" s="243"/>
      <c r="F288" s="243"/>
      <c r="G288" s="244">
        <f t="shared" si="90"/>
        <v>0</v>
      </c>
      <c r="H288" s="243"/>
      <c r="I288" s="243"/>
      <c r="J288" s="243"/>
      <c r="K288" s="243"/>
      <c r="L288" s="243"/>
      <c r="M288" s="243"/>
      <c r="N288" s="243"/>
      <c r="O288" s="243"/>
      <c r="P288" s="247">
        <f t="shared" si="89"/>
        <v>0</v>
      </c>
      <c r="Q288" s="253"/>
      <c r="R288" s="253"/>
      <c r="S288" s="253"/>
      <c r="T288" s="253"/>
      <c r="U288" s="245">
        <f t="shared" si="91"/>
        <v>0</v>
      </c>
      <c r="V288" s="245">
        <f t="shared" si="92"/>
        <v>0</v>
      </c>
    </row>
    <row r="289" spans="1:22" hidden="1">
      <c r="A289" s="246" t="str">
        <f>IF($A$36="","",$A$36)</f>
        <v/>
      </c>
      <c r="B289" s="243"/>
      <c r="C289" s="243"/>
      <c r="D289" s="243"/>
      <c r="E289" s="243"/>
      <c r="F289" s="243"/>
      <c r="G289" s="244">
        <f t="shared" si="90"/>
        <v>0</v>
      </c>
      <c r="H289" s="243"/>
      <c r="I289" s="243"/>
      <c r="J289" s="243"/>
      <c r="K289" s="243"/>
      <c r="L289" s="243"/>
      <c r="M289" s="243"/>
      <c r="N289" s="243"/>
      <c r="O289" s="243"/>
      <c r="P289" s="247">
        <f t="shared" si="89"/>
        <v>0</v>
      </c>
      <c r="Q289" s="253"/>
      <c r="R289" s="253"/>
      <c r="S289" s="253"/>
      <c r="T289" s="253"/>
      <c r="U289" s="245">
        <f t="shared" si="91"/>
        <v>0</v>
      </c>
      <c r="V289" s="245">
        <f t="shared" si="92"/>
        <v>0</v>
      </c>
    </row>
    <row r="290" spans="1:22" hidden="1">
      <c r="A290" s="246" t="str">
        <f>IF($A$37="","",$A$37)</f>
        <v/>
      </c>
      <c r="B290" s="243"/>
      <c r="C290" s="243"/>
      <c r="D290" s="243"/>
      <c r="E290" s="243"/>
      <c r="F290" s="243"/>
      <c r="G290" s="244">
        <f t="shared" si="90"/>
        <v>0</v>
      </c>
      <c r="H290" s="243"/>
      <c r="I290" s="243"/>
      <c r="J290" s="243"/>
      <c r="K290" s="243"/>
      <c r="L290" s="243"/>
      <c r="M290" s="243"/>
      <c r="N290" s="243"/>
      <c r="O290" s="243"/>
      <c r="P290" s="247">
        <f t="shared" si="89"/>
        <v>0</v>
      </c>
      <c r="Q290" s="253"/>
      <c r="R290" s="253"/>
      <c r="S290" s="253"/>
      <c r="T290" s="253"/>
      <c r="U290" s="245">
        <f t="shared" si="91"/>
        <v>0</v>
      </c>
      <c r="V290" s="245">
        <f t="shared" si="92"/>
        <v>0</v>
      </c>
    </row>
    <row r="291" spans="1:22" hidden="1">
      <c r="A291" s="246" t="str">
        <f>IF($A$38="","",$A$38)</f>
        <v/>
      </c>
      <c r="B291" s="243"/>
      <c r="C291" s="243"/>
      <c r="D291" s="243"/>
      <c r="E291" s="243"/>
      <c r="F291" s="243"/>
      <c r="G291" s="244">
        <f t="shared" si="90"/>
        <v>0</v>
      </c>
      <c r="H291" s="243"/>
      <c r="I291" s="243"/>
      <c r="J291" s="243"/>
      <c r="K291" s="243"/>
      <c r="L291" s="243"/>
      <c r="M291" s="243"/>
      <c r="N291" s="243"/>
      <c r="O291" s="243"/>
      <c r="P291" s="247">
        <f t="shared" si="89"/>
        <v>0</v>
      </c>
      <c r="Q291" s="253"/>
      <c r="R291" s="253"/>
      <c r="S291" s="253"/>
      <c r="T291" s="253"/>
      <c r="U291" s="245">
        <f t="shared" si="91"/>
        <v>0</v>
      </c>
      <c r="V291" s="245">
        <f t="shared" si="92"/>
        <v>0</v>
      </c>
    </row>
    <row r="292" spans="1:22" hidden="1">
      <c r="A292" s="237" t="s">
        <v>522</v>
      </c>
      <c r="B292" s="245">
        <f t="shared" ref="B292:I292" si="93">+SUM(B280:B291)</f>
        <v>0</v>
      </c>
      <c r="C292" s="245">
        <f t="shared" si="93"/>
        <v>0</v>
      </c>
      <c r="D292" s="245">
        <f t="shared" si="93"/>
        <v>0</v>
      </c>
      <c r="E292" s="245">
        <f t="shared" si="93"/>
        <v>0</v>
      </c>
      <c r="F292" s="245">
        <f t="shared" si="93"/>
        <v>0</v>
      </c>
      <c r="G292" s="245">
        <f t="shared" si="93"/>
        <v>0</v>
      </c>
      <c r="H292" s="245">
        <f t="shared" si="93"/>
        <v>0</v>
      </c>
      <c r="I292" s="245">
        <f t="shared" si="93"/>
        <v>0</v>
      </c>
      <c r="J292" s="245">
        <f t="shared" ref="J292:O292" si="94">+SUM(J280:J291)</f>
        <v>0</v>
      </c>
      <c r="K292" s="245">
        <f t="shared" si="94"/>
        <v>0</v>
      </c>
      <c r="L292" s="245">
        <f t="shared" si="94"/>
        <v>0</v>
      </c>
      <c r="M292" s="245">
        <f t="shared" si="94"/>
        <v>0</v>
      </c>
      <c r="N292" s="245">
        <f t="shared" si="94"/>
        <v>0</v>
      </c>
      <c r="O292" s="245">
        <f t="shared" si="94"/>
        <v>0</v>
      </c>
      <c r="P292" s="245">
        <f t="shared" ref="P292:V292" si="95">+SUM(P280:P291)</f>
        <v>0</v>
      </c>
      <c r="Q292" s="245">
        <f t="shared" si="95"/>
        <v>0</v>
      </c>
      <c r="R292" s="245">
        <f t="shared" si="95"/>
        <v>0</v>
      </c>
      <c r="S292" s="245">
        <f t="shared" si="95"/>
        <v>0</v>
      </c>
      <c r="T292" s="245">
        <f t="shared" si="95"/>
        <v>0</v>
      </c>
      <c r="U292" s="245">
        <f t="shared" si="95"/>
        <v>0</v>
      </c>
      <c r="V292" s="245">
        <f t="shared" si="95"/>
        <v>0</v>
      </c>
    </row>
    <row r="293" spans="1:22" hidden="1">
      <c r="A293" s="237" t="s">
        <v>523</v>
      </c>
      <c r="B293" s="245">
        <f>IFERROR(B292/(COUNTA(A280:A291)-COUNTIF(A280:A291,"")),0)</f>
        <v>0</v>
      </c>
      <c r="C293" s="245">
        <f>IFERROR(C292/(COUNTA(A280:A291)-COUNTIF(A280:A291,"")),0)</f>
        <v>0</v>
      </c>
      <c r="D293" s="245">
        <f>IFERROR(D292/(COUNTA(A280:A291)-COUNTIF(A280:A291,"")),0)</f>
        <v>0</v>
      </c>
      <c r="E293" s="245">
        <f>IFERROR(E292/(COUNTA(A280:A291)-COUNTIF(A280:A291,"")),0)</f>
        <v>0</v>
      </c>
      <c r="F293" s="245">
        <f>IFERROR(F292/(COUNTA(A280:A291)-COUNTIF(A280:A291,"")),0)</f>
        <v>0</v>
      </c>
      <c r="G293" s="245">
        <f>IFERROR(G292/(COUNTA(A280:A291)-COUNTIF(A280:A291,"")),0)</f>
        <v>0</v>
      </c>
      <c r="H293" s="245">
        <f>IFERROR(H292/(COUNTA(A280:A291)-COUNTIF(A280:A291,"")),0)</f>
        <v>0</v>
      </c>
      <c r="I293" s="245">
        <f>IFERROR(I292/(COUNTA(A280:A291)-COUNTIF(A280:A291,"")),0)</f>
        <v>0</v>
      </c>
      <c r="J293" s="245">
        <f>IFERROR(J292/(COUNTA(A280:A291)-COUNTIF(A280:A291,"")),0)</f>
        <v>0</v>
      </c>
      <c r="K293" s="245">
        <f>IFERROR(K292/(COUNTA(A280:A291)-COUNTIF(A280:A291,"")),0)</f>
        <v>0</v>
      </c>
      <c r="L293" s="245">
        <f>IFERROR(L292/(COUNTA(A280:A291)-COUNTIF(A280:A291,"")),0)</f>
        <v>0</v>
      </c>
      <c r="M293" s="245">
        <f>IFERROR(M292/(COUNTA(A280:A291)-COUNTIF(A280:A291,"")),0)</f>
        <v>0</v>
      </c>
      <c r="N293" s="245">
        <f>IFERROR(N292/(COUNTA(A280:A291)-COUNTIF(A280:A291,"")),0)</f>
        <v>0</v>
      </c>
      <c r="O293" s="245">
        <f>IFERROR(O292/(COUNTA(A280:A291)-COUNTIF(A280:A291,"")),0)</f>
        <v>0</v>
      </c>
      <c r="P293" s="245">
        <f>IFERROR(P292/(COUNTA(A280:A291)-COUNTIF(A280:A291,"")),0)</f>
        <v>0</v>
      </c>
      <c r="Q293" s="250"/>
      <c r="R293" s="250"/>
      <c r="S293" s="238">
        <f>IFERROR(R292/S292*100,0)</f>
        <v>0</v>
      </c>
      <c r="T293" s="238">
        <f>IFERROR(Q292/T292*100,0)</f>
        <v>0</v>
      </c>
      <c r="U293" s="245">
        <f>IFERROR(U292/COUNTA(A280:A291),0)</f>
        <v>0</v>
      </c>
      <c r="V293" s="245">
        <f>IFERROR(V292/COUNTA(A280:A291),0)</f>
        <v>0</v>
      </c>
    </row>
    <row r="294" spans="1:22" ht="38.25" hidden="1">
      <c r="A294" s="237" t="s">
        <v>524</v>
      </c>
      <c r="B294" s="245">
        <f>O277+B293</f>
        <v>0</v>
      </c>
      <c r="C294" s="245">
        <f>O277+C293</f>
        <v>0</v>
      </c>
      <c r="D294" s="245">
        <f>O277+D293</f>
        <v>0</v>
      </c>
      <c r="E294" s="245"/>
      <c r="F294" s="245"/>
      <c r="G294" s="245">
        <f>O277+G293</f>
        <v>0</v>
      </c>
      <c r="H294" s="245"/>
      <c r="I294" s="245"/>
      <c r="J294" s="245"/>
      <c r="K294" s="245"/>
      <c r="L294" s="245"/>
      <c r="M294" s="245"/>
      <c r="N294" s="245"/>
      <c r="O294" s="245"/>
      <c r="P294" s="245"/>
      <c r="Q294" s="250"/>
      <c r="R294" s="250"/>
      <c r="S294" s="251" t="s">
        <v>525</v>
      </c>
      <c r="T294" s="251" t="s">
        <v>526</v>
      </c>
      <c r="U294" s="251"/>
      <c r="V294" s="251"/>
    </row>
    <row r="298" spans="1:22" ht="12.75" hidden="1" customHeight="1">
      <c r="A298" s="413" t="s">
        <v>502</v>
      </c>
      <c r="B298" s="413"/>
      <c r="C298" s="418"/>
      <c r="D298" s="419"/>
      <c r="E298" s="419"/>
      <c r="F298" s="419"/>
      <c r="G298" s="419"/>
      <c r="H298" s="419"/>
      <c r="I298" s="419"/>
      <c r="J298" s="419"/>
      <c r="K298" s="419"/>
      <c r="L298" s="419"/>
      <c r="M298" s="419"/>
      <c r="N298" s="419"/>
      <c r="O298" s="419"/>
      <c r="P298" s="419"/>
      <c r="Q298" s="419"/>
      <c r="R298" s="419"/>
      <c r="S298" s="419"/>
      <c r="T298" s="420"/>
      <c r="U298" s="239"/>
      <c r="V298" s="239"/>
    </row>
    <row r="299" spans="1:22" ht="12.75" hidden="1" customHeight="1">
      <c r="A299" s="413" t="s">
        <v>527</v>
      </c>
      <c r="B299" s="413"/>
      <c r="C299" s="421"/>
      <c r="D299" s="421"/>
      <c r="E299" s="421"/>
      <c r="F299" s="421"/>
      <c r="G299" s="421"/>
      <c r="H299" s="422" t="s">
        <v>528</v>
      </c>
      <c r="I299" s="422"/>
      <c r="J299" s="421"/>
      <c r="K299" s="421"/>
      <c r="L299" s="421"/>
      <c r="M299" s="421"/>
      <c r="N299" s="421"/>
      <c r="O299" s="421"/>
      <c r="P299" s="421"/>
      <c r="Q299" s="421"/>
      <c r="R299" s="421"/>
      <c r="S299" s="421"/>
      <c r="T299" s="421"/>
      <c r="U299" s="239"/>
      <c r="V299" s="239"/>
    </row>
    <row r="300" spans="1:22" ht="25.5" hidden="1" customHeight="1">
      <c r="A300" s="413" t="s">
        <v>529</v>
      </c>
      <c r="B300" s="413"/>
      <c r="C300" s="418"/>
      <c r="D300" s="420"/>
      <c r="E300" s="241" t="s">
        <v>530</v>
      </c>
      <c r="F300" s="423"/>
      <c r="G300" s="424"/>
      <c r="H300" s="424"/>
      <c r="I300" s="425"/>
      <c r="J300" s="241" t="s">
        <v>531</v>
      </c>
      <c r="K300" s="423"/>
      <c r="L300" s="424"/>
      <c r="M300" s="425"/>
      <c r="N300" s="240" t="s">
        <v>532</v>
      </c>
      <c r="O300" s="426"/>
      <c r="P300" s="427"/>
      <c r="Q300" s="427"/>
      <c r="R300" s="427"/>
      <c r="S300" s="427"/>
      <c r="T300" s="428"/>
      <c r="U300" s="252"/>
      <c r="V300" s="252"/>
    </row>
    <row r="301" spans="1:22" ht="38.25" hidden="1" customHeight="1">
      <c r="A301" s="231" t="s">
        <v>163</v>
      </c>
      <c r="B301" s="415" t="s">
        <v>533</v>
      </c>
      <c r="C301" s="415"/>
      <c r="D301" s="415"/>
      <c r="E301" s="232" t="s">
        <v>534</v>
      </c>
      <c r="F301" s="232" t="s">
        <v>535</v>
      </c>
      <c r="G301" s="231" t="s">
        <v>536</v>
      </c>
      <c r="H301" s="231" t="s">
        <v>537</v>
      </c>
      <c r="I301" s="231" t="s">
        <v>538</v>
      </c>
      <c r="J301" s="232" t="s">
        <v>539</v>
      </c>
      <c r="K301" s="232" t="s">
        <v>540</v>
      </c>
      <c r="L301" s="416" t="s">
        <v>541</v>
      </c>
      <c r="M301" s="417"/>
      <c r="N301" s="416" t="s">
        <v>542</v>
      </c>
      <c r="O301" s="417"/>
      <c r="P301" s="231" t="s">
        <v>543</v>
      </c>
      <c r="Q301" s="231" t="s">
        <v>514</v>
      </c>
      <c r="R301" s="231" t="s">
        <v>515</v>
      </c>
      <c r="S301" s="231" t="s">
        <v>516</v>
      </c>
      <c r="T301" s="231" t="s">
        <v>517</v>
      </c>
      <c r="U301" s="231" t="s">
        <v>544</v>
      </c>
      <c r="V301" s="231" t="s">
        <v>545</v>
      </c>
    </row>
    <row r="302" spans="1:22" hidden="1">
      <c r="A302" s="231"/>
      <c r="B302" s="231">
        <v>10</v>
      </c>
      <c r="C302" s="231">
        <v>20</v>
      </c>
      <c r="D302" s="231">
        <v>30</v>
      </c>
      <c r="E302" s="231"/>
      <c r="F302" s="231"/>
      <c r="G302" s="231"/>
      <c r="H302" s="231"/>
      <c r="I302" s="231"/>
      <c r="J302" s="231"/>
      <c r="K302" s="231"/>
      <c r="L302" s="231" t="s">
        <v>520</v>
      </c>
      <c r="M302" s="231" t="s">
        <v>521</v>
      </c>
      <c r="N302" s="231" t="s">
        <v>520</v>
      </c>
      <c r="O302" s="231" t="s">
        <v>521</v>
      </c>
      <c r="P302" s="231"/>
      <c r="Q302" s="231"/>
      <c r="R302" s="231"/>
      <c r="S302" s="231"/>
      <c r="T302" s="231"/>
      <c r="U302" s="231"/>
      <c r="V302" s="231"/>
    </row>
    <row r="303" spans="1:22" hidden="1">
      <c r="A303" s="246">
        <f>IF($A$27="","",$A$27)</f>
        <v>45139</v>
      </c>
      <c r="B303" s="243"/>
      <c r="C303" s="243"/>
      <c r="D303" s="243"/>
      <c r="E303" s="243"/>
      <c r="F303" s="243"/>
      <c r="G303" s="244">
        <f>IFERROR(AVERAGE(B303:D303),0)</f>
        <v>0</v>
      </c>
      <c r="H303" s="243"/>
      <c r="I303" s="243"/>
      <c r="J303" s="243"/>
      <c r="K303" s="243"/>
      <c r="L303" s="243"/>
      <c r="M303" s="243"/>
      <c r="N303" s="243"/>
      <c r="O303" s="243"/>
      <c r="P303" s="247">
        <f t="shared" ref="P303:P314" si="96">+H303-I303-J303-M303+L303</f>
        <v>0</v>
      </c>
      <c r="Q303" s="253"/>
      <c r="R303" s="253"/>
      <c r="S303" s="253"/>
      <c r="T303" s="253"/>
      <c r="U303" s="245">
        <f>H303-J303-M303</f>
        <v>0</v>
      </c>
      <c r="V303" s="245">
        <f>I303-L303</f>
        <v>0</v>
      </c>
    </row>
    <row r="304" spans="1:22" hidden="1">
      <c r="A304" s="246">
        <f>IF($A$28="","",$A$28)</f>
        <v>45170</v>
      </c>
      <c r="B304" s="243"/>
      <c r="C304" s="243"/>
      <c r="D304" s="243"/>
      <c r="E304" s="243"/>
      <c r="F304" s="243"/>
      <c r="G304" s="244">
        <f t="shared" ref="G304:G314" si="97">IFERROR(AVERAGE(B304:D304),0)</f>
        <v>0</v>
      </c>
      <c r="H304" s="243"/>
      <c r="I304" s="243"/>
      <c r="J304" s="243"/>
      <c r="K304" s="243"/>
      <c r="L304" s="243"/>
      <c r="M304" s="243"/>
      <c r="N304" s="243"/>
      <c r="O304" s="243"/>
      <c r="P304" s="247">
        <f t="shared" si="96"/>
        <v>0</v>
      </c>
      <c r="Q304" s="253"/>
      <c r="R304" s="253"/>
      <c r="S304" s="253"/>
      <c r="T304" s="253"/>
      <c r="U304" s="245">
        <f t="shared" ref="U304:U314" si="98">H304-J304-M304</f>
        <v>0</v>
      </c>
      <c r="V304" s="245">
        <f t="shared" ref="V304:V314" si="99">I304-L304</f>
        <v>0</v>
      </c>
    </row>
    <row r="305" spans="1:22" hidden="1">
      <c r="A305" s="246">
        <f>IF($A$29="","",$A$29)</f>
        <v>45200</v>
      </c>
      <c r="B305" s="243"/>
      <c r="C305" s="243"/>
      <c r="D305" s="243"/>
      <c r="E305" s="243"/>
      <c r="F305" s="243"/>
      <c r="G305" s="244">
        <f t="shared" si="97"/>
        <v>0</v>
      </c>
      <c r="H305" s="243"/>
      <c r="I305" s="243"/>
      <c r="J305" s="243"/>
      <c r="K305" s="243"/>
      <c r="L305" s="243"/>
      <c r="M305" s="243"/>
      <c r="N305" s="243"/>
      <c r="O305" s="243"/>
      <c r="P305" s="247">
        <f t="shared" si="96"/>
        <v>0</v>
      </c>
      <c r="Q305" s="253"/>
      <c r="R305" s="253"/>
      <c r="S305" s="253"/>
      <c r="T305" s="253"/>
      <c r="U305" s="245">
        <f t="shared" si="98"/>
        <v>0</v>
      </c>
      <c r="V305" s="245">
        <f t="shared" si="99"/>
        <v>0</v>
      </c>
    </row>
    <row r="306" spans="1:22" hidden="1">
      <c r="A306" s="246">
        <f>IF($A$30="","",$A$30)</f>
        <v>45231</v>
      </c>
      <c r="B306" s="243"/>
      <c r="C306" s="243"/>
      <c r="D306" s="243"/>
      <c r="E306" s="243"/>
      <c r="F306" s="243"/>
      <c r="G306" s="244">
        <f t="shared" si="97"/>
        <v>0</v>
      </c>
      <c r="H306" s="243"/>
      <c r="I306" s="243"/>
      <c r="J306" s="243"/>
      <c r="K306" s="243"/>
      <c r="L306" s="243"/>
      <c r="M306" s="243"/>
      <c r="N306" s="243"/>
      <c r="O306" s="243"/>
      <c r="P306" s="247">
        <f t="shared" si="96"/>
        <v>0</v>
      </c>
      <c r="Q306" s="253"/>
      <c r="R306" s="253"/>
      <c r="S306" s="253"/>
      <c r="T306" s="253"/>
      <c r="U306" s="245">
        <f t="shared" si="98"/>
        <v>0</v>
      </c>
      <c r="V306" s="245">
        <f t="shared" si="99"/>
        <v>0</v>
      </c>
    </row>
    <row r="307" spans="1:22" hidden="1">
      <c r="A307" s="246">
        <f>IF($A$31="","",$A$31)</f>
        <v>45261</v>
      </c>
      <c r="B307" s="243"/>
      <c r="C307" s="243"/>
      <c r="D307" s="243"/>
      <c r="E307" s="243"/>
      <c r="F307" s="243"/>
      <c r="G307" s="244">
        <f t="shared" si="97"/>
        <v>0</v>
      </c>
      <c r="H307" s="243"/>
      <c r="I307" s="243"/>
      <c r="J307" s="243"/>
      <c r="K307" s="243"/>
      <c r="L307" s="243"/>
      <c r="M307" s="243"/>
      <c r="N307" s="243"/>
      <c r="O307" s="243"/>
      <c r="P307" s="247">
        <f t="shared" si="96"/>
        <v>0</v>
      </c>
      <c r="Q307" s="253"/>
      <c r="R307" s="253"/>
      <c r="S307" s="253"/>
      <c r="T307" s="253"/>
      <c r="U307" s="245">
        <f t="shared" si="98"/>
        <v>0</v>
      </c>
      <c r="V307" s="245">
        <f t="shared" si="99"/>
        <v>0</v>
      </c>
    </row>
    <row r="308" spans="1:22" hidden="1">
      <c r="A308" s="246">
        <f>IF($A$32="","",$A$32)</f>
        <v>45292</v>
      </c>
      <c r="B308" s="243"/>
      <c r="C308" s="243"/>
      <c r="D308" s="243"/>
      <c r="E308" s="243"/>
      <c r="F308" s="243"/>
      <c r="G308" s="244">
        <f t="shared" si="97"/>
        <v>0</v>
      </c>
      <c r="H308" s="243"/>
      <c r="I308" s="243"/>
      <c r="J308" s="243"/>
      <c r="K308" s="243"/>
      <c r="L308" s="243"/>
      <c r="M308" s="243"/>
      <c r="N308" s="243"/>
      <c r="O308" s="243"/>
      <c r="P308" s="247">
        <f t="shared" si="96"/>
        <v>0</v>
      </c>
      <c r="Q308" s="253"/>
      <c r="R308" s="253"/>
      <c r="S308" s="253"/>
      <c r="T308" s="253"/>
      <c r="U308" s="245">
        <f t="shared" si="98"/>
        <v>0</v>
      </c>
      <c r="V308" s="245">
        <f t="shared" si="99"/>
        <v>0</v>
      </c>
    </row>
    <row r="309" spans="1:22" hidden="1">
      <c r="A309" s="246" t="str">
        <f>IF($A$33="","",$A$33)</f>
        <v/>
      </c>
      <c r="B309" s="243"/>
      <c r="C309" s="243"/>
      <c r="D309" s="243"/>
      <c r="E309" s="243"/>
      <c r="F309" s="243"/>
      <c r="G309" s="244">
        <f t="shared" si="97"/>
        <v>0</v>
      </c>
      <c r="H309" s="243"/>
      <c r="I309" s="243"/>
      <c r="J309" s="243"/>
      <c r="K309" s="243"/>
      <c r="L309" s="243"/>
      <c r="M309" s="243"/>
      <c r="N309" s="243"/>
      <c r="O309" s="243"/>
      <c r="P309" s="247">
        <f t="shared" si="96"/>
        <v>0</v>
      </c>
      <c r="Q309" s="253"/>
      <c r="R309" s="253"/>
      <c r="S309" s="253"/>
      <c r="T309" s="253"/>
      <c r="U309" s="245">
        <f t="shared" si="98"/>
        <v>0</v>
      </c>
      <c r="V309" s="245">
        <f t="shared" si="99"/>
        <v>0</v>
      </c>
    </row>
    <row r="310" spans="1:22" hidden="1">
      <c r="A310" s="246" t="str">
        <f>IF($A$34="","",$A$34)</f>
        <v/>
      </c>
      <c r="B310" s="243"/>
      <c r="C310" s="243"/>
      <c r="D310" s="243"/>
      <c r="E310" s="243"/>
      <c r="F310" s="243"/>
      <c r="G310" s="244">
        <f t="shared" si="97"/>
        <v>0</v>
      </c>
      <c r="H310" s="243"/>
      <c r="I310" s="243"/>
      <c r="J310" s="243"/>
      <c r="K310" s="243"/>
      <c r="L310" s="243"/>
      <c r="M310" s="243"/>
      <c r="N310" s="243"/>
      <c r="O310" s="243"/>
      <c r="P310" s="247">
        <f t="shared" si="96"/>
        <v>0</v>
      </c>
      <c r="Q310" s="253"/>
      <c r="R310" s="253"/>
      <c r="S310" s="253"/>
      <c r="T310" s="253"/>
      <c r="U310" s="245">
        <f t="shared" si="98"/>
        <v>0</v>
      </c>
      <c r="V310" s="245">
        <f t="shared" si="99"/>
        <v>0</v>
      </c>
    </row>
    <row r="311" spans="1:22" hidden="1">
      <c r="A311" s="246" t="str">
        <f>IF($A$35="","",$A$35)</f>
        <v/>
      </c>
      <c r="B311" s="243"/>
      <c r="C311" s="243"/>
      <c r="D311" s="243"/>
      <c r="E311" s="243"/>
      <c r="F311" s="243"/>
      <c r="G311" s="244">
        <f t="shared" si="97"/>
        <v>0</v>
      </c>
      <c r="H311" s="243"/>
      <c r="I311" s="243"/>
      <c r="J311" s="243"/>
      <c r="K311" s="243"/>
      <c r="L311" s="243"/>
      <c r="M311" s="243"/>
      <c r="N311" s="243"/>
      <c r="O311" s="243"/>
      <c r="P311" s="247">
        <f t="shared" si="96"/>
        <v>0</v>
      </c>
      <c r="Q311" s="253"/>
      <c r="R311" s="253"/>
      <c r="S311" s="253"/>
      <c r="T311" s="253"/>
      <c r="U311" s="245">
        <f t="shared" si="98"/>
        <v>0</v>
      </c>
      <c r="V311" s="245">
        <f t="shared" si="99"/>
        <v>0</v>
      </c>
    </row>
    <row r="312" spans="1:22" hidden="1">
      <c r="A312" s="246" t="str">
        <f>IF($A$36="","",$A$36)</f>
        <v/>
      </c>
      <c r="B312" s="243"/>
      <c r="C312" s="243"/>
      <c r="D312" s="243"/>
      <c r="E312" s="243"/>
      <c r="F312" s="243"/>
      <c r="G312" s="244">
        <f t="shared" si="97"/>
        <v>0</v>
      </c>
      <c r="H312" s="243"/>
      <c r="I312" s="243"/>
      <c r="J312" s="243"/>
      <c r="K312" s="243"/>
      <c r="L312" s="243"/>
      <c r="M312" s="243"/>
      <c r="N312" s="243"/>
      <c r="O312" s="243"/>
      <c r="P312" s="247">
        <f t="shared" si="96"/>
        <v>0</v>
      </c>
      <c r="Q312" s="253"/>
      <c r="R312" s="253"/>
      <c r="S312" s="253"/>
      <c r="T312" s="253"/>
      <c r="U312" s="245">
        <f t="shared" si="98"/>
        <v>0</v>
      </c>
      <c r="V312" s="245">
        <f t="shared" si="99"/>
        <v>0</v>
      </c>
    </row>
    <row r="313" spans="1:22" hidden="1">
      <c r="A313" s="246" t="str">
        <f>IF($A$37="","",$A$37)</f>
        <v/>
      </c>
      <c r="B313" s="243"/>
      <c r="C313" s="243"/>
      <c r="D313" s="243"/>
      <c r="E313" s="243"/>
      <c r="F313" s="243"/>
      <c r="G313" s="244">
        <f t="shared" si="97"/>
        <v>0</v>
      </c>
      <c r="H313" s="243"/>
      <c r="I313" s="243"/>
      <c r="J313" s="243"/>
      <c r="K313" s="243"/>
      <c r="L313" s="243"/>
      <c r="M313" s="243"/>
      <c r="N313" s="243"/>
      <c r="O313" s="243"/>
      <c r="P313" s="247">
        <f t="shared" si="96"/>
        <v>0</v>
      </c>
      <c r="Q313" s="253"/>
      <c r="R313" s="253"/>
      <c r="S313" s="253"/>
      <c r="T313" s="253"/>
      <c r="U313" s="245">
        <f t="shared" si="98"/>
        <v>0</v>
      </c>
      <c r="V313" s="245">
        <f t="shared" si="99"/>
        <v>0</v>
      </c>
    </row>
    <row r="314" spans="1:22" hidden="1">
      <c r="A314" s="246" t="str">
        <f>IF($A$38="","",$A$38)</f>
        <v/>
      </c>
      <c r="B314" s="243"/>
      <c r="C314" s="243"/>
      <c r="D314" s="243"/>
      <c r="E314" s="243"/>
      <c r="F314" s="243"/>
      <c r="G314" s="244">
        <f t="shared" si="97"/>
        <v>0</v>
      </c>
      <c r="H314" s="243"/>
      <c r="I314" s="243"/>
      <c r="J314" s="243"/>
      <c r="K314" s="243"/>
      <c r="L314" s="243"/>
      <c r="M314" s="243"/>
      <c r="N314" s="243"/>
      <c r="O314" s="243"/>
      <c r="P314" s="247">
        <f t="shared" si="96"/>
        <v>0</v>
      </c>
      <c r="Q314" s="253"/>
      <c r="R314" s="253"/>
      <c r="S314" s="253"/>
      <c r="T314" s="253"/>
      <c r="U314" s="245">
        <f t="shared" si="98"/>
        <v>0</v>
      </c>
      <c r="V314" s="245">
        <f t="shared" si="99"/>
        <v>0</v>
      </c>
    </row>
    <row r="315" spans="1:22" hidden="1">
      <c r="A315" s="237" t="s">
        <v>522</v>
      </c>
      <c r="B315" s="245">
        <f t="shared" ref="B315:I315" si="100">+SUM(B303:B314)</f>
        <v>0</v>
      </c>
      <c r="C315" s="245">
        <f t="shared" si="100"/>
        <v>0</v>
      </c>
      <c r="D315" s="245">
        <f t="shared" si="100"/>
        <v>0</v>
      </c>
      <c r="E315" s="245">
        <f t="shared" si="100"/>
        <v>0</v>
      </c>
      <c r="F315" s="245">
        <f t="shared" si="100"/>
        <v>0</v>
      </c>
      <c r="G315" s="245">
        <f t="shared" si="100"/>
        <v>0</v>
      </c>
      <c r="H315" s="245">
        <f t="shared" si="100"/>
        <v>0</v>
      </c>
      <c r="I315" s="245">
        <f t="shared" si="100"/>
        <v>0</v>
      </c>
      <c r="J315" s="245">
        <f t="shared" ref="J315:O315" si="101">+SUM(J303:J314)</f>
        <v>0</v>
      </c>
      <c r="K315" s="245">
        <f t="shared" si="101"/>
        <v>0</v>
      </c>
      <c r="L315" s="245">
        <f t="shared" si="101"/>
        <v>0</v>
      </c>
      <c r="M315" s="245">
        <f t="shared" si="101"/>
        <v>0</v>
      </c>
      <c r="N315" s="245">
        <f t="shared" si="101"/>
        <v>0</v>
      </c>
      <c r="O315" s="245">
        <f t="shared" si="101"/>
        <v>0</v>
      </c>
      <c r="P315" s="245">
        <f t="shared" ref="P315:V315" si="102">+SUM(P303:P314)</f>
        <v>0</v>
      </c>
      <c r="Q315" s="245">
        <f t="shared" si="102"/>
        <v>0</v>
      </c>
      <c r="R315" s="245">
        <f t="shared" si="102"/>
        <v>0</v>
      </c>
      <c r="S315" s="245">
        <f t="shared" si="102"/>
        <v>0</v>
      </c>
      <c r="T315" s="245">
        <f t="shared" si="102"/>
        <v>0</v>
      </c>
      <c r="U315" s="245">
        <f t="shared" si="102"/>
        <v>0</v>
      </c>
      <c r="V315" s="245">
        <f t="shared" si="102"/>
        <v>0</v>
      </c>
    </row>
    <row r="316" spans="1:22" hidden="1">
      <c r="A316" s="237" t="s">
        <v>523</v>
      </c>
      <c r="B316" s="245">
        <f>IFERROR(B315/(COUNTA(A303:A314)-COUNTIF(A303:A314,"")),0)</f>
        <v>0</v>
      </c>
      <c r="C316" s="245">
        <f>IFERROR(C315/(COUNTA(A303:A314)-COUNTIF(A303:A314,"")),0)</f>
        <v>0</v>
      </c>
      <c r="D316" s="245">
        <f>IFERROR(D315/(COUNTA(A303:A314)-COUNTIF(A303:A314,"")),0)</f>
        <v>0</v>
      </c>
      <c r="E316" s="245">
        <f>IFERROR(E315/(COUNTA(A303:A314)-COUNTIF(A303:A314,"")),0)</f>
        <v>0</v>
      </c>
      <c r="F316" s="245">
        <f>IFERROR(F315/(COUNTA(A303:A314)-COUNTIF(A303:A314,"")),0)</f>
        <v>0</v>
      </c>
      <c r="G316" s="245">
        <f>IFERROR(G315/(COUNTA(A303:A314)-COUNTIF(A303:A314,"")),0)</f>
        <v>0</v>
      </c>
      <c r="H316" s="245">
        <f>IFERROR(H315/(COUNTA(A303:A314)-COUNTIF(A303:A314,"")),0)</f>
        <v>0</v>
      </c>
      <c r="I316" s="245">
        <f>IFERROR(I315/(COUNTA(A303:A314)-COUNTIF(A303:A314,"")),0)</f>
        <v>0</v>
      </c>
      <c r="J316" s="245">
        <f>IFERROR(J315/(COUNTA(A303:A314)-COUNTIF(A303:A314,"")),0)</f>
        <v>0</v>
      </c>
      <c r="K316" s="245">
        <f>IFERROR(K315/(COUNTA(A303:A314)-COUNTIF(A303:A314,"")),0)</f>
        <v>0</v>
      </c>
      <c r="L316" s="245">
        <f>IFERROR(L315/(COUNTA(A303:A314)-COUNTIF(A303:A314,"")),0)</f>
        <v>0</v>
      </c>
      <c r="M316" s="245">
        <f>IFERROR(M315/(COUNTA(A303:A314)-COUNTIF(A303:A314,"")),0)</f>
        <v>0</v>
      </c>
      <c r="N316" s="245">
        <f>IFERROR(N315/(COUNTA(A303:A314)-COUNTIF(A303:A314,"")),0)</f>
        <v>0</v>
      </c>
      <c r="O316" s="245">
        <f>IFERROR(O315/(COUNTA(A303:A314)-COUNTIF(A303:A314,"")),0)</f>
        <v>0</v>
      </c>
      <c r="P316" s="245">
        <f>IFERROR(P315/(COUNTA(A303:A314)-COUNTIF(A303:A314,"")),0)</f>
        <v>0</v>
      </c>
      <c r="Q316" s="250"/>
      <c r="R316" s="250"/>
      <c r="S316" s="238">
        <f>IFERROR(R315/S315*100,0)</f>
        <v>0</v>
      </c>
      <c r="T316" s="238">
        <f>IFERROR(Q315/T315*100,0)</f>
        <v>0</v>
      </c>
      <c r="U316" s="245">
        <f>IFERROR(U315/COUNTA(A303:A314),0)</f>
        <v>0</v>
      </c>
      <c r="V316" s="245">
        <f>IFERROR(V315/COUNTA(A303:A314),0)</f>
        <v>0</v>
      </c>
    </row>
    <row r="317" spans="1:22" ht="38.25" hidden="1">
      <c r="A317" s="237" t="s">
        <v>524</v>
      </c>
      <c r="B317" s="245">
        <f>O300+B316</f>
        <v>0</v>
      </c>
      <c r="C317" s="245">
        <f>O300+C316</f>
        <v>0</v>
      </c>
      <c r="D317" s="245">
        <f>O300+D316</f>
        <v>0</v>
      </c>
      <c r="E317" s="245"/>
      <c r="F317" s="245"/>
      <c r="G317" s="245">
        <f>O300+G316</f>
        <v>0</v>
      </c>
      <c r="H317" s="245"/>
      <c r="I317" s="245"/>
      <c r="J317" s="245"/>
      <c r="K317" s="245"/>
      <c r="L317" s="245"/>
      <c r="M317" s="245"/>
      <c r="N317" s="245"/>
      <c r="O317" s="245"/>
      <c r="P317" s="245"/>
      <c r="Q317" s="250"/>
      <c r="R317" s="250"/>
      <c r="S317" s="251" t="s">
        <v>525</v>
      </c>
      <c r="T317" s="251" t="s">
        <v>526</v>
      </c>
      <c r="U317" s="251"/>
      <c r="V317" s="251"/>
    </row>
    <row r="321" spans="1:22" ht="12.75" hidden="1" customHeight="1">
      <c r="A321" s="413" t="s">
        <v>502</v>
      </c>
      <c r="B321" s="413"/>
      <c r="C321" s="418"/>
      <c r="D321" s="419"/>
      <c r="E321" s="419"/>
      <c r="F321" s="419"/>
      <c r="G321" s="419"/>
      <c r="H321" s="419"/>
      <c r="I321" s="419"/>
      <c r="J321" s="419"/>
      <c r="K321" s="419"/>
      <c r="L321" s="419"/>
      <c r="M321" s="419"/>
      <c r="N321" s="419"/>
      <c r="O321" s="419"/>
      <c r="P321" s="419"/>
      <c r="Q321" s="419"/>
      <c r="R321" s="419"/>
      <c r="S321" s="419"/>
      <c r="T321" s="420"/>
      <c r="U321" s="239"/>
      <c r="V321" s="239"/>
    </row>
    <row r="322" spans="1:22" ht="12.75" hidden="1" customHeight="1">
      <c r="A322" s="413" t="s">
        <v>527</v>
      </c>
      <c r="B322" s="413"/>
      <c r="C322" s="421"/>
      <c r="D322" s="421"/>
      <c r="E322" s="421"/>
      <c r="F322" s="421"/>
      <c r="G322" s="421"/>
      <c r="H322" s="422" t="s">
        <v>528</v>
      </c>
      <c r="I322" s="422"/>
      <c r="J322" s="421"/>
      <c r="K322" s="421"/>
      <c r="L322" s="421"/>
      <c r="M322" s="421"/>
      <c r="N322" s="421"/>
      <c r="O322" s="421"/>
      <c r="P322" s="421"/>
      <c r="Q322" s="421"/>
      <c r="R322" s="421"/>
      <c r="S322" s="421"/>
      <c r="T322" s="421"/>
      <c r="U322" s="239"/>
      <c r="V322" s="239"/>
    </row>
    <row r="323" spans="1:22" ht="25.5" hidden="1" customHeight="1">
      <c r="A323" s="413" t="s">
        <v>529</v>
      </c>
      <c r="B323" s="413"/>
      <c r="C323" s="418"/>
      <c r="D323" s="420"/>
      <c r="E323" s="241" t="s">
        <v>530</v>
      </c>
      <c r="F323" s="423"/>
      <c r="G323" s="424"/>
      <c r="H323" s="424"/>
      <c r="I323" s="425"/>
      <c r="J323" s="241" t="s">
        <v>531</v>
      </c>
      <c r="K323" s="423"/>
      <c r="L323" s="424"/>
      <c r="M323" s="425"/>
      <c r="N323" s="240" t="s">
        <v>532</v>
      </c>
      <c r="O323" s="426"/>
      <c r="P323" s="427"/>
      <c r="Q323" s="427"/>
      <c r="R323" s="427"/>
      <c r="S323" s="427"/>
      <c r="T323" s="428"/>
      <c r="U323" s="252"/>
      <c r="V323" s="252"/>
    </row>
    <row r="324" spans="1:22" ht="38.25" hidden="1" customHeight="1">
      <c r="A324" s="231" t="s">
        <v>163</v>
      </c>
      <c r="B324" s="415" t="s">
        <v>533</v>
      </c>
      <c r="C324" s="415"/>
      <c r="D324" s="415"/>
      <c r="E324" s="232" t="s">
        <v>534</v>
      </c>
      <c r="F324" s="232" t="s">
        <v>535</v>
      </c>
      <c r="G324" s="231" t="s">
        <v>536</v>
      </c>
      <c r="H324" s="231" t="s">
        <v>537</v>
      </c>
      <c r="I324" s="231" t="s">
        <v>538</v>
      </c>
      <c r="J324" s="232" t="s">
        <v>539</v>
      </c>
      <c r="K324" s="232" t="s">
        <v>540</v>
      </c>
      <c r="L324" s="416" t="s">
        <v>541</v>
      </c>
      <c r="M324" s="417"/>
      <c r="N324" s="416" t="s">
        <v>542</v>
      </c>
      <c r="O324" s="417"/>
      <c r="P324" s="231" t="s">
        <v>543</v>
      </c>
      <c r="Q324" s="231" t="s">
        <v>514</v>
      </c>
      <c r="R324" s="231" t="s">
        <v>515</v>
      </c>
      <c r="S324" s="231" t="s">
        <v>516</v>
      </c>
      <c r="T324" s="231" t="s">
        <v>517</v>
      </c>
      <c r="U324" s="231" t="s">
        <v>544</v>
      </c>
      <c r="V324" s="231" t="s">
        <v>545</v>
      </c>
    </row>
    <row r="325" spans="1:22" hidden="1">
      <c r="A325" s="231"/>
      <c r="B325" s="231">
        <v>10</v>
      </c>
      <c r="C325" s="231">
        <v>20</v>
      </c>
      <c r="D325" s="231">
        <v>30</v>
      </c>
      <c r="E325" s="231"/>
      <c r="F325" s="231"/>
      <c r="G325" s="231"/>
      <c r="H325" s="231"/>
      <c r="I325" s="231"/>
      <c r="J325" s="231"/>
      <c r="K325" s="231"/>
      <c r="L325" s="231" t="s">
        <v>520</v>
      </c>
      <c r="M325" s="231" t="s">
        <v>521</v>
      </c>
      <c r="N325" s="231" t="s">
        <v>520</v>
      </c>
      <c r="O325" s="231" t="s">
        <v>521</v>
      </c>
      <c r="P325" s="231"/>
      <c r="Q325" s="231"/>
      <c r="R325" s="231"/>
      <c r="S325" s="231"/>
      <c r="T325" s="231"/>
      <c r="U325" s="231"/>
      <c r="V325" s="231"/>
    </row>
    <row r="326" spans="1:22" hidden="1">
      <c r="A326" s="246">
        <f>IF($A$27="","",$A$27)</f>
        <v>45139</v>
      </c>
      <c r="B326" s="243"/>
      <c r="C326" s="243"/>
      <c r="D326" s="243"/>
      <c r="E326" s="243"/>
      <c r="F326" s="243"/>
      <c r="G326" s="244">
        <f>IFERROR(AVERAGE(B326:D326),0)</f>
        <v>0</v>
      </c>
      <c r="H326" s="243"/>
      <c r="I326" s="243"/>
      <c r="J326" s="243"/>
      <c r="K326" s="243"/>
      <c r="L326" s="243"/>
      <c r="M326" s="243"/>
      <c r="N326" s="243"/>
      <c r="O326" s="243"/>
      <c r="P326" s="247">
        <f t="shared" ref="P326:P337" si="103">+H326-I326-J326-M326+L326</f>
        <v>0</v>
      </c>
      <c r="Q326" s="253"/>
      <c r="R326" s="253"/>
      <c r="S326" s="253"/>
      <c r="T326" s="253"/>
      <c r="U326" s="245">
        <f>H326-J326-M326</f>
        <v>0</v>
      </c>
      <c r="V326" s="245">
        <f>I326-L326</f>
        <v>0</v>
      </c>
    </row>
    <row r="327" spans="1:22" hidden="1">
      <c r="A327" s="246">
        <f>IF($A$28="","",$A$28)</f>
        <v>45170</v>
      </c>
      <c r="B327" s="243"/>
      <c r="C327" s="243"/>
      <c r="D327" s="243"/>
      <c r="E327" s="243"/>
      <c r="F327" s="243"/>
      <c r="G327" s="244">
        <f t="shared" ref="G327:G337" si="104">IFERROR(AVERAGE(B327:D327),0)</f>
        <v>0</v>
      </c>
      <c r="H327" s="243"/>
      <c r="I327" s="243"/>
      <c r="J327" s="243"/>
      <c r="K327" s="243"/>
      <c r="L327" s="243"/>
      <c r="M327" s="243"/>
      <c r="N327" s="243"/>
      <c r="O327" s="243"/>
      <c r="P327" s="247">
        <f t="shared" si="103"/>
        <v>0</v>
      </c>
      <c r="Q327" s="253"/>
      <c r="R327" s="253"/>
      <c r="S327" s="253"/>
      <c r="T327" s="253"/>
      <c r="U327" s="245">
        <f t="shared" ref="U327:U337" si="105">H327-J327-M327</f>
        <v>0</v>
      </c>
      <c r="V327" s="245">
        <f t="shared" ref="V327:V337" si="106">I327-L327</f>
        <v>0</v>
      </c>
    </row>
    <row r="328" spans="1:22" hidden="1">
      <c r="A328" s="246">
        <f>IF($A$29="","",$A$29)</f>
        <v>45200</v>
      </c>
      <c r="B328" s="243"/>
      <c r="C328" s="243"/>
      <c r="D328" s="243"/>
      <c r="E328" s="243"/>
      <c r="F328" s="243"/>
      <c r="G328" s="244">
        <f t="shared" si="104"/>
        <v>0</v>
      </c>
      <c r="H328" s="243"/>
      <c r="I328" s="243"/>
      <c r="J328" s="243"/>
      <c r="K328" s="243"/>
      <c r="L328" s="243"/>
      <c r="M328" s="243"/>
      <c r="N328" s="243"/>
      <c r="O328" s="243"/>
      <c r="P328" s="247">
        <f t="shared" si="103"/>
        <v>0</v>
      </c>
      <c r="Q328" s="253"/>
      <c r="R328" s="253"/>
      <c r="S328" s="253"/>
      <c r="T328" s="253"/>
      <c r="U328" s="245">
        <f t="shared" si="105"/>
        <v>0</v>
      </c>
      <c r="V328" s="245">
        <f t="shared" si="106"/>
        <v>0</v>
      </c>
    </row>
    <row r="329" spans="1:22" hidden="1">
      <c r="A329" s="246">
        <f>IF($A$30="","",$A$30)</f>
        <v>45231</v>
      </c>
      <c r="B329" s="243"/>
      <c r="C329" s="243"/>
      <c r="D329" s="243"/>
      <c r="E329" s="243"/>
      <c r="F329" s="243"/>
      <c r="G329" s="244">
        <f t="shared" si="104"/>
        <v>0</v>
      </c>
      <c r="H329" s="243"/>
      <c r="I329" s="243"/>
      <c r="J329" s="243"/>
      <c r="K329" s="243"/>
      <c r="L329" s="243"/>
      <c r="M329" s="243"/>
      <c r="N329" s="243"/>
      <c r="O329" s="243"/>
      <c r="P329" s="247">
        <f t="shared" si="103"/>
        <v>0</v>
      </c>
      <c r="Q329" s="253"/>
      <c r="R329" s="253"/>
      <c r="S329" s="253"/>
      <c r="T329" s="253"/>
      <c r="U329" s="245">
        <f t="shared" si="105"/>
        <v>0</v>
      </c>
      <c r="V329" s="245">
        <f t="shared" si="106"/>
        <v>0</v>
      </c>
    </row>
    <row r="330" spans="1:22" hidden="1">
      <c r="A330" s="246">
        <f>IF($A$31="","",$A$31)</f>
        <v>45261</v>
      </c>
      <c r="B330" s="243"/>
      <c r="C330" s="243"/>
      <c r="D330" s="243"/>
      <c r="E330" s="243"/>
      <c r="F330" s="243"/>
      <c r="G330" s="244">
        <f t="shared" si="104"/>
        <v>0</v>
      </c>
      <c r="H330" s="243"/>
      <c r="I330" s="243"/>
      <c r="J330" s="243"/>
      <c r="K330" s="243"/>
      <c r="L330" s="243"/>
      <c r="M330" s="243"/>
      <c r="N330" s="243"/>
      <c r="O330" s="243"/>
      <c r="P330" s="247">
        <f t="shared" si="103"/>
        <v>0</v>
      </c>
      <c r="Q330" s="253"/>
      <c r="R330" s="253"/>
      <c r="S330" s="253"/>
      <c r="T330" s="253"/>
      <c r="U330" s="245">
        <f t="shared" si="105"/>
        <v>0</v>
      </c>
      <c r="V330" s="245">
        <f t="shared" si="106"/>
        <v>0</v>
      </c>
    </row>
    <row r="331" spans="1:22" hidden="1">
      <c r="A331" s="246">
        <f>IF($A$32="","",$A$32)</f>
        <v>45292</v>
      </c>
      <c r="B331" s="243"/>
      <c r="C331" s="243"/>
      <c r="D331" s="243"/>
      <c r="E331" s="243"/>
      <c r="F331" s="243"/>
      <c r="G331" s="244">
        <f t="shared" si="104"/>
        <v>0</v>
      </c>
      <c r="H331" s="243"/>
      <c r="I331" s="243"/>
      <c r="J331" s="243"/>
      <c r="K331" s="243"/>
      <c r="L331" s="243"/>
      <c r="M331" s="243"/>
      <c r="N331" s="243"/>
      <c r="O331" s="243"/>
      <c r="P331" s="247">
        <f t="shared" si="103"/>
        <v>0</v>
      </c>
      <c r="Q331" s="253"/>
      <c r="R331" s="253"/>
      <c r="S331" s="253"/>
      <c r="T331" s="253"/>
      <c r="U331" s="245">
        <f t="shared" si="105"/>
        <v>0</v>
      </c>
      <c r="V331" s="245">
        <f t="shared" si="106"/>
        <v>0</v>
      </c>
    </row>
    <row r="332" spans="1:22" hidden="1">
      <c r="A332" s="246" t="str">
        <f>IF($A$33="","",$A$33)</f>
        <v/>
      </c>
      <c r="B332" s="243"/>
      <c r="C332" s="243"/>
      <c r="D332" s="243"/>
      <c r="E332" s="243"/>
      <c r="F332" s="243"/>
      <c r="G332" s="244">
        <f t="shared" si="104"/>
        <v>0</v>
      </c>
      <c r="H332" s="243"/>
      <c r="I332" s="243"/>
      <c r="J332" s="243"/>
      <c r="K332" s="243"/>
      <c r="L332" s="243"/>
      <c r="M332" s="243"/>
      <c r="N332" s="243"/>
      <c r="O332" s="243"/>
      <c r="P332" s="247">
        <f t="shared" si="103"/>
        <v>0</v>
      </c>
      <c r="Q332" s="253"/>
      <c r="R332" s="253"/>
      <c r="S332" s="253"/>
      <c r="T332" s="253"/>
      <c r="U332" s="245">
        <f t="shared" si="105"/>
        <v>0</v>
      </c>
      <c r="V332" s="245">
        <f t="shared" si="106"/>
        <v>0</v>
      </c>
    </row>
    <row r="333" spans="1:22" hidden="1">
      <c r="A333" s="246" t="str">
        <f>IF($A$34="","",$A$34)</f>
        <v/>
      </c>
      <c r="B333" s="243"/>
      <c r="C333" s="243"/>
      <c r="D333" s="243"/>
      <c r="E333" s="243"/>
      <c r="F333" s="243"/>
      <c r="G333" s="244">
        <f t="shared" si="104"/>
        <v>0</v>
      </c>
      <c r="H333" s="243"/>
      <c r="I333" s="243"/>
      <c r="J333" s="243"/>
      <c r="K333" s="243"/>
      <c r="L333" s="243"/>
      <c r="M333" s="243"/>
      <c r="N333" s="243"/>
      <c r="O333" s="243"/>
      <c r="P333" s="247">
        <f t="shared" si="103"/>
        <v>0</v>
      </c>
      <c r="Q333" s="253"/>
      <c r="R333" s="253"/>
      <c r="S333" s="253"/>
      <c r="T333" s="253"/>
      <c r="U333" s="245">
        <f t="shared" si="105"/>
        <v>0</v>
      </c>
      <c r="V333" s="245">
        <f t="shared" si="106"/>
        <v>0</v>
      </c>
    </row>
    <row r="334" spans="1:22" hidden="1">
      <c r="A334" s="246" t="str">
        <f>IF($A$35="","",$A$35)</f>
        <v/>
      </c>
      <c r="B334" s="243"/>
      <c r="C334" s="243"/>
      <c r="D334" s="243"/>
      <c r="E334" s="243"/>
      <c r="F334" s="243"/>
      <c r="G334" s="244">
        <f t="shared" si="104"/>
        <v>0</v>
      </c>
      <c r="H334" s="243"/>
      <c r="I334" s="243"/>
      <c r="J334" s="243"/>
      <c r="K334" s="243"/>
      <c r="L334" s="243"/>
      <c r="M334" s="243"/>
      <c r="N334" s="243"/>
      <c r="O334" s="243"/>
      <c r="P334" s="247">
        <f t="shared" si="103"/>
        <v>0</v>
      </c>
      <c r="Q334" s="253"/>
      <c r="R334" s="253"/>
      <c r="S334" s="253"/>
      <c r="T334" s="253"/>
      <c r="U334" s="245">
        <f t="shared" si="105"/>
        <v>0</v>
      </c>
      <c r="V334" s="245">
        <f t="shared" si="106"/>
        <v>0</v>
      </c>
    </row>
    <row r="335" spans="1:22" hidden="1">
      <c r="A335" s="246" t="str">
        <f>IF($A$36="","",$A$36)</f>
        <v/>
      </c>
      <c r="B335" s="243"/>
      <c r="C335" s="243"/>
      <c r="D335" s="243"/>
      <c r="E335" s="243"/>
      <c r="F335" s="243"/>
      <c r="G335" s="244">
        <f t="shared" si="104"/>
        <v>0</v>
      </c>
      <c r="H335" s="243"/>
      <c r="I335" s="243"/>
      <c r="J335" s="243"/>
      <c r="K335" s="243"/>
      <c r="L335" s="243"/>
      <c r="M335" s="243"/>
      <c r="N335" s="243"/>
      <c r="O335" s="243"/>
      <c r="P335" s="247">
        <f t="shared" si="103"/>
        <v>0</v>
      </c>
      <c r="Q335" s="253"/>
      <c r="R335" s="253"/>
      <c r="S335" s="253"/>
      <c r="T335" s="253"/>
      <c r="U335" s="245">
        <f t="shared" si="105"/>
        <v>0</v>
      </c>
      <c r="V335" s="245">
        <f t="shared" si="106"/>
        <v>0</v>
      </c>
    </row>
    <row r="336" spans="1:22" hidden="1">
      <c r="A336" s="246" t="str">
        <f>IF($A$37="","",$A$37)</f>
        <v/>
      </c>
      <c r="B336" s="243"/>
      <c r="C336" s="243"/>
      <c r="D336" s="243"/>
      <c r="E336" s="243"/>
      <c r="F336" s="243"/>
      <c r="G336" s="244">
        <f t="shared" si="104"/>
        <v>0</v>
      </c>
      <c r="H336" s="243"/>
      <c r="I336" s="243"/>
      <c r="J336" s="243"/>
      <c r="K336" s="243"/>
      <c r="L336" s="243"/>
      <c r="M336" s="243"/>
      <c r="N336" s="243"/>
      <c r="O336" s="243"/>
      <c r="P336" s="247">
        <f t="shared" si="103"/>
        <v>0</v>
      </c>
      <c r="Q336" s="253"/>
      <c r="R336" s="253"/>
      <c r="S336" s="253"/>
      <c r="T336" s="253"/>
      <c r="U336" s="245">
        <f t="shared" si="105"/>
        <v>0</v>
      </c>
      <c r="V336" s="245">
        <f t="shared" si="106"/>
        <v>0</v>
      </c>
    </row>
    <row r="337" spans="1:22" hidden="1">
      <c r="A337" s="246" t="str">
        <f>IF($A$38="","",$A$38)</f>
        <v/>
      </c>
      <c r="B337" s="243"/>
      <c r="C337" s="243"/>
      <c r="D337" s="243"/>
      <c r="E337" s="243"/>
      <c r="F337" s="243"/>
      <c r="G337" s="244">
        <f t="shared" si="104"/>
        <v>0</v>
      </c>
      <c r="H337" s="243"/>
      <c r="I337" s="243"/>
      <c r="J337" s="243"/>
      <c r="K337" s="243"/>
      <c r="L337" s="243"/>
      <c r="M337" s="243"/>
      <c r="N337" s="243"/>
      <c r="O337" s="243"/>
      <c r="P337" s="247">
        <f t="shared" si="103"/>
        <v>0</v>
      </c>
      <c r="Q337" s="253"/>
      <c r="R337" s="253"/>
      <c r="S337" s="253"/>
      <c r="T337" s="253"/>
      <c r="U337" s="245">
        <f t="shared" si="105"/>
        <v>0</v>
      </c>
      <c r="V337" s="245">
        <f t="shared" si="106"/>
        <v>0</v>
      </c>
    </row>
    <row r="338" spans="1:22" hidden="1">
      <c r="A338" s="237" t="s">
        <v>522</v>
      </c>
      <c r="B338" s="245">
        <f t="shared" ref="B338:I338" si="107">+SUM(B326:B337)</f>
        <v>0</v>
      </c>
      <c r="C338" s="245">
        <f t="shared" si="107"/>
        <v>0</v>
      </c>
      <c r="D338" s="245">
        <f t="shared" si="107"/>
        <v>0</v>
      </c>
      <c r="E338" s="245">
        <f t="shared" si="107"/>
        <v>0</v>
      </c>
      <c r="F338" s="245">
        <f t="shared" si="107"/>
        <v>0</v>
      </c>
      <c r="G338" s="245">
        <f t="shared" si="107"/>
        <v>0</v>
      </c>
      <c r="H338" s="245">
        <f t="shared" si="107"/>
        <v>0</v>
      </c>
      <c r="I338" s="245">
        <f t="shared" si="107"/>
        <v>0</v>
      </c>
      <c r="J338" s="245">
        <f t="shared" ref="J338:O338" si="108">+SUM(J326:J337)</f>
        <v>0</v>
      </c>
      <c r="K338" s="245">
        <f t="shared" si="108"/>
        <v>0</v>
      </c>
      <c r="L338" s="245">
        <f t="shared" si="108"/>
        <v>0</v>
      </c>
      <c r="M338" s="245">
        <f t="shared" si="108"/>
        <v>0</v>
      </c>
      <c r="N338" s="245">
        <f t="shared" si="108"/>
        <v>0</v>
      </c>
      <c r="O338" s="245">
        <f t="shared" si="108"/>
        <v>0</v>
      </c>
      <c r="P338" s="245">
        <f t="shared" ref="P338:V338" si="109">+SUM(P326:P337)</f>
        <v>0</v>
      </c>
      <c r="Q338" s="245">
        <f t="shared" si="109"/>
        <v>0</v>
      </c>
      <c r="R338" s="245">
        <f t="shared" si="109"/>
        <v>0</v>
      </c>
      <c r="S338" s="245">
        <f t="shared" si="109"/>
        <v>0</v>
      </c>
      <c r="T338" s="245">
        <f t="shared" si="109"/>
        <v>0</v>
      </c>
      <c r="U338" s="245">
        <f t="shared" si="109"/>
        <v>0</v>
      </c>
      <c r="V338" s="245">
        <f t="shared" si="109"/>
        <v>0</v>
      </c>
    </row>
    <row r="339" spans="1:22" hidden="1">
      <c r="A339" s="237" t="s">
        <v>523</v>
      </c>
      <c r="B339" s="245">
        <f>IFERROR(B338/(COUNTA(A326:A337)-COUNTIF(A326:A337,"")),0)</f>
        <v>0</v>
      </c>
      <c r="C339" s="245">
        <f>IFERROR(C338/(COUNTA(A326:A337)-COUNTIF(A326:A337,"")),0)</f>
        <v>0</v>
      </c>
      <c r="D339" s="245">
        <f>IFERROR(D338/(COUNTA(A326:A337)-COUNTIF(A326:A337,"")),0)</f>
        <v>0</v>
      </c>
      <c r="E339" s="245">
        <f>IFERROR(E338/(COUNTA(A326:A337)-COUNTIF(A326:A337,"")),0)</f>
        <v>0</v>
      </c>
      <c r="F339" s="245">
        <f>IFERROR(F338/(COUNTA(A326:A337)-COUNTIF(A326:A337,"")),0)</f>
        <v>0</v>
      </c>
      <c r="G339" s="245">
        <f>IFERROR(G338/(COUNTA(A326:A337)-COUNTIF(A326:A337,"")),0)</f>
        <v>0</v>
      </c>
      <c r="H339" s="245">
        <f>IFERROR(H338/(COUNTA(A326:A337)-COUNTIF(A326:A337,"")),0)</f>
        <v>0</v>
      </c>
      <c r="I339" s="245">
        <f>IFERROR(I338/(COUNTA(A326:A337)-COUNTIF(A326:A337,"")),0)</f>
        <v>0</v>
      </c>
      <c r="J339" s="245">
        <f>IFERROR(J338/(COUNTA(A326:A337)-COUNTIF(A326:A337,"")),0)</f>
        <v>0</v>
      </c>
      <c r="K339" s="245">
        <f>IFERROR(K338/(COUNTA(A326:A337)-COUNTIF(A326:A337,"")),0)</f>
        <v>0</v>
      </c>
      <c r="L339" s="245">
        <f>IFERROR(L338/(COUNTA(A326:A337)-COUNTIF(A326:A337,"")),0)</f>
        <v>0</v>
      </c>
      <c r="M339" s="245">
        <f>IFERROR(M338/(COUNTA(A326:A337)-COUNTIF(A326:A337,"")),0)</f>
        <v>0</v>
      </c>
      <c r="N339" s="245">
        <f>IFERROR(N338/(COUNTA(A326:A337)-COUNTIF(A326:A337,"")),0)</f>
        <v>0</v>
      </c>
      <c r="O339" s="245">
        <f>IFERROR(O338/(COUNTA(A326:A337)-COUNTIF(A326:A337,"")),0)</f>
        <v>0</v>
      </c>
      <c r="P339" s="245">
        <f>IFERROR(P338/(COUNTA(A326:A337)-COUNTIF(A326:A337,"")),0)</f>
        <v>0</v>
      </c>
      <c r="Q339" s="250"/>
      <c r="R339" s="250"/>
      <c r="S339" s="238">
        <f>IFERROR(R338/S338*100,0)</f>
        <v>0</v>
      </c>
      <c r="T339" s="238">
        <f>IFERROR(Q338/T338*100,0)</f>
        <v>0</v>
      </c>
      <c r="U339" s="245">
        <f>IFERROR(U338/COUNTA(A326:A337),0)</f>
        <v>0</v>
      </c>
      <c r="V339" s="245">
        <f>IFERROR(V338/COUNTA(A326:A337),0)</f>
        <v>0</v>
      </c>
    </row>
    <row r="340" spans="1:22" ht="38.25" hidden="1">
      <c r="A340" s="237" t="s">
        <v>524</v>
      </c>
      <c r="B340" s="245">
        <f>O323+B339</f>
        <v>0</v>
      </c>
      <c r="C340" s="245">
        <f>O323+C339</f>
        <v>0</v>
      </c>
      <c r="D340" s="245">
        <f>O323+D339</f>
        <v>0</v>
      </c>
      <c r="E340" s="245"/>
      <c r="F340" s="245"/>
      <c r="G340" s="245">
        <f>O323+G339</f>
        <v>0</v>
      </c>
      <c r="H340" s="245"/>
      <c r="I340" s="245"/>
      <c r="J340" s="245"/>
      <c r="K340" s="245"/>
      <c r="L340" s="245"/>
      <c r="M340" s="245"/>
      <c r="N340" s="245"/>
      <c r="O340" s="245"/>
      <c r="P340" s="245"/>
      <c r="Q340" s="250"/>
      <c r="R340" s="250"/>
      <c r="S340" s="251" t="s">
        <v>525</v>
      </c>
      <c r="T340" s="251" t="s">
        <v>526</v>
      </c>
      <c r="U340" s="251"/>
      <c r="V340" s="251"/>
    </row>
    <row r="344" spans="1:22" ht="12.75" hidden="1" customHeight="1">
      <c r="A344" s="413" t="s">
        <v>502</v>
      </c>
      <c r="B344" s="413"/>
      <c r="C344" s="418"/>
      <c r="D344" s="419"/>
      <c r="E344" s="419"/>
      <c r="F344" s="419"/>
      <c r="G344" s="419"/>
      <c r="H344" s="419"/>
      <c r="I344" s="419"/>
      <c r="J344" s="419"/>
      <c r="K344" s="419"/>
      <c r="L344" s="419"/>
      <c r="M344" s="419"/>
      <c r="N344" s="419"/>
      <c r="O344" s="419"/>
      <c r="P344" s="419"/>
      <c r="Q344" s="419"/>
      <c r="R344" s="419"/>
      <c r="S344" s="419"/>
      <c r="T344" s="420"/>
      <c r="U344" s="239"/>
      <c r="V344" s="239"/>
    </row>
    <row r="345" spans="1:22" ht="12.75" hidden="1" customHeight="1">
      <c r="A345" s="413" t="s">
        <v>527</v>
      </c>
      <c r="B345" s="413"/>
      <c r="C345" s="421"/>
      <c r="D345" s="421"/>
      <c r="E345" s="421"/>
      <c r="F345" s="421"/>
      <c r="G345" s="421"/>
      <c r="H345" s="422" t="s">
        <v>528</v>
      </c>
      <c r="I345" s="422"/>
      <c r="J345" s="421"/>
      <c r="K345" s="421"/>
      <c r="L345" s="421"/>
      <c r="M345" s="421"/>
      <c r="N345" s="421"/>
      <c r="O345" s="421"/>
      <c r="P345" s="421"/>
      <c r="Q345" s="421"/>
      <c r="R345" s="421"/>
      <c r="S345" s="421"/>
      <c r="T345" s="421"/>
      <c r="U345" s="239"/>
      <c r="V345" s="239"/>
    </row>
    <row r="346" spans="1:22" ht="25.5" hidden="1" customHeight="1">
      <c r="A346" s="413" t="s">
        <v>529</v>
      </c>
      <c r="B346" s="413"/>
      <c r="C346" s="418"/>
      <c r="D346" s="420"/>
      <c r="E346" s="241" t="s">
        <v>530</v>
      </c>
      <c r="F346" s="423"/>
      <c r="G346" s="424"/>
      <c r="H346" s="424"/>
      <c r="I346" s="425"/>
      <c r="J346" s="241" t="s">
        <v>531</v>
      </c>
      <c r="K346" s="423"/>
      <c r="L346" s="424"/>
      <c r="M346" s="425"/>
      <c r="N346" s="240" t="s">
        <v>532</v>
      </c>
      <c r="O346" s="426"/>
      <c r="P346" s="427"/>
      <c r="Q346" s="427"/>
      <c r="R346" s="427"/>
      <c r="S346" s="427"/>
      <c r="T346" s="428"/>
      <c r="U346" s="252"/>
      <c r="V346" s="252"/>
    </row>
    <row r="347" spans="1:22" ht="38.25" hidden="1" customHeight="1">
      <c r="A347" s="231" t="s">
        <v>163</v>
      </c>
      <c r="B347" s="415" t="s">
        <v>533</v>
      </c>
      <c r="C347" s="415"/>
      <c r="D347" s="415"/>
      <c r="E347" s="232" t="s">
        <v>534</v>
      </c>
      <c r="F347" s="232" t="s">
        <v>535</v>
      </c>
      <c r="G347" s="231" t="s">
        <v>536</v>
      </c>
      <c r="H347" s="231" t="s">
        <v>537</v>
      </c>
      <c r="I347" s="231" t="s">
        <v>538</v>
      </c>
      <c r="J347" s="232" t="s">
        <v>539</v>
      </c>
      <c r="K347" s="232" t="s">
        <v>540</v>
      </c>
      <c r="L347" s="416" t="s">
        <v>541</v>
      </c>
      <c r="M347" s="417"/>
      <c r="N347" s="416" t="s">
        <v>542</v>
      </c>
      <c r="O347" s="417"/>
      <c r="P347" s="231" t="s">
        <v>543</v>
      </c>
      <c r="Q347" s="231" t="s">
        <v>514</v>
      </c>
      <c r="R347" s="231" t="s">
        <v>515</v>
      </c>
      <c r="S347" s="231" t="s">
        <v>516</v>
      </c>
      <c r="T347" s="231" t="s">
        <v>517</v>
      </c>
      <c r="U347" s="231" t="s">
        <v>544</v>
      </c>
      <c r="V347" s="231" t="s">
        <v>545</v>
      </c>
    </row>
    <row r="348" spans="1:22" hidden="1">
      <c r="A348" s="231"/>
      <c r="B348" s="231">
        <v>10</v>
      </c>
      <c r="C348" s="231">
        <v>20</v>
      </c>
      <c r="D348" s="231">
        <v>30</v>
      </c>
      <c r="E348" s="231"/>
      <c r="F348" s="231"/>
      <c r="G348" s="231"/>
      <c r="H348" s="231"/>
      <c r="I348" s="231"/>
      <c r="J348" s="231"/>
      <c r="K348" s="231"/>
      <c r="L348" s="231" t="s">
        <v>520</v>
      </c>
      <c r="M348" s="231" t="s">
        <v>521</v>
      </c>
      <c r="N348" s="231" t="s">
        <v>520</v>
      </c>
      <c r="O348" s="231" t="s">
        <v>521</v>
      </c>
      <c r="P348" s="231"/>
      <c r="Q348" s="231"/>
      <c r="R348" s="231"/>
      <c r="S348" s="231"/>
      <c r="T348" s="231"/>
      <c r="U348" s="231"/>
      <c r="V348" s="231"/>
    </row>
    <row r="349" spans="1:22" hidden="1">
      <c r="A349" s="246">
        <f>IF($A$27="","",$A$27)</f>
        <v>45139</v>
      </c>
      <c r="B349" s="243"/>
      <c r="C349" s="243"/>
      <c r="D349" s="243"/>
      <c r="E349" s="243"/>
      <c r="F349" s="243"/>
      <c r="G349" s="244">
        <f>IFERROR(AVERAGE(B349:D349),0)</f>
        <v>0</v>
      </c>
      <c r="H349" s="243"/>
      <c r="I349" s="243"/>
      <c r="J349" s="243"/>
      <c r="K349" s="243"/>
      <c r="L349" s="243"/>
      <c r="M349" s="243"/>
      <c r="N349" s="243"/>
      <c r="O349" s="243"/>
      <c r="P349" s="247">
        <f t="shared" ref="P349:P360" si="110">+H349-I349-J349-M349+L349</f>
        <v>0</v>
      </c>
      <c r="Q349" s="253"/>
      <c r="R349" s="253"/>
      <c r="S349" s="253"/>
      <c r="T349" s="253"/>
      <c r="U349" s="245">
        <f>H349-J349-M349</f>
        <v>0</v>
      </c>
      <c r="V349" s="245">
        <f>I349-L349</f>
        <v>0</v>
      </c>
    </row>
    <row r="350" spans="1:22" hidden="1">
      <c r="A350" s="246">
        <f>IF($A$28="","",$A$28)</f>
        <v>45170</v>
      </c>
      <c r="B350" s="243"/>
      <c r="C350" s="243"/>
      <c r="D350" s="243"/>
      <c r="E350" s="243"/>
      <c r="F350" s="243"/>
      <c r="G350" s="244">
        <f t="shared" ref="G350:G360" si="111">IFERROR(AVERAGE(B350:D350),0)</f>
        <v>0</v>
      </c>
      <c r="H350" s="243"/>
      <c r="I350" s="243"/>
      <c r="J350" s="243"/>
      <c r="K350" s="243"/>
      <c r="L350" s="243"/>
      <c r="M350" s="243"/>
      <c r="N350" s="243"/>
      <c r="O350" s="243"/>
      <c r="P350" s="247">
        <f t="shared" si="110"/>
        <v>0</v>
      </c>
      <c r="Q350" s="253"/>
      <c r="R350" s="253"/>
      <c r="S350" s="253"/>
      <c r="T350" s="253"/>
      <c r="U350" s="245">
        <f t="shared" ref="U350:U360" si="112">H350-J350-M350</f>
        <v>0</v>
      </c>
      <c r="V350" s="245">
        <f t="shared" ref="V350:V360" si="113">I350-L350</f>
        <v>0</v>
      </c>
    </row>
    <row r="351" spans="1:22" hidden="1">
      <c r="A351" s="246">
        <f>IF($A$29="","",$A$29)</f>
        <v>45200</v>
      </c>
      <c r="B351" s="243"/>
      <c r="C351" s="243"/>
      <c r="D351" s="243"/>
      <c r="E351" s="243"/>
      <c r="F351" s="243"/>
      <c r="G351" s="244">
        <f t="shared" si="111"/>
        <v>0</v>
      </c>
      <c r="H351" s="243"/>
      <c r="I351" s="243"/>
      <c r="J351" s="243"/>
      <c r="K351" s="243"/>
      <c r="L351" s="243"/>
      <c r="M351" s="243"/>
      <c r="N351" s="243"/>
      <c r="O351" s="243"/>
      <c r="P351" s="247">
        <f t="shared" si="110"/>
        <v>0</v>
      </c>
      <c r="Q351" s="253"/>
      <c r="R351" s="253"/>
      <c r="S351" s="253"/>
      <c r="T351" s="253"/>
      <c r="U351" s="245">
        <f t="shared" si="112"/>
        <v>0</v>
      </c>
      <c r="V351" s="245">
        <f t="shared" si="113"/>
        <v>0</v>
      </c>
    </row>
    <row r="352" spans="1:22" hidden="1">
      <c r="A352" s="246">
        <f>IF($A$30="","",$A$30)</f>
        <v>45231</v>
      </c>
      <c r="B352" s="243"/>
      <c r="C352" s="243"/>
      <c r="D352" s="243"/>
      <c r="E352" s="243"/>
      <c r="F352" s="243"/>
      <c r="G352" s="244">
        <f t="shared" si="111"/>
        <v>0</v>
      </c>
      <c r="H352" s="243"/>
      <c r="I352" s="243"/>
      <c r="J352" s="243"/>
      <c r="K352" s="243"/>
      <c r="L352" s="243"/>
      <c r="M352" s="243"/>
      <c r="N352" s="243"/>
      <c r="O352" s="243"/>
      <c r="P352" s="247">
        <f t="shared" si="110"/>
        <v>0</v>
      </c>
      <c r="Q352" s="253"/>
      <c r="R352" s="253"/>
      <c r="S352" s="253"/>
      <c r="T352" s="253"/>
      <c r="U352" s="245">
        <f t="shared" si="112"/>
        <v>0</v>
      </c>
      <c r="V352" s="245">
        <f t="shared" si="113"/>
        <v>0</v>
      </c>
    </row>
    <row r="353" spans="1:22" hidden="1">
      <c r="A353" s="246">
        <f>IF($A$31="","",$A$31)</f>
        <v>45261</v>
      </c>
      <c r="B353" s="243"/>
      <c r="C353" s="243"/>
      <c r="D353" s="243"/>
      <c r="E353" s="243"/>
      <c r="F353" s="243"/>
      <c r="G353" s="244">
        <f t="shared" si="111"/>
        <v>0</v>
      </c>
      <c r="H353" s="243"/>
      <c r="I353" s="243"/>
      <c r="J353" s="243"/>
      <c r="K353" s="243"/>
      <c r="L353" s="243"/>
      <c r="M353" s="243"/>
      <c r="N353" s="243"/>
      <c r="O353" s="243"/>
      <c r="P353" s="247">
        <f t="shared" si="110"/>
        <v>0</v>
      </c>
      <c r="Q353" s="253"/>
      <c r="R353" s="253"/>
      <c r="S353" s="253"/>
      <c r="T353" s="253"/>
      <c r="U353" s="245">
        <f t="shared" si="112"/>
        <v>0</v>
      </c>
      <c r="V353" s="245">
        <f t="shared" si="113"/>
        <v>0</v>
      </c>
    </row>
    <row r="354" spans="1:22" hidden="1">
      <c r="A354" s="246">
        <f>IF($A$32="","",$A$32)</f>
        <v>45292</v>
      </c>
      <c r="B354" s="243"/>
      <c r="C354" s="243"/>
      <c r="D354" s="243"/>
      <c r="E354" s="243"/>
      <c r="F354" s="243"/>
      <c r="G354" s="244">
        <f t="shared" si="111"/>
        <v>0</v>
      </c>
      <c r="H354" s="243"/>
      <c r="I354" s="243"/>
      <c r="J354" s="243"/>
      <c r="K354" s="243"/>
      <c r="L354" s="243"/>
      <c r="M354" s="243"/>
      <c r="N354" s="243"/>
      <c r="O354" s="243"/>
      <c r="P354" s="247">
        <f t="shared" si="110"/>
        <v>0</v>
      </c>
      <c r="Q354" s="253"/>
      <c r="R354" s="253"/>
      <c r="S354" s="253"/>
      <c r="T354" s="253"/>
      <c r="U354" s="245">
        <f t="shared" si="112"/>
        <v>0</v>
      </c>
      <c r="V354" s="245">
        <f t="shared" si="113"/>
        <v>0</v>
      </c>
    </row>
    <row r="355" spans="1:22" hidden="1">
      <c r="A355" s="246" t="str">
        <f>IF($A$33="","",$A$33)</f>
        <v/>
      </c>
      <c r="B355" s="243"/>
      <c r="C355" s="243"/>
      <c r="D355" s="243"/>
      <c r="E355" s="243"/>
      <c r="F355" s="243"/>
      <c r="G355" s="244">
        <f t="shared" si="111"/>
        <v>0</v>
      </c>
      <c r="H355" s="243"/>
      <c r="I355" s="243"/>
      <c r="J355" s="243"/>
      <c r="K355" s="243"/>
      <c r="L355" s="243"/>
      <c r="M355" s="243"/>
      <c r="N355" s="243"/>
      <c r="O355" s="243"/>
      <c r="P355" s="247">
        <f t="shared" si="110"/>
        <v>0</v>
      </c>
      <c r="Q355" s="253"/>
      <c r="R355" s="253"/>
      <c r="S355" s="253"/>
      <c r="T355" s="253"/>
      <c r="U355" s="245">
        <f t="shared" si="112"/>
        <v>0</v>
      </c>
      <c r="V355" s="245">
        <f t="shared" si="113"/>
        <v>0</v>
      </c>
    </row>
    <row r="356" spans="1:22" hidden="1">
      <c r="A356" s="246" t="str">
        <f>IF($A$34="","",$A$34)</f>
        <v/>
      </c>
      <c r="B356" s="243"/>
      <c r="C356" s="243"/>
      <c r="D356" s="243"/>
      <c r="E356" s="243"/>
      <c r="F356" s="243"/>
      <c r="G356" s="244">
        <f t="shared" si="111"/>
        <v>0</v>
      </c>
      <c r="H356" s="243"/>
      <c r="I356" s="243"/>
      <c r="J356" s="243"/>
      <c r="K356" s="243"/>
      <c r="L356" s="243"/>
      <c r="M356" s="243"/>
      <c r="N356" s="243"/>
      <c r="O356" s="243"/>
      <c r="P356" s="247">
        <f t="shared" si="110"/>
        <v>0</v>
      </c>
      <c r="Q356" s="253"/>
      <c r="R356" s="253"/>
      <c r="S356" s="253"/>
      <c r="T356" s="253"/>
      <c r="U356" s="245">
        <f t="shared" si="112"/>
        <v>0</v>
      </c>
      <c r="V356" s="245">
        <f t="shared" si="113"/>
        <v>0</v>
      </c>
    </row>
    <row r="357" spans="1:22" hidden="1">
      <c r="A357" s="246" t="str">
        <f>IF($A$35="","",$A$35)</f>
        <v/>
      </c>
      <c r="B357" s="243"/>
      <c r="C357" s="243"/>
      <c r="D357" s="243"/>
      <c r="E357" s="243"/>
      <c r="F357" s="243"/>
      <c r="G357" s="244">
        <f t="shared" si="111"/>
        <v>0</v>
      </c>
      <c r="H357" s="243"/>
      <c r="I357" s="243"/>
      <c r="J357" s="243"/>
      <c r="K357" s="243"/>
      <c r="L357" s="243"/>
      <c r="M357" s="243"/>
      <c r="N357" s="243"/>
      <c r="O357" s="243"/>
      <c r="P357" s="247">
        <f t="shared" si="110"/>
        <v>0</v>
      </c>
      <c r="Q357" s="253"/>
      <c r="R357" s="253"/>
      <c r="S357" s="253"/>
      <c r="T357" s="253"/>
      <c r="U357" s="245">
        <f t="shared" si="112"/>
        <v>0</v>
      </c>
      <c r="V357" s="245">
        <f t="shared" si="113"/>
        <v>0</v>
      </c>
    </row>
    <row r="358" spans="1:22" hidden="1">
      <c r="A358" s="246" t="str">
        <f>IF($A$36="","",$A$36)</f>
        <v/>
      </c>
      <c r="B358" s="243"/>
      <c r="C358" s="243"/>
      <c r="D358" s="243"/>
      <c r="E358" s="243"/>
      <c r="F358" s="243"/>
      <c r="G358" s="244">
        <f t="shared" si="111"/>
        <v>0</v>
      </c>
      <c r="H358" s="243"/>
      <c r="I358" s="243"/>
      <c r="J358" s="243"/>
      <c r="K358" s="243"/>
      <c r="L358" s="243"/>
      <c r="M358" s="243"/>
      <c r="N358" s="243"/>
      <c r="O358" s="243"/>
      <c r="P358" s="247">
        <f t="shared" si="110"/>
        <v>0</v>
      </c>
      <c r="Q358" s="253"/>
      <c r="R358" s="253"/>
      <c r="S358" s="253"/>
      <c r="T358" s="253"/>
      <c r="U358" s="245">
        <f t="shared" si="112"/>
        <v>0</v>
      </c>
      <c r="V358" s="245">
        <f t="shared" si="113"/>
        <v>0</v>
      </c>
    </row>
    <row r="359" spans="1:22" hidden="1">
      <c r="A359" s="246" t="str">
        <f>IF($A$37="","",$A$37)</f>
        <v/>
      </c>
      <c r="B359" s="243"/>
      <c r="C359" s="243"/>
      <c r="D359" s="243"/>
      <c r="E359" s="243"/>
      <c r="F359" s="243"/>
      <c r="G359" s="244">
        <f t="shared" si="111"/>
        <v>0</v>
      </c>
      <c r="H359" s="243"/>
      <c r="I359" s="243"/>
      <c r="J359" s="243"/>
      <c r="K359" s="243"/>
      <c r="L359" s="243"/>
      <c r="M359" s="243"/>
      <c r="N359" s="243"/>
      <c r="O359" s="243"/>
      <c r="P359" s="247">
        <f t="shared" si="110"/>
        <v>0</v>
      </c>
      <c r="Q359" s="253"/>
      <c r="R359" s="253"/>
      <c r="S359" s="253"/>
      <c r="T359" s="253"/>
      <c r="U359" s="245">
        <f t="shared" si="112"/>
        <v>0</v>
      </c>
      <c r="V359" s="245">
        <f t="shared" si="113"/>
        <v>0</v>
      </c>
    </row>
    <row r="360" spans="1:22" hidden="1">
      <c r="A360" s="246" t="str">
        <f>IF($A$38="","",$A$38)</f>
        <v/>
      </c>
      <c r="B360" s="243"/>
      <c r="C360" s="243"/>
      <c r="D360" s="243"/>
      <c r="E360" s="243"/>
      <c r="F360" s="243"/>
      <c r="G360" s="244">
        <f t="shared" si="111"/>
        <v>0</v>
      </c>
      <c r="H360" s="243"/>
      <c r="I360" s="243"/>
      <c r="J360" s="243"/>
      <c r="K360" s="243"/>
      <c r="L360" s="243"/>
      <c r="M360" s="243"/>
      <c r="N360" s="243"/>
      <c r="O360" s="243"/>
      <c r="P360" s="247">
        <f t="shared" si="110"/>
        <v>0</v>
      </c>
      <c r="Q360" s="253"/>
      <c r="R360" s="253"/>
      <c r="S360" s="253"/>
      <c r="T360" s="253"/>
      <c r="U360" s="245">
        <f t="shared" si="112"/>
        <v>0</v>
      </c>
      <c r="V360" s="245">
        <f t="shared" si="113"/>
        <v>0</v>
      </c>
    </row>
    <row r="361" spans="1:22" hidden="1">
      <c r="A361" s="237" t="s">
        <v>522</v>
      </c>
      <c r="B361" s="245">
        <f t="shared" ref="B361:I361" si="114">+SUM(B349:B360)</f>
        <v>0</v>
      </c>
      <c r="C361" s="245">
        <f t="shared" si="114"/>
        <v>0</v>
      </c>
      <c r="D361" s="245">
        <f t="shared" si="114"/>
        <v>0</v>
      </c>
      <c r="E361" s="245">
        <f t="shared" si="114"/>
        <v>0</v>
      </c>
      <c r="F361" s="245">
        <f t="shared" si="114"/>
        <v>0</v>
      </c>
      <c r="G361" s="245">
        <f t="shared" si="114"/>
        <v>0</v>
      </c>
      <c r="H361" s="245">
        <f t="shared" si="114"/>
        <v>0</v>
      </c>
      <c r="I361" s="245">
        <f t="shared" si="114"/>
        <v>0</v>
      </c>
      <c r="J361" s="245">
        <f t="shared" ref="J361:O361" si="115">+SUM(J349:J360)</f>
        <v>0</v>
      </c>
      <c r="K361" s="245">
        <f t="shared" si="115"/>
        <v>0</v>
      </c>
      <c r="L361" s="245">
        <f t="shared" si="115"/>
        <v>0</v>
      </c>
      <c r="M361" s="245">
        <f t="shared" si="115"/>
        <v>0</v>
      </c>
      <c r="N361" s="245">
        <f t="shared" si="115"/>
        <v>0</v>
      </c>
      <c r="O361" s="245">
        <f t="shared" si="115"/>
        <v>0</v>
      </c>
      <c r="P361" s="245">
        <f t="shared" ref="P361:V361" si="116">+SUM(P349:P360)</f>
        <v>0</v>
      </c>
      <c r="Q361" s="245">
        <f t="shared" si="116"/>
        <v>0</v>
      </c>
      <c r="R361" s="245">
        <f t="shared" si="116"/>
        <v>0</v>
      </c>
      <c r="S361" s="245">
        <f t="shared" si="116"/>
        <v>0</v>
      </c>
      <c r="T361" s="245">
        <f t="shared" si="116"/>
        <v>0</v>
      </c>
      <c r="U361" s="245">
        <f t="shared" si="116"/>
        <v>0</v>
      </c>
      <c r="V361" s="245">
        <f t="shared" si="116"/>
        <v>0</v>
      </c>
    </row>
    <row r="362" spans="1:22" hidden="1">
      <c r="A362" s="237" t="s">
        <v>523</v>
      </c>
      <c r="B362" s="245">
        <f>IFERROR(B361/(COUNTA(A349:A360)-COUNTIF(A349:A360,"")),0)</f>
        <v>0</v>
      </c>
      <c r="C362" s="245">
        <f>IFERROR(C361/(COUNTA(A349:A360)-COUNTIF(A349:A360,"")),0)</f>
        <v>0</v>
      </c>
      <c r="D362" s="245">
        <f>IFERROR(D361/(COUNTA(A349:A360)-COUNTIF(A349:A360,"")),0)</f>
        <v>0</v>
      </c>
      <c r="E362" s="245">
        <f>IFERROR(E361/(COUNTA(A349:A360)-COUNTIF(A349:A360,"")),0)</f>
        <v>0</v>
      </c>
      <c r="F362" s="245">
        <f>IFERROR(F361/(COUNTA(A349:A360)-COUNTIF(A349:A360,"")),0)</f>
        <v>0</v>
      </c>
      <c r="G362" s="245">
        <f>IFERROR(G361/(COUNTA(A349:A360)-COUNTIF(A349:A360,"")),0)</f>
        <v>0</v>
      </c>
      <c r="H362" s="245">
        <f>IFERROR(H361/(COUNTA(A349:A360)-COUNTIF(A349:A360,"")),0)</f>
        <v>0</v>
      </c>
      <c r="I362" s="245">
        <f>IFERROR(I361/(COUNTA(A349:A360)-COUNTIF(A349:A360,"")),0)</f>
        <v>0</v>
      </c>
      <c r="J362" s="245">
        <f>IFERROR(J361/(COUNTA(A349:A360)-COUNTIF(A349:A360,"")),0)</f>
        <v>0</v>
      </c>
      <c r="K362" s="245">
        <f>IFERROR(K361/(COUNTA(A349:A360)-COUNTIF(A349:A360,"")),0)</f>
        <v>0</v>
      </c>
      <c r="L362" s="245">
        <f>IFERROR(L361/(COUNTA(A349:A360)-COUNTIF(A349:A360,"")),0)</f>
        <v>0</v>
      </c>
      <c r="M362" s="245">
        <f>IFERROR(M361/(COUNTA(A349:A360)-COUNTIF(A349:A360,"")),0)</f>
        <v>0</v>
      </c>
      <c r="N362" s="245">
        <f>IFERROR(N361/(COUNTA(A349:A360)-COUNTIF(A349:A360,"")),0)</f>
        <v>0</v>
      </c>
      <c r="O362" s="245">
        <f>IFERROR(O361/(COUNTA(A349:A360)-COUNTIF(A349:A360,"")),0)</f>
        <v>0</v>
      </c>
      <c r="P362" s="245">
        <f>IFERROR(P361/(COUNTA(A349:A360)-COUNTIF(A349:A360,"")),0)</f>
        <v>0</v>
      </c>
      <c r="Q362" s="250"/>
      <c r="R362" s="250"/>
      <c r="S362" s="238">
        <f>IFERROR(R361/S361*100,0)</f>
        <v>0</v>
      </c>
      <c r="T362" s="238">
        <f>IFERROR(Q361/T361*100,0)</f>
        <v>0</v>
      </c>
      <c r="U362" s="245">
        <f>IFERROR(U361/COUNTA(A349:A360),0)</f>
        <v>0</v>
      </c>
      <c r="V362" s="245">
        <f>IFERROR(V361/COUNTA(A349:A360),0)</f>
        <v>0</v>
      </c>
    </row>
    <row r="363" spans="1:22" ht="38.25" hidden="1">
      <c r="A363" s="237" t="s">
        <v>524</v>
      </c>
      <c r="B363" s="245">
        <f>O346+B362</f>
        <v>0</v>
      </c>
      <c r="C363" s="245">
        <f>O346+C362</f>
        <v>0</v>
      </c>
      <c r="D363" s="245">
        <f>O346+D362</f>
        <v>0</v>
      </c>
      <c r="E363" s="245"/>
      <c r="F363" s="245"/>
      <c r="G363" s="245">
        <f>O346+G362</f>
        <v>0</v>
      </c>
      <c r="H363" s="245"/>
      <c r="I363" s="245"/>
      <c r="J363" s="245"/>
      <c r="K363" s="245"/>
      <c r="L363" s="245"/>
      <c r="M363" s="245"/>
      <c r="N363" s="245"/>
      <c r="O363" s="245"/>
      <c r="P363" s="245"/>
      <c r="Q363" s="250"/>
      <c r="R363" s="250"/>
      <c r="S363" s="251" t="s">
        <v>525</v>
      </c>
      <c r="T363" s="251" t="s">
        <v>526</v>
      </c>
      <c r="U363" s="251"/>
      <c r="V363" s="251"/>
    </row>
    <row r="367" spans="1:22" ht="12.75" hidden="1" customHeight="1">
      <c r="A367" s="413" t="s">
        <v>502</v>
      </c>
      <c r="B367" s="413"/>
      <c r="C367" s="418"/>
      <c r="D367" s="419"/>
      <c r="E367" s="419"/>
      <c r="F367" s="419"/>
      <c r="G367" s="419"/>
      <c r="H367" s="419"/>
      <c r="I367" s="419"/>
      <c r="J367" s="419"/>
      <c r="K367" s="419"/>
      <c r="L367" s="419"/>
      <c r="M367" s="419"/>
      <c r="N367" s="419"/>
      <c r="O367" s="419"/>
      <c r="P367" s="419"/>
      <c r="Q367" s="419"/>
      <c r="R367" s="419"/>
      <c r="S367" s="419"/>
      <c r="T367" s="420"/>
      <c r="U367" s="239"/>
      <c r="V367" s="239"/>
    </row>
    <row r="368" spans="1:22" ht="12.75" hidden="1" customHeight="1">
      <c r="A368" s="413" t="s">
        <v>527</v>
      </c>
      <c r="B368" s="413"/>
      <c r="C368" s="421"/>
      <c r="D368" s="421"/>
      <c r="E368" s="421"/>
      <c r="F368" s="421"/>
      <c r="G368" s="421"/>
      <c r="H368" s="422" t="s">
        <v>528</v>
      </c>
      <c r="I368" s="422"/>
      <c r="J368" s="421"/>
      <c r="K368" s="421"/>
      <c r="L368" s="421"/>
      <c r="M368" s="421"/>
      <c r="N368" s="421"/>
      <c r="O368" s="421"/>
      <c r="P368" s="421"/>
      <c r="Q368" s="421"/>
      <c r="R368" s="421"/>
      <c r="S368" s="421"/>
      <c r="T368" s="421"/>
      <c r="U368" s="239"/>
      <c r="V368" s="239"/>
    </row>
    <row r="369" spans="1:22" ht="25.5" hidden="1" customHeight="1">
      <c r="A369" s="413" t="s">
        <v>529</v>
      </c>
      <c r="B369" s="413"/>
      <c r="C369" s="418"/>
      <c r="D369" s="420"/>
      <c r="E369" s="241" t="s">
        <v>530</v>
      </c>
      <c r="F369" s="423"/>
      <c r="G369" s="424"/>
      <c r="H369" s="424"/>
      <c r="I369" s="425"/>
      <c r="J369" s="241" t="s">
        <v>531</v>
      </c>
      <c r="K369" s="423"/>
      <c r="L369" s="424"/>
      <c r="M369" s="425"/>
      <c r="N369" s="240" t="s">
        <v>532</v>
      </c>
      <c r="O369" s="426"/>
      <c r="P369" s="427"/>
      <c r="Q369" s="427"/>
      <c r="R369" s="427"/>
      <c r="S369" s="427"/>
      <c r="T369" s="428"/>
      <c r="U369" s="252"/>
      <c r="V369" s="252"/>
    </row>
    <row r="370" spans="1:22" ht="38.25" hidden="1" customHeight="1">
      <c r="A370" s="231" t="s">
        <v>163</v>
      </c>
      <c r="B370" s="415" t="s">
        <v>533</v>
      </c>
      <c r="C370" s="415"/>
      <c r="D370" s="415"/>
      <c r="E370" s="232" t="s">
        <v>534</v>
      </c>
      <c r="F370" s="232" t="s">
        <v>535</v>
      </c>
      <c r="G370" s="231" t="s">
        <v>536</v>
      </c>
      <c r="H370" s="231" t="s">
        <v>537</v>
      </c>
      <c r="I370" s="231" t="s">
        <v>538</v>
      </c>
      <c r="J370" s="232" t="s">
        <v>539</v>
      </c>
      <c r="K370" s="232" t="s">
        <v>540</v>
      </c>
      <c r="L370" s="416" t="s">
        <v>541</v>
      </c>
      <c r="M370" s="417"/>
      <c r="N370" s="416" t="s">
        <v>542</v>
      </c>
      <c r="O370" s="417"/>
      <c r="P370" s="231" t="s">
        <v>543</v>
      </c>
      <c r="Q370" s="231" t="s">
        <v>514</v>
      </c>
      <c r="R370" s="231" t="s">
        <v>515</v>
      </c>
      <c r="S370" s="231" t="s">
        <v>516</v>
      </c>
      <c r="T370" s="231" t="s">
        <v>517</v>
      </c>
      <c r="U370" s="231" t="s">
        <v>544</v>
      </c>
      <c r="V370" s="231" t="s">
        <v>545</v>
      </c>
    </row>
    <row r="371" spans="1:22" hidden="1">
      <c r="A371" s="231"/>
      <c r="B371" s="231">
        <v>10</v>
      </c>
      <c r="C371" s="231">
        <v>20</v>
      </c>
      <c r="D371" s="231">
        <v>30</v>
      </c>
      <c r="E371" s="231"/>
      <c r="F371" s="231"/>
      <c r="G371" s="231"/>
      <c r="H371" s="231"/>
      <c r="I371" s="231"/>
      <c r="J371" s="231"/>
      <c r="K371" s="231"/>
      <c r="L371" s="231" t="s">
        <v>520</v>
      </c>
      <c r="M371" s="231" t="s">
        <v>521</v>
      </c>
      <c r="N371" s="231" t="s">
        <v>520</v>
      </c>
      <c r="O371" s="231" t="s">
        <v>521</v>
      </c>
      <c r="P371" s="231"/>
      <c r="Q371" s="231"/>
      <c r="R371" s="231"/>
      <c r="S371" s="231"/>
      <c r="T371" s="231"/>
      <c r="U371" s="231"/>
      <c r="V371" s="231"/>
    </row>
    <row r="372" spans="1:22" hidden="1">
      <c r="A372" s="246">
        <f>IF($A$27="","",$A$27)</f>
        <v>45139</v>
      </c>
      <c r="B372" s="243"/>
      <c r="C372" s="243"/>
      <c r="D372" s="243"/>
      <c r="E372" s="243"/>
      <c r="F372" s="243"/>
      <c r="G372" s="244">
        <f>IFERROR(AVERAGE(B372:D372),0)</f>
        <v>0</v>
      </c>
      <c r="H372" s="243"/>
      <c r="I372" s="243"/>
      <c r="J372" s="243"/>
      <c r="K372" s="243"/>
      <c r="L372" s="243"/>
      <c r="M372" s="243"/>
      <c r="N372" s="243"/>
      <c r="O372" s="243"/>
      <c r="P372" s="247">
        <f t="shared" ref="P372:P383" si="117">+H372-I372-J372-M372+L372</f>
        <v>0</v>
      </c>
      <c r="Q372" s="253"/>
      <c r="R372" s="253"/>
      <c r="S372" s="253"/>
      <c r="T372" s="253"/>
      <c r="U372" s="245">
        <f>H372-J372-M372</f>
        <v>0</v>
      </c>
      <c r="V372" s="245">
        <f>I372-L372</f>
        <v>0</v>
      </c>
    </row>
    <row r="373" spans="1:22" hidden="1">
      <c r="A373" s="246">
        <f>IF($A$28="","",$A$28)</f>
        <v>45170</v>
      </c>
      <c r="B373" s="243"/>
      <c r="C373" s="243"/>
      <c r="D373" s="243"/>
      <c r="E373" s="243"/>
      <c r="F373" s="243"/>
      <c r="G373" s="244">
        <f t="shared" ref="G373:G383" si="118">IFERROR(AVERAGE(B373:D373),0)</f>
        <v>0</v>
      </c>
      <c r="H373" s="243"/>
      <c r="I373" s="243"/>
      <c r="J373" s="243"/>
      <c r="K373" s="243"/>
      <c r="L373" s="243"/>
      <c r="M373" s="243"/>
      <c r="N373" s="243"/>
      <c r="O373" s="243"/>
      <c r="P373" s="247">
        <f t="shared" si="117"/>
        <v>0</v>
      </c>
      <c r="Q373" s="253"/>
      <c r="R373" s="253"/>
      <c r="S373" s="253"/>
      <c r="T373" s="253"/>
      <c r="U373" s="245">
        <f t="shared" ref="U373:U383" si="119">H373-J373-M373</f>
        <v>0</v>
      </c>
      <c r="V373" s="245">
        <f t="shared" ref="V373:V383" si="120">I373-L373</f>
        <v>0</v>
      </c>
    </row>
    <row r="374" spans="1:22" hidden="1">
      <c r="A374" s="246">
        <f>IF($A$29="","",$A$29)</f>
        <v>45200</v>
      </c>
      <c r="B374" s="243"/>
      <c r="C374" s="243"/>
      <c r="D374" s="243"/>
      <c r="E374" s="243"/>
      <c r="F374" s="243"/>
      <c r="G374" s="244">
        <f t="shared" si="118"/>
        <v>0</v>
      </c>
      <c r="H374" s="243"/>
      <c r="I374" s="243"/>
      <c r="J374" s="243"/>
      <c r="K374" s="243"/>
      <c r="L374" s="243"/>
      <c r="M374" s="243"/>
      <c r="N374" s="243"/>
      <c r="O374" s="243"/>
      <c r="P374" s="247">
        <f t="shared" si="117"/>
        <v>0</v>
      </c>
      <c r="Q374" s="253"/>
      <c r="R374" s="253"/>
      <c r="S374" s="253"/>
      <c r="T374" s="253"/>
      <c r="U374" s="245">
        <f t="shared" si="119"/>
        <v>0</v>
      </c>
      <c r="V374" s="245">
        <f t="shared" si="120"/>
        <v>0</v>
      </c>
    </row>
    <row r="375" spans="1:22" hidden="1">
      <c r="A375" s="246">
        <f>IF($A$30="","",$A$30)</f>
        <v>45231</v>
      </c>
      <c r="B375" s="243"/>
      <c r="C375" s="243"/>
      <c r="D375" s="243"/>
      <c r="E375" s="243"/>
      <c r="F375" s="243"/>
      <c r="G375" s="244">
        <f t="shared" si="118"/>
        <v>0</v>
      </c>
      <c r="H375" s="243"/>
      <c r="I375" s="243"/>
      <c r="J375" s="243"/>
      <c r="K375" s="243"/>
      <c r="L375" s="243"/>
      <c r="M375" s="243"/>
      <c r="N375" s="243"/>
      <c r="O375" s="243"/>
      <c r="P375" s="247">
        <f t="shared" si="117"/>
        <v>0</v>
      </c>
      <c r="Q375" s="253"/>
      <c r="R375" s="253"/>
      <c r="S375" s="253"/>
      <c r="T375" s="253"/>
      <c r="U375" s="245">
        <f t="shared" si="119"/>
        <v>0</v>
      </c>
      <c r="V375" s="245">
        <f t="shared" si="120"/>
        <v>0</v>
      </c>
    </row>
    <row r="376" spans="1:22" hidden="1">
      <c r="A376" s="246">
        <f>IF($A$31="","",$A$31)</f>
        <v>45261</v>
      </c>
      <c r="B376" s="243"/>
      <c r="C376" s="243"/>
      <c r="D376" s="243"/>
      <c r="E376" s="243"/>
      <c r="F376" s="243"/>
      <c r="G376" s="244">
        <f t="shared" si="118"/>
        <v>0</v>
      </c>
      <c r="H376" s="243"/>
      <c r="I376" s="243"/>
      <c r="J376" s="243"/>
      <c r="K376" s="243"/>
      <c r="L376" s="243"/>
      <c r="M376" s="243"/>
      <c r="N376" s="243"/>
      <c r="O376" s="243"/>
      <c r="P376" s="247">
        <f t="shared" si="117"/>
        <v>0</v>
      </c>
      <c r="Q376" s="253"/>
      <c r="R376" s="253"/>
      <c r="S376" s="253"/>
      <c r="T376" s="253"/>
      <c r="U376" s="245">
        <f t="shared" si="119"/>
        <v>0</v>
      </c>
      <c r="V376" s="245">
        <f t="shared" si="120"/>
        <v>0</v>
      </c>
    </row>
    <row r="377" spans="1:22" hidden="1">
      <c r="A377" s="246">
        <f>IF($A$32="","",$A$32)</f>
        <v>45292</v>
      </c>
      <c r="B377" s="243"/>
      <c r="C377" s="243"/>
      <c r="D377" s="243"/>
      <c r="E377" s="243"/>
      <c r="F377" s="243"/>
      <c r="G377" s="244">
        <f t="shared" si="118"/>
        <v>0</v>
      </c>
      <c r="H377" s="243"/>
      <c r="I377" s="243"/>
      <c r="J377" s="243"/>
      <c r="K377" s="243"/>
      <c r="L377" s="243"/>
      <c r="M377" s="243"/>
      <c r="N377" s="243"/>
      <c r="O377" s="243"/>
      <c r="P377" s="247">
        <f t="shared" si="117"/>
        <v>0</v>
      </c>
      <c r="Q377" s="253"/>
      <c r="R377" s="253"/>
      <c r="S377" s="253"/>
      <c r="T377" s="253"/>
      <c r="U377" s="245">
        <f t="shared" si="119"/>
        <v>0</v>
      </c>
      <c r="V377" s="245">
        <f t="shared" si="120"/>
        <v>0</v>
      </c>
    </row>
    <row r="378" spans="1:22" hidden="1">
      <c r="A378" s="246" t="str">
        <f>IF($A$33="","",$A$33)</f>
        <v/>
      </c>
      <c r="B378" s="243"/>
      <c r="C378" s="243"/>
      <c r="D378" s="243"/>
      <c r="E378" s="243"/>
      <c r="F378" s="243"/>
      <c r="G378" s="244">
        <f t="shared" si="118"/>
        <v>0</v>
      </c>
      <c r="H378" s="243"/>
      <c r="I378" s="243"/>
      <c r="J378" s="243"/>
      <c r="K378" s="243"/>
      <c r="L378" s="243"/>
      <c r="M378" s="243"/>
      <c r="N378" s="243"/>
      <c r="O378" s="243"/>
      <c r="P378" s="247">
        <f t="shared" si="117"/>
        <v>0</v>
      </c>
      <c r="Q378" s="253"/>
      <c r="R378" s="253"/>
      <c r="S378" s="253"/>
      <c r="T378" s="253"/>
      <c r="U378" s="245">
        <f t="shared" si="119"/>
        <v>0</v>
      </c>
      <c r="V378" s="245">
        <f t="shared" si="120"/>
        <v>0</v>
      </c>
    </row>
    <row r="379" spans="1:22" hidden="1">
      <c r="A379" s="246" t="str">
        <f>IF($A$34="","",$A$34)</f>
        <v/>
      </c>
      <c r="B379" s="243"/>
      <c r="C379" s="243"/>
      <c r="D379" s="243"/>
      <c r="E379" s="243"/>
      <c r="F379" s="243"/>
      <c r="G379" s="244">
        <f t="shared" si="118"/>
        <v>0</v>
      </c>
      <c r="H379" s="243"/>
      <c r="I379" s="243"/>
      <c r="J379" s="243"/>
      <c r="K379" s="243"/>
      <c r="L379" s="243"/>
      <c r="M379" s="243"/>
      <c r="N379" s="243"/>
      <c r="O379" s="243"/>
      <c r="P379" s="247">
        <f t="shared" si="117"/>
        <v>0</v>
      </c>
      <c r="Q379" s="253"/>
      <c r="R379" s="253"/>
      <c r="S379" s="253"/>
      <c r="T379" s="253"/>
      <c r="U379" s="245">
        <f t="shared" si="119"/>
        <v>0</v>
      </c>
      <c r="V379" s="245">
        <f t="shared" si="120"/>
        <v>0</v>
      </c>
    </row>
    <row r="380" spans="1:22" hidden="1">
      <c r="A380" s="246" t="str">
        <f>IF($A$35="","",$A$35)</f>
        <v/>
      </c>
      <c r="B380" s="243"/>
      <c r="C380" s="243"/>
      <c r="D380" s="243"/>
      <c r="E380" s="243"/>
      <c r="F380" s="243"/>
      <c r="G380" s="244">
        <f t="shared" si="118"/>
        <v>0</v>
      </c>
      <c r="H380" s="243"/>
      <c r="I380" s="243"/>
      <c r="J380" s="243"/>
      <c r="K380" s="243"/>
      <c r="L380" s="243"/>
      <c r="M380" s="243"/>
      <c r="N380" s="243"/>
      <c r="O380" s="243"/>
      <c r="P380" s="247">
        <f t="shared" si="117"/>
        <v>0</v>
      </c>
      <c r="Q380" s="253"/>
      <c r="R380" s="253"/>
      <c r="S380" s="253"/>
      <c r="T380" s="253"/>
      <c r="U380" s="245">
        <f t="shared" si="119"/>
        <v>0</v>
      </c>
      <c r="V380" s="245">
        <f t="shared" si="120"/>
        <v>0</v>
      </c>
    </row>
    <row r="381" spans="1:22" hidden="1">
      <c r="A381" s="246" t="str">
        <f>IF($A$36="","",$A$36)</f>
        <v/>
      </c>
      <c r="B381" s="243"/>
      <c r="C381" s="243"/>
      <c r="D381" s="243"/>
      <c r="E381" s="243"/>
      <c r="F381" s="243"/>
      <c r="G381" s="244">
        <f t="shared" si="118"/>
        <v>0</v>
      </c>
      <c r="H381" s="243"/>
      <c r="I381" s="243"/>
      <c r="J381" s="243"/>
      <c r="K381" s="243"/>
      <c r="L381" s="243"/>
      <c r="M381" s="243"/>
      <c r="N381" s="243"/>
      <c r="O381" s="243"/>
      <c r="P381" s="247">
        <f t="shared" si="117"/>
        <v>0</v>
      </c>
      <c r="Q381" s="253"/>
      <c r="R381" s="253"/>
      <c r="S381" s="253"/>
      <c r="T381" s="253"/>
      <c r="U381" s="245">
        <f t="shared" si="119"/>
        <v>0</v>
      </c>
      <c r="V381" s="245">
        <f t="shared" si="120"/>
        <v>0</v>
      </c>
    </row>
    <row r="382" spans="1:22" hidden="1">
      <c r="A382" s="246" t="str">
        <f>IF($A$37="","",$A$37)</f>
        <v/>
      </c>
      <c r="B382" s="243"/>
      <c r="C382" s="243"/>
      <c r="D382" s="243"/>
      <c r="E382" s="243"/>
      <c r="F382" s="243"/>
      <c r="G382" s="244">
        <f t="shared" si="118"/>
        <v>0</v>
      </c>
      <c r="H382" s="243"/>
      <c r="I382" s="243"/>
      <c r="J382" s="243"/>
      <c r="K382" s="243"/>
      <c r="L382" s="243"/>
      <c r="M382" s="243"/>
      <c r="N382" s="243"/>
      <c r="O382" s="243"/>
      <c r="P382" s="247">
        <f t="shared" si="117"/>
        <v>0</v>
      </c>
      <c r="Q382" s="253"/>
      <c r="R382" s="253"/>
      <c r="S382" s="253"/>
      <c r="T382" s="253"/>
      <c r="U382" s="245">
        <f t="shared" si="119"/>
        <v>0</v>
      </c>
      <c r="V382" s="245">
        <f t="shared" si="120"/>
        <v>0</v>
      </c>
    </row>
    <row r="383" spans="1:22" hidden="1">
      <c r="A383" s="246" t="str">
        <f>IF($A$38="","",$A$38)</f>
        <v/>
      </c>
      <c r="B383" s="243"/>
      <c r="C383" s="243"/>
      <c r="D383" s="243"/>
      <c r="E383" s="243"/>
      <c r="F383" s="243"/>
      <c r="G383" s="244">
        <f t="shared" si="118"/>
        <v>0</v>
      </c>
      <c r="H383" s="243"/>
      <c r="I383" s="243"/>
      <c r="J383" s="243"/>
      <c r="K383" s="243"/>
      <c r="L383" s="243"/>
      <c r="M383" s="243"/>
      <c r="N383" s="243"/>
      <c r="O383" s="243"/>
      <c r="P383" s="247">
        <f t="shared" si="117"/>
        <v>0</v>
      </c>
      <c r="Q383" s="253"/>
      <c r="R383" s="253"/>
      <c r="S383" s="253"/>
      <c r="T383" s="253"/>
      <c r="U383" s="245">
        <f t="shared" si="119"/>
        <v>0</v>
      </c>
      <c r="V383" s="245">
        <f t="shared" si="120"/>
        <v>0</v>
      </c>
    </row>
    <row r="384" spans="1:22" hidden="1">
      <c r="A384" s="237" t="s">
        <v>522</v>
      </c>
      <c r="B384" s="245">
        <f t="shared" ref="B384:I384" si="121">+SUM(B372:B383)</f>
        <v>0</v>
      </c>
      <c r="C384" s="245">
        <f t="shared" si="121"/>
        <v>0</v>
      </c>
      <c r="D384" s="245">
        <f t="shared" si="121"/>
        <v>0</v>
      </c>
      <c r="E384" s="245">
        <f t="shared" si="121"/>
        <v>0</v>
      </c>
      <c r="F384" s="245">
        <f t="shared" si="121"/>
        <v>0</v>
      </c>
      <c r="G384" s="245">
        <f t="shared" si="121"/>
        <v>0</v>
      </c>
      <c r="H384" s="245">
        <f t="shared" si="121"/>
        <v>0</v>
      </c>
      <c r="I384" s="245">
        <f t="shared" si="121"/>
        <v>0</v>
      </c>
      <c r="J384" s="245">
        <f t="shared" ref="J384:O384" si="122">+SUM(J372:J383)</f>
        <v>0</v>
      </c>
      <c r="K384" s="245">
        <f t="shared" si="122"/>
        <v>0</v>
      </c>
      <c r="L384" s="245">
        <f t="shared" si="122"/>
        <v>0</v>
      </c>
      <c r="M384" s="245">
        <f t="shared" si="122"/>
        <v>0</v>
      </c>
      <c r="N384" s="245">
        <f t="shared" si="122"/>
        <v>0</v>
      </c>
      <c r="O384" s="245">
        <f t="shared" si="122"/>
        <v>0</v>
      </c>
      <c r="P384" s="245">
        <f t="shared" ref="P384:V384" si="123">+SUM(P372:P383)</f>
        <v>0</v>
      </c>
      <c r="Q384" s="245">
        <f t="shared" si="123"/>
        <v>0</v>
      </c>
      <c r="R384" s="245">
        <f t="shared" si="123"/>
        <v>0</v>
      </c>
      <c r="S384" s="245">
        <f t="shared" si="123"/>
        <v>0</v>
      </c>
      <c r="T384" s="245">
        <f t="shared" si="123"/>
        <v>0</v>
      </c>
      <c r="U384" s="245">
        <f t="shared" si="123"/>
        <v>0</v>
      </c>
      <c r="V384" s="245">
        <f t="shared" si="123"/>
        <v>0</v>
      </c>
    </row>
    <row r="385" spans="1:22" hidden="1">
      <c r="A385" s="237" t="s">
        <v>523</v>
      </c>
      <c r="B385" s="245">
        <f>IFERROR(B384/(COUNTA(A372:A383)-COUNTIF(A372:A383,"")),0)</f>
        <v>0</v>
      </c>
      <c r="C385" s="245">
        <f>IFERROR(C384/(COUNTA(A372:A383)-COUNTIF(A372:A383,"")),0)</f>
        <v>0</v>
      </c>
      <c r="D385" s="245">
        <f>IFERROR(D384/(COUNTA(A372:A383)-COUNTIF(A372:A383,"")),0)</f>
        <v>0</v>
      </c>
      <c r="E385" s="245">
        <f>IFERROR(E384/(COUNTA(A372:A383)-COUNTIF(A372:A383,"")),0)</f>
        <v>0</v>
      </c>
      <c r="F385" s="245">
        <f>IFERROR(F384/(COUNTA(A372:A383)-COUNTIF(A372:A383,"")),0)</f>
        <v>0</v>
      </c>
      <c r="G385" s="245">
        <f>IFERROR(G384/(COUNTA(A372:A383)-COUNTIF(A372:A383,"")),0)</f>
        <v>0</v>
      </c>
      <c r="H385" s="245">
        <f>IFERROR(H384/(COUNTA(A372:A383)-COUNTIF(A372:A383,"")),0)</f>
        <v>0</v>
      </c>
      <c r="I385" s="245">
        <f>IFERROR(I384/(COUNTA(A372:A383)-COUNTIF(A372:A383,"")),0)</f>
        <v>0</v>
      </c>
      <c r="J385" s="245">
        <f>IFERROR(J384/(COUNTA(A372:A383)-COUNTIF(A372:A383,"")),0)</f>
        <v>0</v>
      </c>
      <c r="K385" s="245">
        <f>IFERROR(K384/(COUNTA(A372:A383)-COUNTIF(A372:A383,"")),0)</f>
        <v>0</v>
      </c>
      <c r="L385" s="245">
        <f>IFERROR(L384/(COUNTA(A372:A383)-COUNTIF(A372:A383,"")),0)</f>
        <v>0</v>
      </c>
      <c r="M385" s="245">
        <f>IFERROR(M384/(COUNTA(A372:A383)-COUNTIF(A372:A383,"")),0)</f>
        <v>0</v>
      </c>
      <c r="N385" s="245">
        <f>IFERROR(N384/(COUNTA(A372:A383)-COUNTIF(A372:A383,"")),0)</f>
        <v>0</v>
      </c>
      <c r="O385" s="245">
        <f>IFERROR(O384/(COUNTA(A372:A383)-COUNTIF(A372:A383,"")),0)</f>
        <v>0</v>
      </c>
      <c r="P385" s="245">
        <f>IFERROR(P384/(COUNTA(A372:A383)-COUNTIF(A372:A383,"")),0)</f>
        <v>0</v>
      </c>
      <c r="Q385" s="250"/>
      <c r="R385" s="250"/>
      <c r="S385" s="238">
        <f>IFERROR(R384/S384*100,0)</f>
        <v>0</v>
      </c>
      <c r="T385" s="238">
        <f>IFERROR(Q384/T384*100,0)</f>
        <v>0</v>
      </c>
      <c r="U385" s="245">
        <f>IFERROR(U384/COUNTA(A372:A383),0)</f>
        <v>0</v>
      </c>
      <c r="V385" s="245">
        <f>IFERROR(V384/COUNTA(A372:A383),0)</f>
        <v>0</v>
      </c>
    </row>
    <row r="386" spans="1:22" ht="38.25" hidden="1">
      <c r="A386" s="237" t="s">
        <v>524</v>
      </c>
      <c r="B386" s="245">
        <f>O369+B385</f>
        <v>0</v>
      </c>
      <c r="C386" s="245">
        <f>O369+C385</f>
        <v>0</v>
      </c>
      <c r="D386" s="245">
        <f>O369+D385</f>
        <v>0</v>
      </c>
      <c r="E386" s="245"/>
      <c r="F386" s="245"/>
      <c r="G386" s="245">
        <f>O369+G385</f>
        <v>0</v>
      </c>
      <c r="H386" s="245"/>
      <c r="I386" s="245"/>
      <c r="J386" s="245"/>
      <c r="K386" s="245"/>
      <c r="L386" s="245"/>
      <c r="M386" s="245"/>
      <c r="N386" s="245"/>
      <c r="O386" s="245"/>
      <c r="P386" s="245"/>
      <c r="Q386" s="250"/>
      <c r="R386" s="250"/>
      <c r="S386" s="251" t="s">
        <v>525</v>
      </c>
      <c r="T386" s="251" t="s">
        <v>526</v>
      </c>
      <c r="U386" s="251"/>
      <c r="V386" s="251"/>
    </row>
    <row r="390" spans="1:22" ht="12.75" hidden="1" customHeight="1">
      <c r="A390" s="413" t="s">
        <v>502</v>
      </c>
      <c r="B390" s="413"/>
      <c r="C390" s="418"/>
      <c r="D390" s="419"/>
      <c r="E390" s="419"/>
      <c r="F390" s="419"/>
      <c r="G390" s="419"/>
      <c r="H390" s="419"/>
      <c r="I390" s="419"/>
      <c r="J390" s="419"/>
      <c r="K390" s="419"/>
      <c r="L390" s="419"/>
      <c r="M390" s="419"/>
      <c r="N390" s="419"/>
      <c r="O390" s="419"/>
      <c r="P390" s="419"/>
      <c r="Q390" s="419"/>
      <c r="R390" s="419"/>
      <c r="S390" s="419"/>
      <c r="T390" s="420"/>
      <c r="U390" s="239"/>
      <c r="V390" s="239"/>
    </row>
    <row r="391" spans="1:22" ht="12.75" hidden="1" customHeight="1">
      <c r="A391" s="413" t="s">
        <v>527</v>
      </c>
      <c r="B391" s="413"/>
      <c r="C391" s="421"/>
      <c r="D391" s="421"/>
      <c r="E391" s="421"/>
      <c r="F391" s="421"/>
      <c r="G391" s="421"/>
      <c r="H391" s="422" t="s">
        <v>528</v>
      </c>
      <c r="I391" s="422"/>
      <c r="J391" s="421"/>
      <c r="K391" s="421"/>
      <c r="L391" s="421"/>
      <c r="M391" s="421"/>
      <c r="N391" s="421"/>
      <c r="O391" s="421"/>
      <c r="P391" s="421"/>
      <c r="Q391" s="421"/>
      <c r="R391" s="421"/>
      <c r="S391" s="421"/>
      <c r="T391" s="421"/>
      <c r="U391" s="239"/>
      <c r="V391" s="239"/>
    </row>
    <row r="392" spans="1:22" ht="25.5" hidden="1" customHeight="1">
      <c r="A392" s="413" t="s">
        <v>529</v>
      </c>
      <c r="B392" s="413"/>
      <c r="C392" s="418"/>
      <c r="D392" s="420"/>
      <c r="E392" s="241" t="s">
        <v>530</v>
      </c>
      <c r="F392" s="423"/>
      <c r="G392" s="424"/>
      <c r="H392" s="424"/>
      <c r="I392" s="425"/>
      <c r="J392" s="241" t="s">
        <v>531</v>
      </c>
      <c r="K392" s="423"/>
      <c r="L392" s="424"/>
      <c r="M392" s="425"/>
      <c r="N392" s="240" t="s">
        <v>532</v>
      </c>
      <c r="O392" s="426"/>
      <c r="P392" s="427"/>
      <c r="Q392" s="427"/>
      <c r="R392" s="427"/>
      <c r="S392" s="427"/>
      <c r="T392" s="428"/>
      <c r="U392" s="252"/>
      <c r="V392" s="252"/>
    </row>
    <row r="393" spans="1:22" ht="38.25" hidden="1" customHeight="1">
      <c r="A393" s="231" t="s">
        <v>163</v>
      </c>
      <c r="B393" s="415" t="s">
        <v>533</v>
      </c>
      <c r="C393" s="415"/>
      <c r="D393" s="415"/>
      <c r="E393" s="232" t="s">
        <v>534</v>
      </c>
      <c r="F393" s="232" t="s">
        <v>535</v>
      </c>
      <c r="G393" s="231" t="s">
        <v>536</v>
      </c>
      <c r="H393" s="231" t="s">
        <v>537</v>
      </c>
      <c r="I393" s="231" t="s">
        <v>538</v>
      </c>
      <c r="J393" s="232" t="s">
        <v>539</v>
      </c>
      <c r="K393" s="232" t="s">
        <v>540</v>
      </c>
      <c r="L393" s="416" t="s">
        <v>541</v>
      </c>
      <c r="M393" s="417"/>
      <c r="N393" s="416" t="s">
        <v>542</v>
      </c>
      <c r="O393" s="417"/>
      <c r="P393" s="231" t="s">
        <v>543</v>
      </c>
      <c r="Q393" s="231" t="s">
        <v>514</v>
      </c>
      <c r="R393" s="231" t="s">
        <v>515</v>
      </c>
      <c r="S393" s="231" t="s">
        <v>516</v>
      </c>
      <c r="T393" s="231" t="s">
        <v>517</v>
      </c>
      <c r="U393" s="231" t="s">
        <v>544</v>
      </c>
      <c r="V393" s="231" t="s">
        <v>545</v>
      </c>
    </row>
    <row r="394" spans="1:22" hidden="1">
      <c r="A394" s="231"/>
      <c r="B394" s="231">
        <v>10</v>
      </c>
      <c r="C394" s="231">
        <v>20</v>
      </c>
      <c r="D394" s="231">
        <v>30</v>
      </c>
      <c r="E394" s="231"/>
      <c r="F394" s="231"/>
      <c r="G394" s="231"/>
      <c r="H394" s="231"/>
      <c r="I394" s="231"/>
      <c r="J394" s="231"/>
      <c r="K394" s="231"/>
      <c r="L394" s="231" t="s">
        <v>520</v>
      </c>
      <c r="M394" s="231" t="s">
        <v>521</v>
      </c>
      <c r="N394" s="231" t="s">
        <v>520</v>
      </c>
      <c r="O394" s="231" t="s">
        <v>521</v>
      </c>
      <c r="P394" s="231"/>
      <c r="Q394" s="231"/>
      <c r="R394" s="231"/>
      <c r="S394" s="231"/>
      <c r="T394" s="231"/>
      <c r="U394" s="231"/>
      <c r="V394" s="231"/>
    </row>
    <row r="395" spans="1:22" hidden="1">
      <c r="A395" s="246">
        <f>IF($A$27="","",$A$27)</f>
        <v>45139</v>
      </c>
      <c r="B395" s="243"/>
      <c r="C395" s="243"/>
      <c r="D395" s="243"/>
      <c r="E395" s="243"/>
      <c r="F395" s="243"/>
      <c r="G395" s="244">
        <f>IFERROR(AVERAGE(B395:D395),0)</f>
        <v>0</v>
      </c>
      <c r="H395" s="243"/>
      <c r="I395" s="243"/>
      <c r="J395" s="243"/>
      <c r="K395" s="243"/>
      <c r="L395" s="243"/>
      <c r="M395" s="243"/>
      <c r="N395" s="243"/>
      <c r="O395" s="243"/>
      <c r="P395" s="247">
        <f t="shared" ref="P395:P406" si="124">+H395-I395-J395-M395+L395</f>
        <v>0</v>
      </c>
      <c r="Q395" s="253"/>
      <c r="R395" s="253"/>
      <c r="S395" s="253"/>
      <c r="T395" s="253"/>
      <c r="U395" s="245">
        <f>H395-J395-M395</f>
        <v>0</v>
      </c>
      <c r="V395" s="245">
        <f>I395-L395</f>
        <v>0</v>
      </c>
    </row>
    <row r="396" spans="1:22" hidden="1">
      <c r="A396" s="246">
        <f>IF($A$28="","",$A$28)</f>
        <v>45170</v>
      </c>
      <c r="B396" s="243"/>
      <c r="C396" s="243"/>
      <c r="D396" s="243"/>
      <c r="E396" s="243"/>
      <c r="F396" s="243"/>
      <c r="G396" s="244">
        <f t="shared" ref="G396:G406" si="125">IFERROR(AVERAGE(B396:D396),0)</f>
        <v>0</v>
      </c>
      <c r="H396" s="243"/>
      <c r="I396" s="243"/>
      <c r="J396" s="243"/>
      <c r="K396" s="243"/>
      <c r="L396" s="243"/>
      <c r="M396" s="243"/>
      <c r="N396" s="243"/>
      <c r="O396" s="243"/>
      <c r="P396" s="247">
        <f t="shared" si="124"/>
        <v>0</v>
      </c>
      <c r="Q396" s="253"/>
      <c r="R396" s="253"/>
      <c r="S396" s="253"/>
      <c r="T396" s="253"/>
      <c r="U396" s="245">
        <f t="shared" ref="U396:U406" si="126">H396-J396-M396</f>
        <v>0</v>
      </c>
      <c r="V396" s="245">
        <f t="shared" ref="V396:V406" si="127">I396-L396</f>
        <v>0</v>
      </c>
    </row>
    <row r="397" spans="1:22" hidden="1">
      <c r="A397" s="246">
        <f>IF($A$29="","",$A$29)</f>
        <v>45200</v>
      </c>
      <c r="B397" s="243"/>
      <c r="C397" s="243"/>
      <c r="D397" s="243"/>
      <c r="E397" s="243"/>
      <c r="F397" s="243"/>
      <c r="G397" s="244">
        <f t="shared" si="125"/>
        <v>0</v>
      </c>
      <c r="H397" s="243"/>
      <c r="I397" s="243"/>
      <c r="J397" s="243"/>
      <c r="K397" s="243"/>
      <c r="L397" s="243"/>
      <c r="M397" s="243"/>
      <c r="N397" s="243"/>
      <c r="O397" s="243"/>
      <c r="P397" s="247">
        <f t="shared" si="124"/>
        <v>0</v>
      </c>
      <c r="Q397" s="253"/>
      <c r="R397" s="253"/>
      <c r="S397" s="253"/>
      <c r="T397" s="253"/>
      <c r="U397" s="245">
        <f t="shared" si="126"/>
        <v>0</v>
      </c>
      <c r="V397" s="245">
        <f t="shared" si="127"/>
        <v>0</v>
      </c>
    </row>
    <row r="398" spans="1:22" hidden="1">
      <c r="A398" s="246">
        <f>IF($A$30="","",$A$30)</f>
        <v>45231</v>
      </c>
      <c r="B398" s="243"/>
      <c r="C398" s="243"/>
      <c r="D398" s="243"/>
      <c r="E398" s="243"/>
      <c r="F398" s="243"/>
      <c r="G398" s="244">
        <f t="shared" si="125"/>
        <v>0</v>
      </c>
      <c r="H398" s="243"/>
      <c r="I398" s="243"/>
      <c r="J398" s="243"/>
      <c r="K398" s="243"/>
      <c r="L398" s="243"/>
      <c r="M398" s="243"/>
      <c r="N398" s="243"/>
      <c r="O398" s="243"/>
      <c r="P398" s="247">
        <f t="shared" si="124"/>
        <v>0</v>
      </c>
      <c r="Q398" s="253"/>
      <c r="R398" s="253"/>
      <c r="S398" s="253"/>
      <c r="T398" s="253"/>
      <c r="U398" s="245">
        <f t="shared" si="126"/>
        <v>0</v>
      </c>
      <c r="V398" s="245">
        <f t="shared" si="127"/>
        <v>0</v>
      </c>
    </row>
    <row r="399" spans="1:22" hidden="1">
      <c r="A399" s="246">
        <f>IF($A$31="","",$A$31)</f>
        <v>45261</v>
      </c>
      <c r="B399" s="243"/>
      <c r="C399" s="243"/>
      <c r="D399" s="243"/>
      <c r="E399" s="243"/>
      <c r="F399" s="243"/>
      <c r="G399" s="244">
        <f t="shared" si="125"/>
        <v>0</v>
      </c>
      <c r="H399" s="243"/>
      <c r="I399" s="243"/>
      <c r="J399" s="243"/>
      <c r="K399" s="243"/>
      <c r="L399" s="243"/>
      <c r="M399" s="243"/>
      <c r="N399" s="243"/>
      <c r="O399" s="243"/>
      <c r="P399" s="247">
        <f t="shared" si="124"/>
        <v>0</v>
      </c>
      <c r="Q399" s="253"/>
      <c r="R399" s="253"/>
      <c r="S399" s="253"/>
      <c r="T399" s="253"/>
      <c r="U399" s="245">
        <f t="shared" si="126"/>
        <v>0</v>
      </c>
      <c r="V399" s="245">
        <f t="shared" si="127"/>
        <v>0</v>
      </c>
    </row>
    <row r="400" spans="1:22" hidden="1">
      <c r="A400" s="246">
        <f>IF($A$32="","",$A$32)</f>
        <v>45292</v>
      </c>
      <c r="B400" s="243"/>
      <c r="C400" s="243"/>
      <c r="D400" s="243"/>
      <c r="E400" s="243"/>
      <c r="F400" s="243"/>
      <c r="G400" s="244">
        <f t="shared" si="125"/>
        <v>0</v>
      </c>
      <c r="H400" s="243"/>
      <c r="I400" s="243"/>
      <c r="J400" s="243"/>
      <c r="K400" s="243"/>
      <c r="L400" s="243"/>
      <c r="M400" s="243"/>
      <c r="N400" s="243"/>
      <c r="O400" s="243"/>
      <c r="P400" s="247">
        <f t="shared" si="124"/>
        <v>0</v>
      </c>
      <c r="Q400" s="253"/>
      <c r="R400" s="253"/>
      <c r="S400" s="253"/>
      <c r="T400" s="253"/>
      <c r="U400" s="245">
        <f t="shared" si="126"/>
        <v>0</v>
      </c>
      <c r="V400" s="245">
        <f t="shared" si="127"/>
        <v>0</v>
      </c>
    </row>
    <row r="401" spans="1:22" hidden="1">
      <c r="A401" s="246" t="str">
        <f>IF($A$33="","",$A$33)</f>
        <v/>
      </c>
      <c r="B401" s="243"/>
      <c r="C401" s="243"/>
      <c r="D401" s="243"/>
      <c r="E401" s="243"/>
      <c r="F401" s="243"/>
      <c r="G401" s="244">
        <f t="shared" si="125"/>
        <v>0</v>
      </c>
      <c r="H401" s="243"/>
      <c r="I401" s="243"/>
      <c r="J401" s="243"/>
      <c r="K401" s="243"/>
      <c r="L401" s="243"/>
      <c r="M401" s="243"/>
      <c r="N401" s="243"/>
      <c r="O401" s="243"/>
      <c r="P401" s="247">
        <f t="shared" si="124"/>
        <v>0</v>
      </c>
      <c r="Q401" s="253"/>
      <c r="R401" s="253"/>
      <c r="S401" s="253"/>
      <c r="T401" s="253"/>
      <c r="U401" s="245">
        <f t="shared" si="126"/>
        <v>0</v>
      </c>
      <c r="V401" s="245">
        <f t="shared" si="127"/>
        <v>0</v>
      </c>
    </row>
    <row r="402" spans="1:22" hidden="1">
      <c r="A402" s="246" t="str">
        <f>IF($A$34="","",$A$34)</f>
        <v/>
      </c>
      <c r="B402" s="243"/>
      <c r="C402" s="243"/>
      <c r="D402" s="243"/>
      <c r="E402" s="243"/>
      <c r="F402" s="243"/>
      <c r="G402" s="244">
        <f t="shared" si="125"/>
        <v>0</v>
      </c>
      <c r="H402" s="243"/>
      <c r="I402" s="243"/>
      <c r="J402" s="243"/>
      <c r="K402" s="243"/>
      <c r="L402" s="243"/>
      <c r="M402" s="243"/>
      <c r="N402" s="243"/>
      <c r="O402" s="243"/>
      <c r="P402" s="247">
        <f t="shared" si="124"/>
        <v>0</v>
      </c>
      <c r="Q402" s="253"/>
      <c r="R402" s="253"/>
      <c r="S402" s="253"/>
      <c r="T402" s="253"/>
      <c r="U402" s="245">
        <f t="shared" si="126"/>
        <v>0</v>
      </c>
      <c r="V402" s="245">
        <f t="shared" si="127"/>
        <v>0</v>
      </c>
    </row>
    <row r="403" spans="1:22" hidden="1">
      <c r="A403" s="246" t="str">
        <f>IF($A$35="","",$A$35)</f>
        <v/>
      </c>
      <c r="B403" s="243"/>
      <c r="C403" s="243"/>
      <c r="D403" s="243"/>
      <c r="E403" s="243"/>
      <c r="F403" s="243"/>
      <c r="G403" s="244">
        <f t="shared" si="125"/>
        <v>0</v>
      </c>
      <c r="H403" s="243"/>
      <c r="I403" s="243"/>
      <c r="J403" s="243"/>
      <c r="K403" s="243"/>
      <c r="L403" s="243"/>
      <c r="M403" s="243"/>
      <c r="N403" s="243"/>
      <c r="O403" s="243"/>
      <c r="P403" s="247">
        <f t="shared" si="124"/>
        <v>0</v>
      </c>
      <c r="Q403" s="253"/>
      <c r="R403" s="253"/>
      <c r="S403" s="253"/>
      <c r="T403" s="253"/>
      <c r="U403" s="245">
        <f t="shared" si="126"/>
        <v>0</v>
      </c>
      <c r="V403" s="245">
        <f t="shared" si="127"/>
        <v>0</v>
      </c>
    </row>
    <row r="404" spans="1:22" hidden="1">
      <c r="A404" s="246" t="str">
        <f>IF($A$36="","",$A$36)</f>
        <v/>
      </c>
      <c r="B404" s="243"/>
      <c r="C404" s="243"/>
      <c r="D404" s="243"/>
      <c r="E404" s="243"/>
      <c r="F404" s="243"/>
      <c r="G404" s="244">
        <f t="shared" si="125"/>
        <v>0</v>
      </c>
      <c r="H404" s="243"/>
      <c r="I404" s="243"/>
      <c r="J404" s="243"/>
      <c r="K404" s="243"/>
      <c r="L404" s="243"/>
      <c r="M404" s="243"/>
      <c r="N404" s="243"/>
      <c r="O404" s="243"/>
      <c r="P404" s="247">
        <f t="shared" si="124"/>
        <v>0</v>
      </c>
      <c r="Q404" s="253"/>
      <c r="R404" s="253"/>
      <c r="S404" s="253"/>
      <c r="T404" s="253"/>
      <c r="U404" s="245">
        <f t="shared" si="126"/>
        <v>0</v>
      </c>
      <c r="V404" s="245">
        <f t="shared" si="127"/>
        <v>0</v>
      </c>
    </row>
    <row r="405" spans="1:22" hidden="1">
      <c r="A405" s="246" t="str">
        <f>IF($A$37="","",$A$37)</f>
        <v/>
      </c>
      <c r="B405" s="243"/>
      <c r="C405" s="243"/>
      <c r="D405" s="243"/>
      <c r="E405" s="243"/>
      <c r="F405" s="243"/>
      <c r="G405" s="244">
        <f t="shared" si="125"/>
        <v>0</v>
      </c>
      <c r="H405" s="243"/>
      <c r="I405" s="243"/>
      <c r="J405" s="243"/>
      <c r="K405" s="243"/>
      <c r="L405" s="243"/>
      <c r="M405" s="243"/>
      <c r="N405" s="243"/>
      <c r="O405" s="243"/>
      <c r="P405" s="247">
        <f t="shared" si="124"/>
        <v>0</v>
      </c>
      <c r="Q405" s="253"/>
      <c r="R405" s="253"/>
      <c r="S405" s="253"/>
      <c r="T405" s="253"/>
      <c r="U405" s="245">
        <f t="shared" si="126"/>
        <v>0</v>
      </c>
      <c r="V405" s="245">
        <f t="shared" si="127"/>
        <v>0</v>
      </c>
    </row>
    <row r="406" spans="1:22" hidden="1">
      <c r="A406" s="246" t="str">
        <f>IF($A$38="","",$A$38)</f>
        <v/>
      </c>
      <c r="B406" s="243"/>
      <c r="C406" s="243"/>
      <c r="D406" s="243"/>
      <c r="E406" s="243"/>
      <c r="F406" s="243"/>
      <c r="G406" s="244">
        <f t="shared" si="125"/>
        <v>0</v>
      </c>
      <c r="H406" s="243"/>
      <c r="I406" s="243"/>
      <c r="J406" s="243"/>
      <c r="K406" s="243"/>
      <c r="L406" s="243"/>
      <c r="M406" s="243"/>
      <c r="N406" s="243"/>
      <c r="O406" s="243"/>
      <c r="P406" s="247">
        <f t="shared" si="124"/>
        <v>0</v>
      </c>
      <c r="Q406" s="253"/>
      <c r="R406" s="253"/>
      <c r="S406" s="253"/>
      <c r="T406" s="253"/>
      <c r="U406" s="245">
        <f t="shared" si="126"/>
        <v>0</v>
      </c>
      <c r="V406" s="245">
        <f t="shared" si="127"/>
        <v>0</v>
      </c>
    </row>
    <row r="407" spans="1:22" hidden="1">
      <c r="A407" s="237" t="s">
        <v>522</v>
      </c>
      <c r="B407" s="245">
        <f t="shared" ref="B407:I407" si="128">+SUM(B395:B406)</f>
        <v>0</v>
      </c>
      <c r="C407" s="245">
        <f t="shared" si="128"/>
        <v>0</v>
      </c>
      <c r="D407" s="245">
        <f t="shared" si="128"/>
        <v>0</v>
      </c>
      <c r="E407" s="245">
        <f t="shared" si="128"/>
        <v>0</v>
      </c>
      <c r="F407" s="245">
        <f t="shared" si="128"/>
        <v>0</v>
      </c>
      <c r="G407" s="245">
        <f t="shared" si="128"/>
        <v>0</v>
      </c>
      <c r="H407" s="245">
        <f t="shared" si="128"/>
        <v>0</v>
      </c>
      <c r="I407" s="245">
        <f t="shared" si="128"/>
        <v>0</v>
      </c>
      <c r="J407" s="245">
        <f t="shared" ref="J407:O407" si="129">+SUM(J395:J406)</f>
        <v>0</v>
      </c>
      <c r="K407" s="245">
        <f t="shared" si="129"/>
        <v>0</v>
      </c>
      <c r="L407" s="245">
        <f t="shared" si="129"/>
        <v>0</v>
      </c>
      <c r="M407" s="245">
        <f t="shared" si="129"/>
        <v>0</v>
      </c>
      <c r="N407" s="245">
        <f t="shared" si="129"/>
        <v>0</v>
      </c>
      <c r="O407" s="245">
        <f t="shared" si="129"/>
        <v>0</v>
      </c>
      <c r="P407" s="245">
        <f t="shared" ref="P407:V407" si="130">+SUM(P395:P406)</f>
        <v>0</v>
      </c>
      <c r="Q407" s="245">
        <f t="shared" si="130"/>
        <v>0</v>
      </c>
      <c r="R407" s="245">
        <f t="shared" si="130"/>
        <v>0</v>
      </c>
      <c r="S407" s="245">
        <f t="shared" si="130"/>
        <v>0</v>
      </c>
      <c r="T407" s="245">
        <f t="shared" si="130"/>
        <v>0</v>
      </c>
      <c r="U407" s="245">
        <f t="shared" si="130"/>
        <v>0</v>
      </c>
      <c r="V407" s="245">
        <f t="shared" si="130"/>
        <v>0</v>
      </c>
    </row>
    <row r="408" spans="1:22" hidden="1">
      <c r="A408" s="237" t="s">
        <v>523</v>
      </c>
      <c r="B408" s="245">
        <f>IFERROR(B407/(COUNTA(A395:A406)-COUNTIF(A395:A406,"")),0)</f>
        <v>0</v>
      </c>
      <c r="C408" s="245">
        <f>IFERROR(C407/(COUNTA(A395:A406)-COUNTIF(A395:A406,"")),0)</f>
        <v>0</v>
      </c>
      <c r="D408" s="245">
        <f>IFERROR(D407/(COUNTA(A395:A406)-COUNTIF(A395:A406,"")),0)</f>
        <v>0</v>
      </c>
      <c r="E408" s="245">
        <f>IFERROR(E407/(COUNTA(A395:A406)-COUNTIF(A395:A406,"")),0)</f>
        <v>0</v>
      </c>
      <c r="F408" s="245">
        <f>IFERROR(F407/(COUNTA(A395:A406)-COUNTIF(A395:A406,"")),0)</f>
        <v>0</v>
      </c>
      <c r="G408" s="245">
        <f>IFERROR(G407/(COUNTA(A395:A406)-COUNTIF(A395:A406,"")),0)</f>
        <v>0</v>
      </c>
      <c r="H408" s="245">
        <f>IFERROR(H407/(COUNTA(A395:A406)-COUNTIF(A395:A406,"")),0)</f>
        <v>0</v>
      </c>
      <c r="I408" s="245">
        <f>IFERROR(I407/(COUNTA(A395:A406)-COUNTIF(A395:A406,"")),0)</f>
        <v>0</v>
      </c>
      <c r="J408" s="245">
        <f>IFERROR(J407/(COUNTA(A395:A406)-COUNTIF(A395:A406,"")),0)</f>
        <v>0</v>
      </c>
      <c r="K408" s="245">
        <f>IFERROR(K407/(COUNTA(A395:A406)-COUNTIF(A395:A406,"")),0)</f>
        <v>0</v>
      </c>
      <c r="L408" s="245">
        <f>IFERROR(L407/(COUNTA(A395:A406)-COUNTIF(A395:A406,"")),0)</f>
        <v>0</v>
      </c>
      <c r="M408" s="245">
        <f>IFERROR(M407/(COUNTA(A395:A406)-COUNTIF(A395:A406,"")),0)</f>
        <v>0</v>
      </c>
      <c r="N408" s="245">
        <f>IFERROR(N407/(COUNTA(A395:A406)-COUNTIF(A395:A406,"")),0)</f>
        <v>0</v>
      </c>
      <c r="O408" s="245">
        <f>IFERROR(O407/(COUNTA(A395:A406)-COUNTIF(A395:A406,"")),0)</f>
        <v>0</v>
      </c>
      <c r="P408" s="245">
        <f>IFERROR(P407/(COUNTA(A395:A406)-COUNTIF(A395:A406,"")),0)</f>
        <v>0</v>
      </c>
      <c r="Q408" s="250"/>
      <c r="R408" s="250"/>
      <c r="S408" s="238">
        <f>IFERROR(R407/S407*100,0)</f>
        <v>0</v>
      </c>
      <c r="T408" s="238">
        <f>IFERROR(Q407/T407*100,0)</f>
        <v>0</v>
      </c>
      <c r="U408" s="245">
        <f>IFERROR(U407/COUNTA(A395:A406),0)</f>
        <v>0</v>
      </c>
      <c r="V408" s="245">
        <f>IFERROR(V407/COUNTA(A395:A406),0)</f>
        <v>0</v>
      </c>
    </row>
    <row r="409" spans="1:22" ht="38.25" hidden="1">
      <c r="A409" s="237" t="s">
        <v>524</v>
      </c>
      <c r="B409" s="245">
        <f>O392+B408</f>
        <v>0</v>
      </c>
      <c r="C409" s="245">
        <f>O392+C408</f>
        <v>0</v>
      </c>
      <c r="D409" s="245">
        <f>O392+D408</f>
        <v>0</v>
      </c>
      <c r="E409" s="245"/>
      <c r="F409" s="245"/>
      <c r="G409" s="245">
        <f>O392+G408</f>
        <v>0</v>
      </c>
      <c r="H409" s="245"/>
      <c r="I409" s="245"/>
      <c r="J409" s="245"/>
      <c r="K409" s="245"/>
      <c r="L409" s="245"/>
      <c r="M409" s="245"/>
      <c r="N409" s="245"/>
      <c r="O409" s="245"/>
      <c r="P409" s="245"/>
      <c r="Q409" s="250"/>
      <c r="R409" s="250"/>
      <c r="S409" s="251" t="s">
        <v>525</v>
      </c>
      <c r="T409" s="251" t="s">
        <v>526</v>
      </c>
      <c r="U409" s="251"/>
      <c r="V409" s="251"/>
    </row>
    <row r="413" spans="1:22" ht="12.75" hidden="1" customHeight="1">
      <c r="A413" s="413" t="s">
        <v>502</v>
      </c>
      <c r="B413" s="413"/>
      <c r="C413" s="418"/>
      <c r="D413" s="419"/>
      <c r="E413" s="419"/>
      <c r="F413" s="419"/>
      <c r="G413" s="419"/>
      <c r="H413" s="419"/>
      <c r="I413" s="419"/>
      <c r="J413" s="419"/>
      <c r="K413" s="419"/>
      <c r="L413" s="419"/>
      <c r="M413" s="419"/>
      <c r="N413" s="419"/>
      <c r="O413" s="419"/>
      <c r="P413" s="419"/>
      <c r="Q413" s="419"/>
      <c r="R413" s="419"/>
      <c r="S413" s="419"/>
      <c r="T413" s="420"/>
      <c r="U413" s="239"/>
      <c r="V413" s="239"/>
    </row>
    <row r="414" spans="1:22" ht="12.75" hidden="1" customHeight="1">
      <c r="A414" s="413" t="s">
        <v>527</v>
      </c>
      <c r="B414" s="413"/>
      <c r="C414" s="421"/>
      <c r="D414" s="421"/>
      <c r="E414" s="421"/>
      <c r="F414" s="421"/>
      <c r="G414" s="421"/>
      <c r="H414" s="422" t="s">
        <v>528</v>
      </c>
      <c r="I414" s="422"/>
      <c r="J414" s="421"/>
      <c r="K414" s="421"/>
      <c r="L414" s="421"/>
      <c r="M414" s="421"/>
      <c r="N414" s="421"/>
      <c r="O414" s="421"/>
      <c r="P414" s="421"/>
      <c r="Q414" s="421"/>
      <c r="R414" s="421"/>
      <c r="S414" s="421"/>
      <c r="T414" s="421"/>
      <c r="U414" s="239"/>
      <c r="V414" s="239"/>
    </row>
    <row r="415" spans="1:22" ht="25.5" hidden="1" customHeight="1">
      <c r="A415" s="413" t="s">
        <v>529</v>
      </c>
      <c r="B415" s="413"/>
      <c r="C415" s="418"/>
      <c r="D415" s="420"/>
      <c r="E415" s="241" t="s">
        <v>530</v>
      </c>
      <c r="F415" s="423"/>
      <c r="G415" s="424"/>
      <c r="H415" s="424"/>
      <c r="I415" s="425"/>
      <c r="J415" s="241" t="s">
        <v>531</v>
      </c>
      <c r="K415" s="423"/>
      <c r="L415" s="424"/>
      <c r="M415" s="425"/>
      <c r="N415" s="240" t="s">
        <v>532</v>
      </c>
      <c r="O415" s="426"/>
      <c r="P415" s="427"/>
      <c r="Q415" s="427"/>
      <c r="R415" s="427"/>
      <c r="S415" s="427"/>
      <c r="T415" s="428"/>
      <c r="U415" s="252"/>
      <c r="V415" s="252"/>
    </row>
    <row r="416" spans="1:22" ht="38.25" hidden="1" customHeight="1">
      <c r="A416" s="231" t="s">
        <v>163</v>
      </c>
      <c r="B416" s="415" t="s">
        <v>533</v>
      </c>
      <c r="C416" s="415"/>
      <c r="D416" s="415"/>
      <c r="E416" s="232" t="s">
        <v>534</v>
      </c>
      <c r="F416" s="232" t="s">
        <v>535</v>
      </c>
      <c r="G416" s="231" t="s">
        <v>536</v>
      </c>
      <c r="H416" s="231" t="s">
        <v>537</v>
      </c>
      <c r="I416" s="231" t="s">
        <v>538</v>
      </c>
      <c r="J416" s="232" t="s">
        <v>539</v>
      </c>
      <c r="K416" s="232" t="s">
        <v>540</v>
      </c>
      <c r="L416" s="416" t="s">
        <v>541</v>
      </c>
      <c r="M416" s="417"/>
      <c r="N416" s="416" t="s">
        <v>542</v>
      </c>
      <c r="O416" s="417"/>
      <c r="P416" s="231" t="s">
        <v>543</v>
      </c>
      <c r="Q416" s="231" t="s">
        <v>514</v>
      </c>
      <c r="R416" s="231" t="s">
        <v>515</v>
      </c>
      <c r="S416" s="231" t="s">
        <v>516</v>
      </c>
      <c r="T416" s="231" t="s">
        <v>517</v>
      </c>
      <c r="U416" s="231" t="s">
        <v>544</v>
      </c>
      <c r="V416" s="231" t="s">
        <v>545</v>
      </c>
    </row>
    <row r="417" spans="1:22" hidden="1">
      <c r="A417" s="231"/>
      <c r="B417" s="231">
        <v>10</v>
      </c>
      <c r="C417" s="231">
        <v>20</v>
      </c>
      <c r="D417" s="231">
        <v>30</v>
      </c>
      <c r="E417" s="231"/>
      <c r="F417" s="231"/>
      <c r="G417" s="231"/>
      <c r="H417" s="231"/>
      <c r="I417" s="231"/>
      <c r="J417" s="231"/>
      <c r="K417" s="231"/>
      <c r="L417" s="231" t="s">
        <v>520</v>
      </c>
      <c r="M417" s="231" t="s">
        <v>521</v>
      </c>
      <c r="N417" s="231" t="s">
        <v>520</v>
      </c>
      <c r="O417" s="231" t="s">
        <v>521</v>
      </c>
      <c r="P417" s="231"/>
      <c r="Q417" s="231"/>
      <c r="R417" s="231"/>
      <c r="S417" s="231"/>
      <c r="T417" s="231"/>
      <c r="U417" s="231"/>
      <c r="V417" s="231"/>
    </row>
    <row r="418" spans="1:22" hidden="1">
      <c r="A418" s="246">
        <f>IF($A$27="","",$A$27)</f>
        <v>45139</v>
      </c>
      <c r="B418" s="243"/>
      <c r="C418" s="243"/>
      <c r="D418" s="243"/>
      <c r="E418" s="243"/>
      <c r="F418" s="243"/>
      <c r="G418" s="244">
        <f>IFERROR(AVERAGE(B418:D418),0)</f>
        <v>0</v>
      </c>
      <c r="H418" s="243"/>
      <c r="I418" s="243"/>
      <c r="J418" s="243"/>
      <c r="K418" s="243"/>
      <c r="L418" s="243"/>
      <c r="M418" s="243"/>
      <c r="N418" s="243"/>
      <c r="O418" s="243"/>
      <c r="P418" s="247">
        <f t="shared" ref="P418:P429" si="131">+H418-I418-J418-M418+L418</f>
        <v>0</v>
      </c>
      <c r="Q418" s="253"/>
      <c r="R418" s="253"/>
      <c r="S418" s="253"/>
      <c r="T418" s="253"/>
      <c r="U418" s="245">
        <f>H418-J418-M418</f>
        <v>0</v>
      </c>
      <c r="V418" s="245">
        <f>I418-L418</f>
        <v>0</v>
      </c>
    </row>
    <row r="419" spans="1:22" hidden="1">
      <c r="A419" s="246">
        <f>IF($A$28="","",$A$28)</f>
        <v>45170</v>
      </c>
      <c r="B419" s="243"/>
      <c r="C419" s="243"/>
      <c r="D419" s="243"/>
      <c r="E419" s="243"/>
      <c r="F419" s="243"/>
      <c r="G419" s="244">
        <f t="shared" ref="G419:G429" si="132">IFERROR(AVERAGE(B419:D419),0)</f>
        <v>0</v>
      </c>
      <c r="H419" s="243"/>
      <c r="I419" s="243"/>
      <c r="J419" s="243"/>
      <c r="K419" s="243"/>
      <c r="L419" s="243"/>
      <c r="M419" s="243"/>
      <c r="N419" s="243"/>
      <c r="O419" s="243"/>
      <c r="P419" s="247">
        <f t="shared" si="131"/>
        <v>0</v>
      </c>
      <c r="Q419" s="253"/>
      <c r="R419" s="253"/>
      <c r="S419" s="253"/>
      <c r="T419" s="253"/>
      <c r="U419" s="245">
        <f t="shared" ref="U419:U429" si="133">H419-J419-M419</f>
        <v>0</v>
      </c>
      <c r="V419" s="245">
        <f t="shared" ref="V419:V429" si="134">I419-L419</f>
        <v>0</v>
      </c>
    </row>
    <row r="420" spans="1:22" hidden="1">
      <c r="A420" s="246">
        <f>IF($A$29="","",$A$29)</f>
        <v>45200</v>
      </c>
      <c r="B420" s="243"/>
      <c r="C420" s="243"/>
      <c r="D420" s="243"/>
      <c r="E420" s="243"/>
      <c r="F420" s="243"/>
      <c r="G420" s="244">
        <f t="shared" si="132"/>
        <v>0</v>
      </c>
      <c r="H420" s="243"/>
      <c r="I420" s="243"/>
      <c r="J420" s="243"/>
      <c r="K420" s="243"/>
      <c r="L420" s="243"/>
      <c r="M420" s="243"/>
      <c r="N420" s="243"/>
      <c r="O420" s="243"/>
      <c r="P420" s="247">
        <f t="shared" si="131"/>
        <v>0</v>
      </c>
      <c r="Q420" s="253"/>
      <c r="R420" s="253"/>
      <c r="S420" s="253"/>
      <c r="T420" s="253"/>
      <c r="U420" s="245">
        <f t="shared" si="133"/>
        <v>0</v>
      </c>
      <c r="V420" s="245">
        <f t="shared" si="134"/>
        <v>0</v>
      </c>
    </row>
    <row r="421" spans="1:22" hidden="1">
      <c r="A421" s="246">
        <f>IF($A$30="","",$A$30)</f>
        <v>45231</v>
      </c>
      <c r="B421" s="243"/>
      <c r="C421" s="243"/>
      <c r="D421" s="243"/>
      <c r="E421" s="243"/>
      <c r="F421" s="243"/>
      <c r="G421" s="244">
        <f t="shared" si="132"/>
        <v>0</v>
      </c>
      <c r="H421" s="243"/>
      <c r="I421" s="243"/>
      <c r="J421" s="243"/>
      <c r="K421" s="243"/>
      <c r="L421" s="243"/>
      <c r="M421" s="243"/>
      <c r="N421" s="243"/>
      <c r="O421" s="243"/>
      <c r="P421" s="247">
        <f t="shared" si="131"/>
        <v>0</v>
      </c>
      <c r="Q421" s="253"/>
      <c r="R421" s="253"/>
      <c r="S421" s="253"/>
      <c r="T421" s="253"/>
      <c r="U421" s="245">
        <f t="shared" si="133"/>
        <v>0</v>
      </c>
      <c r="V421" s="245">
        <f t="shared" si="134"/>
        <v>0</v>
      </c>
    </row>
    <row r="422" spans="1:22" hidden="1">
      <c r="A422" s="246">
        <f>IF($A$31="","",$A$31)</f>
        <v>45261</v>
      </c>
      <c r="B422" s="243"/>
      <c r="C422" s="243"/>
      <c r="D422" s="243"/>
      <c r="E422" s="243"/>
      <c r="F422" s="243"/>
      <c r="G422" s="244">
        <f t="shared" si="132"/>
        <v>0</v>
      </c>
      <c r="H422" s="243"/>
      <c r="I422" s="243"/>
      <c r="J422" s="243"/>
      <c r="K422" s="243"/>
      <c r="L422" s="243"/>
      <c r="M422" s="243"/>
      <c r="N422" s="243"/>
      <c r="O422" s="243"/>
      <c r="P422" s="247">
        <f t="shared" si="131"/>
        <v>0</v>
      </c>
      <c r="Q422" s="253"/>
      <c r="R422" s="253"/>
      <c r="S422" s="253"/>
      <c r="T422" s="253"/>
      <c r="U422" s="245">
        <f t="shared" si="133"/>
        <v>0</v>
      </c>
      <c r="V422" s="245">
        <f t="shared" si="134"/>
        <v>0</v>
      </c>
    </row>
    <row r="423" spans="1:22" hidden="1">
      <c r="A423" s="246">
        <f>IF($A$32="","",$A$32)</f>
        <v>45292</v>
      </c>
      <c r="B423" s="243"/>
      <c r="C423" s="243"/>
      <c r="D423" s="243"/>
      <c r="E423" s="243"/>
      <c r="F423" s="243"/>
      <c r="G423" s="244">
        <f t="shared" si="132"/>
        <v>0</v>
      </c>
      <c r="H423" s="243"/>
      <c r="I423" s="243"/>
      <c r="J423" s="243"/>
      <c r="K423" s="243"/>
      <c r="L423" s="243"/>
      <c r="M423" s="243"/>
      <c r="N423" s="243"/>
      <c r="O423" s="243"/>
      <c r="P423" s="247">
        <f t="shared" si="131"/>
        <v>0</v>
      </c>
      <c r="Q423" s="253"/>
      <c r="R423" s="253"/>
      <c r="S423" s="253"/>
      <c r="T423" s="253"/>
      <c r="U423" s="245">
        <f t="shared" si="133"/>
        <v>0</v>
      </c>
      <c r="V423" s="245">
        <f t="shared" si="134"/>
        <v>0</v>
      </c>
    </row>
    <row r="424" spans="1:22" hidden="1">
      <c r="A424" s="246" t="str">
        <f>IF($A$33="","",$A$33)</f>
        <v/>
      </c>
      <c r="B424" s="243"/>
      <c r="C424" s="243"/>
      <c r="D424" s="243"/>
      <c r="E424" s="243"/>
      <c r="F424" s="243"/>
      <c r="G424" s="244">
        <f t="shared" si="132"/>
        <v>0</v>
      </c>
      <c r="H424" s="243"/>
      <c r="I424" s="243"/>
      <c r="J424" s="243"/>
      <c r="K424" s="243"/>
      <c r="L424" s="243"/>
      <c r="M424" s="243"/>
      <c r="N424" s="243"/>
      <c r="O424" s="243"/>
      <c r="P424" s="247">
        <f t="shared" si="131"/>
        <v>0</v>
      </c>
      <c r="Q424" s="253"/>
      <c r="R424" s="253"/>
      <c r="S424" s="253"/>
      <c r="T424" s="253"/>
      <c r="U424" s="245">
        <f t="shared" si="133"/>
        <v>0</v>
      </c>
      <c r="V424" s="245">
        <f t="shared" si="134"/>
        <v>0</v>
      </c>
    </row>
    <row r="425" spans="1:22" hidden="1">
      <c r="A425" s="246" t="str">
        <f>IF($A$34="","",$A$34)</f>
        <v/>
      </c>
      <c r="B425" s="243"/>
      <c r="C425" s="243"/>
      <c r="D425" s="243"/>
      <c r="E425" s="243"/>
      <c r="F425" s="243"/>
      <c r="G425" s="244">
        <f t="shared" si="132"/>
        <v>0</v>
      </c>
      <c r="H425" s="243"/>
      <c r="I425" s="243"/>
      <c r="J425" s="243"/>
      <c r="K425" s="243"/>
      <c r="L425" s="243"/>
      <c r="M425" s="243"/>
      <c r="N425" s="243"/>
      <c r="O425" s="243"/>
      <c r="P425" s="247">
        <f t="shared" si="131"/>
        <v>0</v>
      </c>
      <c r="Q425" s="253"/>
      <c r="R425" s="253"/>
      <c r="S425" s="253"/>
      <c r="T425" s="253"/>
      <c r="U425" s="245">
        <f t="shared" si="133"/>
        <v>0</v>
      </c>
      <c r="V425" s="245">
        <f t="shared" si="134"/>
        <v>0</v>
      </c>
    </row>
    <row r="426" spans="1:22" hidden="1">
      <c r="A426" s="246" t="str">
        <f>IF($A$35="","",$A$35)</f>
        <v/>
      </c>
      <c r="B426" s="243"/>
      <c r="C426" s="243"/>
      <c r="D426" s="243"/>
      <c r="E426" s="243"/>
      <c r="F426" s="243"/>
      <c r="G426" s="244">
        <f t="shared" si="132"/>
        <v>0</v>
      </c>
      <c r="H426" s="243"/>
      <c r="I426" s="243"/>
      <c r="J426" s="243"/>
      <c r="K426" s="243"/>
      <c r="L426" s="243"/>
      <c r="M426" s="243"/>
      <c r="N426" s="243"/>
      <c r="O426" s="243"/>
      <c r="P426" s="247">
        <f t="shared" si="131"/>
        <v>0</v>
      </c>
      <c r="Q426" s="253"/>
      <c r="R426" s="253"/>
      <c r="S426" s="253"/>
      <c r="T426" s="253"/>
      <c r="U426" s="245">
        <f t="shared" si="133"/>
        <v>0</v>
      </c>
      <c r="V426" s="245">
        <f t="shared" si="134"/>
        <v>0</v>
      </c>
    </row>
    <row r="427" spans="1:22" hidden="1">
      <c r="A427" s="246" t="str">
        <f>IF($A$36="","",$A$36)</f>
        <v/>
      </c>
      <c r="B427" s="243"/>
      <c r="C427" s="243"/>
      <c r="D427" s="243"/>
      <c r="E427" s="243"/>
      <c r="F427" s="243"/>
      <c r="G427" s="244">
        <f t="shared" si="132"/>
        <v>0</v>
      </c>
      <c r="H427" s="243"/>
      <c r="I427" s="243"/>
      <c r="J427" s="243"/>
      <c r="K427" s="243"/>
      <c r="L427" s="243"/>
      <c r="M427" s="243"/>
      <c r="N427" s="243"/>
      <c r="O427" s="243"/>
      <c r="P427" s="247">
        <f t="shared" si="131"/>
        <v>0</v>
      </c>
      <c r="Q427" s="253"/>
      <c r="R427" s="253"/>
      <c r="S427" s="253"/>
      <c r="T427" s="253"/>
      <c r="U427" s="245">
        <f t="shared" si="133"/>
        <v>0</v>
      </c>
      <c r="V427" s="245">
        <f t="shared" si="134"/>
        <v>0</v>
      </c>
    </row>
    <row r="428" spans="1:22" hidden="1">
      <c r="A428" s="246" t="str">
        <f>IF($A$37="","",$A$37)</f>
        <v/>
      </c>
      <c r="B428" s="243"/>
      <c r="C428" s="243"/>
      <c r="D428" s="243"/>
      <c r="E428" s="243"/>
      <c r="F428" s="243"/>
      <c r="G428" s="244">
        <f t="shared" si="132"/>
        <v>0</v>
      </c>
      <c r="H428" s="243"/>
      <c r="I428" s="243"/>
      <c r="J428" s="243"/>
      <c r="K428" s="243"/>
      <c r="L428" s="243"/>
      <c r="M428" s="243"/>
      <c r="N428" s="243"/>
      <c r="O428" s="243"/>
      <c r="P428" s="247">
        <f t="shared" si="131"/>
        <v>0</v>
      </c>
      <c r="Q428" s="253"/>
      <c r="R428" s="253"/>
      <c r="S428" s="253"/>
      <c r="T428" s="253"/>
      <c r="U428" s="245">
        <f t="shared" si="133"/>
        <v>0</v>
      </c>
      <c r="V428" s="245">
        <f t="shared" si="134"/>
        <v>0</v>
      </c>
    </row>
    <row r="429" spans="1:22" hidden="1">
      <c r="A429" s="246" t="str">
        <f>IF($A$38="","",$A$38)</f>
        <v/>
      </c>
      <c r="B429" s="243"/>
      <c r="C429" s="243"/>
      <c r="D429" s="243"/>
      <c r="E429" s="243"/>
      <c r="F429" s="243"/>
      <c r="G429" s="244">
        <f t="shared" si="132"/>
        <v>0</v>
      </c>
      <c r="H429" s="243"/>
      <c r="I429" s="243"/>
      <c r="J429" s="243"/>
      <c r="K429" s="243"/>
      <c r="L429" s="243"/>
      <c r="M429" s="243"/>
      <c r="N429" s="243"/>
      <c r="O429" s="243"/>
      <c r="P429" s="247">
        <f t="shared" si="131"/>
        <v>0</v>
      </c>
      <c r="Q429" s="253"/>
      <c r="R429" s="253"/>
      <c r="S429" s="253"/>
      <c r="T429" s="253"/>
      <c r="U429" s="245">
        <f t="shared" si="133"/>
        <v>0</v>
      </c>
      <c r="V429" s="245">
        <f t="shared" si="134"/>
        <v>0</v>
      </c>
    </row>
    <row r="430" spans="1:22" hidden="1">
      <c r="A430" s="237" t="s">
        <v>522</v>
      </c>
      <c r="B430" s="245">
        <f t="shared" ref="B430:I430" si="135">+SUM(B418:B429)</f>
        <v>0</v>
      </c>
      <c r="C430" s="245">
        <f t="shared" si="135"/>
        <v>0</v>
      </c>
      <c r="D430" s="245">
        <f t="shared" si="135"/>
        <v>0</v>
      </c>
      <c r="E430" s="245">
        <f t="shared" si="135"/>
        <v>0</v>
      </c>
      <c r="F430" s="245">
        <f t="shared" si="135"/>
        <v>0</v>
      </c>
      <c r="G430" s="245">
        <f t="shared" si="135"/>
        <v>0</v>
      </c>
      <c r="H430" s="245">
        <f t="shared" si="135"/>
        <v>0</v>
      </c>
      <c r="I430" s="245">
        <f t="shared" si="135"/>
        <v>0</v>
      </c>
      <c r="J430" s="245">
        <f t="shared" ref="J430:O430" si="136">+SUM(J418:J429)</f>
        <v>0</v>
      </c>
      <c r="K430" s="245">
        <f t="shared" si="136"/>
        <v>0</v>
      </c>
      <c r="L430" s="245">
        <f t="shared" si="136"/>
        <v>0</v>
      </c>
      <c r="M430" s="245">
        <f t="shared" si="136"/>
        <v>0</v>
      </c>
      <c r="N430" s="245">
        <f t="shared" si="136"/>
        <v>0</v>
      </c>
      <c r="O430" s="245">
        <f t="shared" si="136"/>
        <v>0</v>
      </c>
      <c r="P430" s="245">
        <f t="shared" ref="P430:V430" si="137">+SUM(P418:P429)</f>
        <v>0</v>
      </c>
      <c r="Q430" s="245">
        <f t="shared" si="137"/>
        <v>0</v>
      </c>
      <c r="R430" s="245">
        <f t="shared" si="137"/>
        <v>0</v>
      </c>
      <c r="S430" s="245">
        <f t="shared" si="137"/>
        <v>0</v>
      </c>
      <c r="T430" s="245">
        <f t="shared" si="137"/>
        <v>0</v>
      </c>
      <c r="U430" s="245">
        <f t="shared" si="137"/>
        <v>0</v>
      </c>
      <c r="V430" s="245">
        <f t="shared" si="137"/>
        <v>0</v>
      </c>
    </row>
    <row r="431" spans="1:22" hidden="1">
      <c r="A431" s="237" t="s">
        <v>523</v>
      </c>
      <c r="B431" s="245">
        <f>IFERROR(B430/(COUNTA(A418:A429)-COUNTIF(A418:A429,"")),0)</f>
        <v>0</v>
      </c>
      <c r="C431" s="245">
        <f>IFERROR(C430/(COUNTA(A418:A429)-COUNTIF(A418:A429,"")),0)</f>
        <v>0</v>
      </c>
      <c r="D431" s="245">
        <f>IFERROR(D430/(COUNTA(A418:A429)-COUNTIF(A418:A429,"")),0)</f>
        <v>0</v>
      </c>
      <c r="E431" s="245">
        <f>IFERROR(E430/(COUNTA(A418:A429)-COUNTIF(A418:A429,"")),0)</f>
        <v>0</v>
      </c>
      <c r="F431" s="245">
        <f>IFERROR(F430/(COUNTA(A418:A429)-COUNTIF(A418:A429,"")),0)</f>
        <v>0</v>
      </c>
      <c r="G431" s="245">
        <f>IFERROR(G430/(COUNTA(A418:A429)-COUNTIF(A418:A429,"")),0)</f>
        <v>0</v>
      </c>
      <c r="H431" s="245">
        <f>IFERROR(H430/(COUNTA(A418:A429)-COUNTIF(A418:A429,"")),0)</f>
        <v>0</v>
      </c>
      <c r="I431" s="245">
        <f>IFERROR(I430/(COUNTA(A418:A429)-COUNTIF(A418:A429,"")),0)</f>
        <v>0</v>
      </c>
      <c r="J431" s="245">
        <f>IFERROR(J430/(COUNTA(A418:A429)-COUNTIF(A418:A429,"")),0)</f>
        <v>0</v>
      </c>
      <c r="K431" s="245">
        <f>IFERROR(K430/(COUNTA(A418:A429)-COUNTIF(A418:A429,"")),0)</f>
        <v>0</v>
      </c>
      <c r="L431" s="245">
        <f>IFERROR(L430/(COUNTA(A418:A429)-COUNTIF(A418:A429,"")),0)</f>
        <v>0</v>
      </c>
      <c r="M431" s="245">
        <f>IFERROR(M430/(COUNTA(A418:A429)-COUNTIF(A418:A429,"")),0)</f>
        <v>0</v>
      </c>
      <c r="N431" s="245">
        <f>IFERROR(N430/(COUNTA(A418:A429)-COUNTIF(A418:A429,"")),0)</f>
        <v>0</v>
      </c>
      <c r="O431" s="245">
        <f>IFERROR(O430/(COUNTA(A418:A429)-COUNTIF(A418:A429,"")),0)</f>
        <v>0</v>
      </c>
      <c r="P431" s="245">
        <f>IFERROR(P430/(COUNTA(A418:A429)-COUNTIF(A418:A429,"")),0)</f>
        <v>0</v>
      </c>
      <c r="Q431" s="250"/>
      <c r="R431" s="250"/>
      <c r="S431" s="238">
        <f>IFERROR(R430/S430*100,0)</f>
        <v>0</v>
      </c>
      <c r="T431" s="238">
        <f>IFERROR(Q430/T430*100,0)</f>
        <v>0</v>
      </c>
      <c r="U431" s="245">
        <f>IFERROR(U430/COUNTA(A418:A429),0)</f>
        <v>0</v>
      </c>
      <c r="V431" s="245">
        <f>IFERROR(V430/COUNTA(A418:A429),0)</f>
        <v>0</v>
      </c>
    </row>
    <row r="432" spans="1:22" ht="38.25" hidden="1">
      <c r="A432" s="237" t="s">
        <v>524</v>
      </c>
      <c r="B432" s="245">
        <f>O415+B431</f>
        <v>0</v>
      </c>
      <c r="C432" s="245">
        <f>O415+C431</f>
        <v>0</v>
      </c>
      <c r="D432" s="245">
        <f>O415+D431</f>
        <v>0</v>
      </c>
      <c r="E432" s="245"/>
      <c r="F432" s="245"/>
      <c r="G432" s="245">
        <f>O415+G431</f>
        <v>0</v>
      </c>
      <c r="H432" s="245"/>
      <c r="I432" s="245"/>
      <c r="J432" s="245"/>
      <c r="K432" s="245"/>
      <c r="L432" s="245"/>
      <c r="M432" s="245"/>
      <c r="N432" s="245"/>
      <c r="O432" s="245"/>
      <c r="P432" s="245"/>
      <c r="Q432" s="250"/>
      <c r="R432" s="250"/>
      <c r="S432" s="251" t="s">
        <v>525</v>
      </c>
      <c r="T432" s="251" t="s">
        <v>526</v>
      </c>
      <c r="U432" s="251"/>
      <c r="V432" s="251"/>
    </row>
    <row r="436" spans="1:22" ht="12.75" hidden="1" customHeight="1">
      <c r="A436" s="413" t="s">
        <v>502</v>
      </c>
      <c r="B436" s="413"/>
      <c r="C436" s="418"/>
      <c r="D436" s="419"/>
      <c r="E436" s="419"/>
      <c r="F436" s="419"/>
      <c r="G436" s="419"/>
      <c r="H436" s="419"/>
      <c r="I436" s="419"/>
      <c r="J436" s="419"/>
      <c r="K436" s="419"/>
      <c r="L436" s="419"/>
      <c r="M436" s="419"/>
      <c r="N436" s="419"/>
      <c r="O436" s="419"/>
      <c r="P436" s="419"/>
      <c r="Q436" s="419"/>
      <c r="R436" s="419"/>
      <c r="S436" s="419"/>
      <c r="T436" s="420"/>
      <c r="U436" s="239"/>
      <c r="V436" s="239"/>
    </row>
    <row r="437" spans="1:22" ht="12.75" hidden="1" customHeight="1">
      <c r="A437" s="413" t="s">
        <v>527</v>
      </c>
      <c r="B437" s="413"/>
      <c r="C437" s="421"/>
      <c r="D437" s="421"/>
      <c r="E437" s="421"/>
      <c r="F437" s="421"/>
      <c r="G437" s="421"/>
      <c r="H437" s="422" t="s">
        <v>528</v>
      </c>
      <c r="I437" s="422"/>
      <c r="J437" s="421"/>
      <c r="K437" s="421"/>
      <c r="L437" s="421"/>
      <c r="M437" s="421"/>
      <c r="N437" s="421"/>
      <c r="O437" s="421"/>
      <c r="P437" s="421"/>
      <c r="Q437" s="421"/>
      <c r="R437" s="421"/>
      <c r="S437" s="421"/>
      <c r="T437" s="421"/>
      <c r="U437" s="239"/>
      <c r="V437" s="239"/>
    </row>
    <row r="438" spans="1:22" ht="25.5" hidden="1" customHeight="1">
      <c r="A438" s="413" t="s">
        <v>529</v>
      </c>
      <c r="B438" s="413"/>
      <c r="C438" s="418"/>
      <c r="D438" s="420"/>
      <c r="E438" s="241" t="s">
        <v>530</v>
      </c>
      <c r="F438" s="423"/>
      <c r="G438" s="424"/>
      <c r="H438" s="424"/>
      <c r="I438" s="425"/>
      <c r="J438" s="241" t="s">
        <v>531</v>
      </c>
      <c r="K438" s="423"/>
      <c r="L438" s="424"/>
      <c r="M438" s="425"/>
      <c r="N438" s="240" t="s">
        <v>532</v>
      </c>
      <c r="O438" s="426"/>
      <c r="P438" s="427"/>
      <c r="Q438" s="427"/>
      <c r="R438" s="427"/>
      <c r="S438" s="427"/>
      <c r="T438" s="428"/>
      <c r="U438" s="252"/>
      <c r="V438" s="252"/>
    </row>
    <row r="439" spans="1:22" ht="38.25" hidden="1" customHeight="1">
      <c r="A439" s="231" t="s">
        <v>163</v>
      </c>
      <c r="B439" s="415" t="s">
        <v>533</v>
      </c>
      <c r="C439" s="415"/>
      <c r="D439" s="415"/>
      <c r="E439" s="232" t="s">
        <v>534</v>
      </c>
      <c r="F439" s="232" t="s">
        <v>535</v>
      </c>
      <c r="G439" s="231" t="s">
        <v>536</v>
      </c>
      <c r="H439" s="231" t="s">
        <v>537</v>
      </c>
      <c r="I439" s="231" t="s">
        <v>538</v>
      </c>
      <c r="J439" s="232" t="s">
        <v>539</v>
      </c>
      <c r="K439" s="232" t="s">
        <v>540</v>
      </c>
      <c r="L439" s="416" t="s">
        <v>541</v>
      </c>
      <c r="M439" s="417"/>
      <c r="N439" s="416" t="s">
        <v>542</v>
      </c>
      <c r="O439" s="417"/>
      <c r="P439" s="231" t="s">
        <v>543</v>
      </c>
      <c r="Q439" s="231" t="s">
        <v>514</v>
      </c>
      <c r="R439" s="231" t="s">
        <v>515</v>
      </c>
      <c r="S439" s="231" t="s">
        <v>516</v>
      </c>
      <c r="T439" s="231" t="s">
        <v>517</v>
      </c>
      <c r="U439" s="231" t="s">
        <v>544</v>
      </c>
      <c r="V439" s="231" t="s">
        <v>545</v>
      </c>
    </row>
    <row r="440" spans="1:22" hidden="1">
      <c r="A440" s="231"/>
      <c r="B440" s="231">
        <v>10</v>
      </c>
      <c r="C440" s="231">
        <v>20</v>
      </c>
      <c r="D440" s="231">
        <v>30</v>
      </c>
      <c r="E440" s="231"/>
      <c r="F440" s="231"/>
      <c r="G440" s="231"/>
      <c r="H440" s="231"/>
      <c r="I440" s="231"/>
      <c r="J440" s="231"/>
      <c r="K440" s="231"/>
      <c r="L440" s="231" t="s">
        <v>520</v>
      </c>
      <c r="M440" s="231" t="s">
        <v>521</v>
      </c>
      <c r="N440" s="231" t="s">
        <v>520</v>
      </c>
      <c r="O440" s="231" t="s">
        <v>521</v>
      </c>
      <c r="P440" s="231"/>
      <c r="Q440" s="231"/>
      <c r="R440" s="231"/>
      <c r="S440" s="231"/>
      <c r="T440" s="231"/>
      <c r="U440" s="231"/>
      <c r="V440" s="231"/>
    </row>
    <row r="441" spans="1:22" hidden="1">
      <c r="A441" s="246">
        <f>IF($A$27="","",$A$27)</f>
        <v>45139</v>
      </c>
      <c r="B441" s="243"/>
      <c r="C441" s="243"/>
      <c r="D441" s="243"/>
      <c r="E441" s="243"/>
      <c r="F441" s="243"/>
      <c r="G441" s="244">
        <f>IFERROR(AVERAGE(B441:D441),0)</f>
        <v>0</v>
      </c>
      <c r="H441" s="243"/>
      <c r="I441" s="243"/>
      <c r="J441" s="243"/>
      <c r="K441" s="243"/>
      <c r="L441" s="243"/>
      <c r="M441" s="243"/>
      <c r="N441" s="243"/>
      <c r="O441" s="243"/>
      <c r="P441" s="247">
        <f t="shared" ref="P441:P452" si="138">+H441-I441-J441-M441+L441</f>
        <v>0</v>
      </c>
      <c r="Q441" s="253"/>
      <c r="R441" s="253"/>
      <c r="S441" s="253"/>
      <c r="T441" s="253"/>
      <c r="U441" s="245">
        <f>H441-J441-M441</f>
        <v>0</v>
      </c>
      <c r="V441" s="245">
        <f>I441-L441</f>
        <v>0</v>
      </c>
    </row>
    <row r="442" spans="1:22" hidden="1">
      <c r="A442" s="246">
        <f>IF($A$28="","",$A$28)</f>
        <v>45170</v>
      </c>
      <c r="B442" s="243"/>
      <c r="C442" s="243"/>
      <c r="D442" s="243"/>
      <c r="E442" s="243"/>
      <c r="F442" s="243"/>
      <c r="G442" s="244">
        <f t="shared" ref="G442:G452" si="139">IFERROR(AVERAGE(B442:D442),0)</f>
        <v>0</v>
      </c>
      <c r="H442" s="243"/>
      <c r="I442" s="243"/>
      <c r="J442" s="243"/>
      <c r="K442" s="243"/>
      <c r="L442" s="243"/>
      <c r="M442" s="243"/>
      <c r="N442" s="243"/>
      <c r="O442" s="243"/>
      <c r="P442" s="247">
        <f t="shared" si="138"/>
        <v>0</v>
      </c>
      <c r="Q442" s="253"/>
      <c r="R442" s="253"/>
      <c r="S442" s="253"/>
      <c r="T442" s="253"/>
      <c r="U442" s="245">
        <f t="shared" ref="U442:U452" si="140">H442-J442-M442</f>
        <v>0</v>
      </c>
      <c r="V442" s="245">
        <f t="shared" ref="V442:V452" si="141">I442-L442</f>
        <v>0</v>
      </c>
    </row>
    <row r="443" spans="1:22" hidden="1">
      <c r="A443" s="246">
        <f>IF($A$29="","",$A$29)</f>
        <v>45200</v>
      </c>
      <c r="B443" s="243"/>
      <c r="C443" s="243"/>
      <c r="D443" s="243"/>
      <c r="E443" s="243"/>
      <c r="F443" s="243"/>
      <c r="G443" s="244">
        <f t="shared" si="139"/>
        <v>0</v>
      </c>
      <c r="H443" s="243"/>
      <c r="I443" s="243"/>
      <c r="J443" s="243"/>
      <c r="K443" s="243"/>
      <c r="L443" s="243"/>
      <c r="M443" s="243"/>
      <c r="N443" s="243"/>
      <c r="O443" s="243"/>
      <c r="P443" s="247">
        <f t="shared" si="138"/>
        <v>0</v>
      </c>
      <c r="Q443" s="253"/>
      <c r="R443" s="253"/>
      <c r="S443" s="253"/>
      <c r="T443" s="253"/>
      <c r="U443" s="245">
        <f t="shared" si="140"/>
        <v>0</v>
      </c>
      <c r="V443" s="245">
        <f t="shared" si="141"/>
        <v>0</v>
      </c>
    </row>
    <row r="444" spans="1:22" hidden="1">
      <c r="A444" s="246">
        <f>IF($A$30="","",$A$30)</f>
        <v>45231</v>
      </c>
      <c r="B444" s="243"/>
      <c r="C444" s="243"/>
      <c r="D444" s="243"/>
      <c r="E444" s="243"/>
      <c r="F444" s="243"/>
      <c r="G444" s="244">
        <f t="shared" si="139"/>
        <v>0</v>
      </c>
      <c r="H444" s="243"/>
      <c r="I444" s="243"/>
      <c r="J444" s="243"/>
      <c r="K444" s="243"/>
      <c r="L444" s="243"/>
      <c r="M444" s="243"/>
      <c r="N444" s="243"/>
      <c r="O444" s="243"/>
      <c r="P444" s="247">
        <f t="shared" si="138"/>
        <v>0</v>
      </c>
      <c r="Q444" s="253"/>
      <c r="R444" s="253"/>
      <c r="S444" s="253"/>
      <c r="T444" s="253"/>
      <c r="U444" s="245">
        <f t="shared" si="140"/>
        <v>0</v>
      </c>
      <c r="V444" s="245">
        <f t="shared" si="141"/>
        <v>0</v>
      </c>
    </row>
    <row r="445" spans="1:22" hidden="1">
      <c r="A445" s="246">
        <f>IF($A$31="","",$A$31)</f>
        <v>45261</v>
      </c>
      <c r="B445" s="243"/>
      <c r="C445" s="243"/>
      <c r="D445" s="243"/>
      <c r="E445" s="243"/>
      <c r="F445" s="243"/>
      <c r="G445" s="244">
        <f t="shared" si="139"/>
        <v>0</v>
      </c>
      <c r="H445" s="243"/>
      <c r="I445" s="243"/>
      <c r="J445" s="243"/>
      <c r="K445" s="243"/>
      <c r="L445" s="243"/>
      <c r="M445" s="243"/>
      <c r="N445" s="243"/>
      <c r="O445" s="243"/>
      <c r="P445" s="247">
        <f t="shared" si="138"/>
        <v>0</v>
      </c>
      <c r="Q445" s="253"/>
      <c r="R445" s="253"/>
      <c r="S445" s="253"/>
      <c r="T445" s="253"/>
      <c r="U445" s="245">
        <f t="shared" si="140"/>
        <v>0</v>
      </c>
      <c r="V445" s="245">
        <f t="shared" si="141"/>
        <v>0</v>
      </c>
    </row>
    <row r="446" spans="1:22" hidden="1">
      <c r="A446" s="246">
        <f>IF($A$32="","",$A$32)</f>
        <v>45292</v>
      </c>
      <c r="B446" s="243"/>
      <c r="C446" s="243"/>
      <c r="D446" s="243"/>
      <c r="E446" s="243"/>
      <c r="F446" s="243"/>
      <c r="G446" s="244">
        <f t="shared" si="139"/>
        <v>0</v>
      </c>
      <c r="H446" s="243"/>
      <c r="I446" s="243"/>
      <c r="J446" s="243"/>
      <c r="K446" s="243"/>
      <c r="L446" s="243"/>
      <c r="M446" s="243"/>
      <c r="N446" s="243"/>
      <c r="O446" s="243"/>
      <c r="P446" s="247">
        <f t="shared" si="138"/>
        <v>0</v>
      </c>
      <c r="Q446" s="253"/>
      <c r="R446" s="253"/>
      <c r="S446" s="253"/>
      <c r="T446" s="253"/>
      <c r="U446" s="245">
        <f t="shared" si="140"/>
        <v>0</v>
      </c>
      <c r="V446" s="245">
        <f t="shared" si="141"/>
        <v>0</v>
      </c>
    </row>
    <row r="447" spans="1:22" hidden="1">
      <c r="A447" s="246" t="str">
        <f>IF($A$33="","",$A$33)</f>
        <v/>
      </c>
      <c r="B447" s="243"/>
      <c r="C447" s="243"/>
      <c r="D447" s="243"/>
      <c r="E447" s="243"/>
      <c r="F447" s="243"/>
      <c r="G447" s="244">
        <f t="shared" si="139"/>
        <v>0</v>
      </c>
      <c r="H447" s="243"/>
      <c r="I447" s="243"/>
      <c r="J447" s="243"/>
      <c r="K447" s="243"/>
      <c r="L447" s="243"/>
      <c r="M447" s="243"/>
      <c r="N447" s="243"/>
      <c r="O447" s="243"/>
      <c r="P447" s="247">
        <f t="shared" si="138"/>
        <v>0</v>
      </c>
      <c r="Q447" s="253"/>
      <c r="R447" s="253"/>
      <c r="S447" s="253"/>
      <c r="T447" s="253"/>
      <c r="U447" s="245">
        <f t="shared" si="140"/>
        <v>0</v>
      </c>
      <c r="V447" s="245">
        <f t="shared" si="141"/>
        <v>0</v>
      </c>
    </row>
    <row r="448" spans="1:22" hidden="1">
      <c r="A448" s="246" t="str">
        <f>IF($A$34="","",$A$34)</f>
        <v/>
      </c>
      <c r="B448" s="243"/>
      <c r="C448" s="243"/>
      <c r="D448" s="243"/>
      <c r="E448" s="243"/>
      <c r="F448" s="243"/>
      <c r="G448" s="244">
        <f t="shared" si="139"/>
        <v>0</v>
      </c>
      <c r="H448" s="243"/>
      <c r="I448" s="243"/>
      <c r="J448" s="243"/>
      <c r="K448" s="243"/>
      <c r="L448" s="243"/>
      <c r="M448" s="243"/>
      <c r="N448" s="243"/>
      <c r="O448" s="243"/>
      <c r="P448" s="247">
        <f t="shared" si="138"/>
        <v>0</v>
      </c>
      <c r="Q448" s="253"/>
      <c r="R448" s="253"/>
      <c r="S448" s="253"/>
      <c r="T448" s="253"/>
      <c r="U448" s="245">
        <f t="shared" si="140"/>
        <v>0</v>
      </c>
      <c r="V448" s="245">
        <f t="shared" si="141"/>
        <v>0</v>
      </c>
    </row>
    <row r="449" spans="1:22" hidden="1">
      <c r="A449" s="246" t="str">
        <f>IF($A$35="","",$A$35)</f>
        <v/>
      </c>
      <c r="B449" s="243"/>
      <c r="C449" s="243"/>
      <c r="D449" s="243"/>
      <c r="E449" s="243"/>
      <c r="F449" s="243"/>
      <c r="G449" s="244">
        <f t="shared" si="139"/>
        <v>0</v>
      </c>
      <c r="H449" s="243"/>
      <c r="I449" s="243"/>
      <c r="J449" s="243"/>
      <c r="K449" s="243"/>
      <c r="L449" s="243"/>
      <c r="M449" s="243"/>
      <c r="N449" s="243"/>
      <c r="O449" s="243"/>
      <c r="P449" s="247">
        <f t="shared" si="138"/>
        <v>0</v>
      </c>
      <c r="Q449" s="253"/>
      <c r="R449" s="253"/>
      <c r="S449" s="253"/>
      <c r="T449" s="253"/>
      <c r="U449" s="245">
        <f t="shared" si="140"/>
        <v>0</v>
      </c>
      <c r="V449" s="245">
        <f t="shared" si="141"/>
        <v>0</v>
      </c>
    </row>
    <row r="450" spans="1:22" hidden="1">
      <c r="A450" s="246" t="str">
        <f>IF($A$36="","",$A$36)</f>
        <v/>
      </c>
      <c r="B450" s="243"/>
      <c r="C450" s="243"/>
      <c r="D450" s="243"/>
      <c r="E450" s="243"/>
      <c r="F450" s="243"/>
      <c r="G450" s="244">
        <f t="shared" si="139"/>
        <v>0</v>
      </c>
      <c r="H450" s="243"/>
      <c r="I450" s="243"/>
      <c r="J450" s="243"/>
      <c r="K450" s="243"/>
      <c r="L450" s="243"/>
      <c r="M450" s="243"/>
      <c r="N450" s="243"/>
      <c r="O450" s="243"/>
      <c r="P450" s="247">
        <f t="shared" si="138"/>
        <v>0</v>
      </c>
      <c r="Q450" s="253"/>
      <c r="R450" s="253"/>
      <c r="S450" s="253"/>
      <c r="T450" s="253"/>
      <c r="U450" s="245">
        <f t="shared" si="140"/>
        <v>0</v>
      </c>
      <c r="V450" s="245">
        <f t="shared" si="141"/>
        <v>0</v>
      </c>
    </row>
    <row r="451" spans="1:22" hidden="1">
      <c r="A451" s="246" t="str">
        <f>IF($A$37="","",$A$37)</f>
        <v/>
      </c>
      <c r="B451" s="243"/>
      <c r="C451" s="243"/>
      <c r="D451" s="243"/>
      <c r="E451" s="243"/>
      <c r="F451" s="243"/>
      <c r="G451" s="244">
        <f t="shared" si="139"/>
        <v>0</v>
      </c>
      <c r="H451" s="243"/>
      <c r="I451" s="243"/>
      <c r="J451" s="243"/>
      <c r="K451" s="243"/>
      <c r="L451" s="243"/>
      <c r="M451" s="243"/>
      <c r="N451" s="243"/>
      <c r="O451" s="243"/>
      <c r="P451" s="247">
        <f t="shared" si="138"/>
        <v>0</v>
      </c>
      <c r="Q451" s="253"/>
      <c r="R451" s="253"/>
      <c r="S451" s="253"/>
      <c r="T451" s="253"/>
      <c r="U451" s="245">
        <f t="shared" si="140"/>
        <v>0</v>
      </c>
      <c r="V451" s="245">
        <f t="shared" si="141"/>
        <v>0</v>
      </c>
    </row>
    <row r="452" spans="1:22" hidden="1">
      <c r="A452" s="246" t="str">
        <f>IF($A$38="","",$A$38)</f>
        <v/>
      </c>
      <c r="B452" s="243"/>
      <c r="C452" s="243"/>
      <c r="D452" s="243"/>
      <c r="E452" s="243"/>
      <c r="F452" s="243"/>
      <c r="G452" s="244">
        <f t="shared" si="139"/>
        <v>0</v>
      </c>
      <c r="H452" s="243"/>
      <c r="I452" s="243"/>
      <c r="J452" s="243"/>
      <c r="K452" s="243"/>
      <c r="L452" s="243"/>
      <c r="M452" s="243"/>
      <c r="N452" s="243"/>
      <c r="O452" s="243"/>
      <c r="P452" s="247">
        <f t="shared" si="138"/>
        <v>0</v>
      </c>
      <c r="Q452" s="253"/>
      <c r="R452" s="253"/>
      <c r="S452" s="253"/>
      <c r="T452" s="253"/>
      <c r="U452" s="245">
        <f t="shared" si="140"/>
        <v>0</v>
      </c>
      <c r="V452" s="245">
        <f t="shared" si="141"/>
        <v>0</v>
      </c>
    </row>
    <row r="453" spans="1:22" hidden="1">
      <c r="A453" s="237" t="s">
        <v>522</v>
      </c>
      <c r="B453" s="245">
        <f t="shared" ref="B453:I453" si="142">+SUM(B441:B452)</f>
        <v>0</v>
      </c>
      <c r="C453" s="245">
        <f t="shared" si="142"/>
        <v>0</v>
      </c>
      <c r="D453" s="245">
        <f t="shared" si="142"/>
        <v>0</v>
      </c>
      <c r="E453" s="245">
        <f t="shared" si="142"/>
        <v>0</v>
      </c>
      <c r="F453" s="245">
        <f t="shared" si="142"/>
        <v>0</v>
      </c>
      <c r="G453" s="245">
        <f t="shared" si="142"/>
        <v>0</v>
      </c>
      <c r="H453" s="245">
        <f t="shared" si="142"/>
        <v>0</v>
      </c>
      <c r="I453" s="245">
        <f t="shared" si="142"/>
        <v>0</v>
      </c>
      <c r="J453" s="245">
        <f t="shared" ref="J453:O453" si="143">+SUM(J441:J452)</f>
        <v>0</v>
      </c>
      <c r="K453" s="245">
        <f t="shared" si="143"/>
        <v>0</v>
      </c>
      <c r="L453" s="245">
        <f t="shared" si="143"/>
        <v>0</v>
      </c>
      <c r="M453" s="245">
        <f t="shared" si="143"/>
        <v>0</v>
      </c>
      <c r="N453" s="245">
        <f t="shared" si="143"/>
        <v>0</v>
      </c>
      <c r="O453" s="245">
        <f t="shared" si="143"/>
        <v>0</v>
      </c>
      <c r="P453" s="245">
        <f t="shared" ref="P453:V453" si="144">+SUM(P441:P452)</f>
        <v>0</v>
      </c>
      <c r="Q453" s="245">
        <f t="shared" si="144"/>
        <v>0</v>
      </c>
      <c r="R453" s="245">
        <f t="shared" si="144"/>
        <v>0</v>
      </c>
      <c r="S453" s="245">
        <f t="shared" si="144"/>
        <v>0</v>
      </c>
      <c r="T453" s="245">
        <f t="shared" si="144"/>
        <v>0</v>
      </c>
      <c r="U453" s="245">
        <f t="shared" si="144"/>
        <v>0</v>
      </c>
      <c r="V453" s="245">
        <f t="shared" si="144"/>
        <v>0</v>
      </c>
    </row>
    <row r="454" spans="1:22" hidden="1">
      <c r="A454" s="237" t="s">
        <v>523</v>
      </c>
      <c r="B454" s="245">
        <f>IFERROR(B453/(COUNTA(A441:A452)-COUNTIF(A441:A452,"")),0)</f>
        <v>0</v>
      </c>
      <c r="C454" s="245">
        <f>IFERROR(C453/(COUNTA(A441:A452)-COUNTIF(A441:A452,"")),0)</f>
        <v>0</v>
      </c>
      <c r="D454" s="245">
        <f>IFERROR(D453/(COUNTA(A441:A452)-COUNTIF(A441:A452,"")),0)</f>
        <v>0</v>
      </c>
      <c r="E454" s="245">
        <f>IFERROR(E453/(COUNTA(A441:A452)-COUNTIF(A441:A452,"")),0)</f>
        <v>0</v>
      </c>
      <c r="F454" s="245">
        <f>IFERROR(F453/(COUNTA(A441:A452)-COUNTIF(A441:A452,"")),0)</f>
        <v>0</v>
      </c>
      <c r="G454" s="245">
        <f>IFERROR(G453/(COUNTA(A441:A452)-COUNTIF(A441:A452,"")),0)</f>
        <v>0</v>
      </c>
      <c r="H454" s="245">
        <f>IFERROR(H453/(COUNTA(A441:A452)-COUNTIF(A441:A452,"")),0)</f>
        <v>0</v>
      </c>
      <c r="I454" s="245">
        <f>IFERROR(I453/(COUNTA(A441:A452)-COUNTIF(A441:A452,"")),0)</f>
        <v>0</v>
      </c>
      <c r="J454" s="245">
        <f>IFERROR(J453/(COUNTA(A441:A452)-COUNTIF(A441:A452,"")),0)</f>
        <v>0</v>
      </c>
      <c r="K454" s="245">
        <f>IFERROR(K453/(COUNTA(A441:A452)-COUNTIF(A441:A452,"")),0)</f>
        <v>0</v>
      </c>
      <c r="L454" s="245">
        <f>IFERROR(L453/(COUNTA(A441:A452)-COUNTIF(A441:A452,"")),0)</f>
        <v>0</v>
      </c>
      <c r="M454" s="245">
        <f>IFERROR(M453/(COUNTA(A441:A452)-COUNTIF(A441:A452,"")),0)</f>
        <v>0</v>
      </c>
      <c r="N454" s="245">
        <f>IFERROR(N453/(COUNTA(A441:A452)-COUNTIF(A441:A452,"")),0)</f>
        <v>0</v>
      </c>
      <c r="O454" s="245">
        <f>IFERROR(O453/(COUNTA(A441:A452)-COUNTIF(A441:A452,"")),0)</f>
        <v>0</v>
      </c>
      <c r="P454" s="245">
        <f>IFERROR(P453/(COUNTA(A441:A452)-COUNTIF(A441:A452,"")),0)</f>
        <v>0</v>
      </c>
      <c r="Q454" s="250"/>
      <c r="R454" s="250"/>
      <c r="S454" s="238">
        <f>IFERROR(R453/S453*100,0)</f>
        <v>0</v>
      </c>
      <c r="T454" s="238">
        <f>IFERROR(Q453/T453*100,0)</f>
        <v>0</v>
      </c>
      <c r="U454" s="245">
        <f>IFERROR(U453/COUNTA(A441:A452),0)</f>
        <v>0</v>
      </c>
      <c r="V454" s="245">
        <f>IFERROR(V453/COUNTA(A441:A452),0)</f>
        <v>0</v>
      </c>
    </row>
    <row r="455" spans="1:22" ht="38.25" hidden="1">
      <c r="A455" s="237" t="s">
        <v>524</v>
      </c>
      <c r="B455" s="245">
        <f>O438+B454</f>
        <v>0</v>
      </c>
      <c r="C455" s="245">
        <f>O438+C454</f>
        <v>0</v>
      </c>
      <c r="D455" s="245">
        <f>O438+D454</f>
        <v>0</v>
      </c>
      <c r="E455" s="245"/>
      <c r="F455" s="245"/>
      <c r="G455" s="245">
        <f>O438+G454</f>
        <v>0</v>
      </c>
      <c r="H455" s="245"/>
      <c r="I455" s="245"/>
      <c r="J455" s="245"/>
      <c r="K455" s="245"/>
      <c r="L455" s="245"/>
      <c r="M455" s="245"/>
      <c r="N455" s="245"/>
      <c r="O455" s="245"/>
      <c r="P455" s="245"/>
      <c r="Q455" s="250"/>
      <c r="R455" s="250"/>
      <c r="S455" s="251" t="s">
        <v>525</v>
      </c>
      <c r="T455" s="251" t="s">
        <v>526</v>
      </c>
      <c r="U455" s="251"/>
      <c r="V455" s="251"/>
    </row>
    <row r="459" spans="1:22" ht="12.75" hidden="1" customHeight="1">
      <c r="A459" s="413" t="s">
        <v>502</v>
      </c>
      <c r="B459" s="413"/>
      <c r="C459" s="418"/>
      <c r="D459" s="419"/>
      <c r="E459" s="419"/>
      <c r="F459" s="419"/>
      <c r="G459" s="419"/>
      <c r="H459" s="419"/>
      <c r="I459" s="419"/>
      <c r="J459" s="419"/>
      <c r="K459" s="419"/>
      <c r="L459" s="419"/>
      <c r="M459" s="419"/>
      <c r="N459" s="419"/>
      <c r="O459" s="419"/>
      <c r="P459" s="419"/>
      <c r="Q459" s="419"/>
      <c r="R459" s="419"/>
      <c r="S459" s="419"/>
      <c r="T459" s="420"/>
      <c r="U459" s="239"/>
      <c r="V459" s="239"/>
    </row>
    <row r="460" spans="1:22" ht="12.75" hidden="1" customHeight="1">
      <c r="A460" s="413" t="s">
        <v>527</v>
      </c>
      <c r="B460" s="413"/>
      <c r="C460" s="421"/>
      <c r="D460" s="421"/>
      <c r="E460" s="421"/>
      <c r="F460" s="421"/>
      <c r="G460" s="421"/>
      <c r="H460" s="422" t="s">
        <v>528</v>
      </c>
      <c r="I460" s="422"/>
      <c r="J460" s="421"/>
      <c r="K460" s="421"/>
      <c r="L460" s="421"/>
      <c r="M460" s="421"/>
      <c r="N460" s="421"/>
      <c r="O460" s="421"/>
      <c r="P460" s="421"/>
      <c r="Q460" s="421"/>
      <c r="R460" s="421"/>
      <c r="S460" s="421"/>
      <c r="T460" s="421"/>
      <c r="U460" s="239"/>
      <c r="V460" s="239"/>
    </row>
    <row r="461" spans="1:22" ht="25.5" hidden="1" customHeight="1">
      <c r="A461" s="413" t="s">
        <v>529</v>
      </c>
      <c r="B461" s="413"/>
      <c r="C461" s="418"/>
      <c r="D461" s="420"/>
      <c r="E461" s="241" t="s">
        <v>530</v>
      </c>
      <c r="F461" s="423"/>
      <c r="G461" s="424"/>
      <c r="H461" s="424"/>
      <c r="I461" s="425"/>
      <c r="J461" s="241" t="s">
        <v>531</v>
      </c>
      <c r="K461" s="423"/>
      <c r="L461" s="424"/>
      <c r="M461" s="425"/>
      <c r="N461" s="240" t="s">
        <v>532</v>
      </c>
      <c r="O461" s="426"/>
      <c r="P461" s="427"/>
      <c r="Q461" s="427"/>
      <c r="R461" s="427"/>
      <c r="S461" s="427"/>
      <c r="T461" s="428"/>
      <c r="U461" s="252"/>
      <c r="V461" s="252"/>
    </row>
    <row r="462" spans="1:22" ht="38.25" hidden="1" customHeight="1">
      <c r="A462" s="231" t="s">
        <v>163</v>
      </c>
      <c r="B462" s="415" t="s">
        <v>533</v>
      </c>
      <c r="C462" s="415"/>
      <c r="D462" s="415"/>
      <c r="E462" s="232" t="s">
        <v>534</v>
      </c>
      <c r="F462" s="232" t="s">
        <v>535</v>
      </c>
      <c r="G462" s="231" t="s">
        <v>536</v>
      </c>
      <c r="H462" s="231" t="s">
        <v>537</v>
      </c>
      <c r="I462" s="231" t="s">
        <v>538</v>
      </c>
      <c r="J462" s="232" t="s">
        <v>539</v>
      </c>
      <c r="K462" s="232" t="s">
        <v>540</v>
      </c>
      <c r="L462" s="416" t="s">
        <v>541</v>
      </c>
      <c r="M462" s="417"/>
      <c r="N462" s="416" t="s">
        <v>542</v>
      </c>
      <c r="O462" s="417"/>
      <c r="P462" s="231" t="s">
        <v>543</v>
      </c>
      <c r="Q462" s="231" t="s">
        <v>514</v>
      </c>
      <c r="R462" s="231" t="s">
        <v>515</v>
      </c>
      <c r="S462" s="231" t="s">
        <v>516</v>
      </c>
      <c r="T462" s="231" t="s">
        <v>517</v>
      </c>
      <c r="U462" s="231" t="s">
        <v>544</v>
      </c>
      <c r="V462" s="231" t="s">
        <v>545</v>
      </c>
    </row>
    <row r="463" spans="1:22" hidden="1">
      <c r="A463" s="231"/>
      <c r="B463" s="231">
        <v>10</v>
      </c>
      <c r="C463" s="231">
        <v>20</v>
      </c>
      <c r="D463" s="231">
        <v>30</v>
      </c>
      <c r="E463" s="231"/>
      <c r="F463" s="231"/>
      <c r="G463" s="231"/>
      <c r="H463" s="231"/>
      <c r="I463" s="231"/>
      <c r="J463" s="231"/>
      <c r="K463" s="231"/>
      <c r="L463" s="231" t="s">
        <v>520</v>
      </c>
      <c r="M463" s="231" t="s">
        <v>521</v>
      </c>
      <c r="N463" s="231" t="s">
        <v>520</v>
      </c>
      <c r="O463" s="231" t="s">
        <v>521</v>
      </c>
      <c r="P463" s="231"/>
      <c r="Q463" s="231"/>
      <c r="R463" s="231"/>
      <c r="S463" s="231"/>
      <c r="T463" s="231"/>
      <c r="U463" s="231"/>
      <c r="V463" s="231"/>
    </row>
    <row r="464" spans="1:22" hidden="1">
      <c r="A464" s="246">
        <f>IF($A$27="","",$A$27)</f>
        <v>45139</v>
      </c>
      <c r="B464" s="243"/>
      <c r="C464" s="243"/>
      <c r="D464" s="243"/>
      <c r="E464" s="243"/>
      <c r="F464" s="243"/>
      <c r="G464" s="244">
        <f>IFERROR(AVERAGE(B464:D464),0)</f>
        <v>0</v>
      </c>
      <c r="H464" s="243"/>
      <c r="I464" s="243"/>
      <c r="J464" s="243"/>
      <c r="K464" s="243"/>
      <c r="L464" s="243"/>
      <c r="M464" s="243"/>
      <c r="N464" s="243"/>
      <c r="O464" s="243"/>
      <c r="P464" s="247">
        <f t="shared" ref="P464:P475" si="145">+H464-I464-J464-M464+L464</f>
        <v>0</v>
      </c>
      <c r="Q464" s="253"/>
      <c r="R464" s="253"/>
      <c r="S464" s="253"/>
      <c r="T464" s="253"/>
      <c r="U464" s="245">
        <f>H464-J464-M464</f>
        <v>0</v>
      </c>
      <c r="V464" s="245">
        <f>I464-L464</f>
        <v>0</v>
      </c>
    </row>
    <row r="465" spans="1:22" hidden="1">
      <c r="A465" s="246">
        <f>IF($A$28="","",$A$28)</f>
        <v>45170</v>
      </c>
      <c r="B465" s="243"/>
      <c r="C465" s="243"/>
      <c r="D465" s="243"/>
      <c r="E465" s="243"/>
      <c r="F465" s="243"/>
      <c r="G465" s="244">
        <f t="shared" ref="G465:G475" si="146">IFERROR(AVERAGE(B465:D465),0)</f>
        <v>0</v>
      </c>
      <c r="H465" s="243"/>
      <c r="I465" s="243"/>
      <c r="J465" s="243"/>
      <c r="K465" s="243"/>
      <c r="L465" s="243"/>
      <c r="M465" s="243"/>
      <c r="N465" s="243"/>
      <c r="O465" s="243"/>
      <c r="P465" s="247">
        <f t="shared" si="145"/>
        <v>0</v>
      </c>
      <c r="Q465" s="253"/>
      <c r="R465" s="253"/>
      <c r="S465" s="253"/>
      <c r="T465" s="253"/>
      <c r="U465" s="245">
        <f t="shared" ref="U465:U475" si="147">H465-J465-M465</f>
        <v>0</v>
      </c>
      <c r="V465" s="245">
        <f t="shared" ref="V465:V475" si="148">I465-L465</f>
        <v>0</v>
      </c>
    </row>
    <row r="466" spans="1:22" hidden="1">
      <c r="A466" s="246">
        <f>IF($A$29="","",$A$29)</f>
        <v>45200</v>
      </c>
      <c r="B466" s="243"/>
      <c r="C466" s="243"/>
      <c r="D466" s="243"/>
      <c r="E466" s="243"/>
      <c r="F466" s="243"/>
      <c r="G466" s="244">
        <f t="shared" si="146"/>
        <v>0</v>
      </c>
      <c r="H466" s="243"/>
      <c r="I466" s="243"/>
      <c r="J466" s="243"/>
      <c r="K466" s="243"/>
      <c r="L466" s="243"/>
      <c r="M466" s="243"/>
      <c r="N466" s="243"/>
      <c r="O466" s="243"/>
      <c r="P466" s="247">
        <f t="shared" si="145"/>
        <v>0</v>
      </c>
      <c r="Q466" s="253"/>
      <c r="R466" s="253"/>
      <c r="S466" s="253"/>
      <c r="T466" s="253"/>
      <c r="U466" s="245">
        <f t="shared" si="147"/>
        <v>0</v>
      </c>
      <c r="V466" s="245">
        <f t="shared" si="148"/>
        <v>0</v>
      </c>
    </row>
    <row r="467" spans="1:22" hidden="1">
      <c r="A467" s="246">
        <f>IF($A$30="","",$A$30)</f>
        <v>45231</v>
      </c>
      <c r="B467" s="243"/>
      <c r="C467" s="243"/>
      <c r="D467" s="243"/>
      <c r="E467" s="243"/>
      <c r="F467" s="243"/>
      <c r="G467" s="244">
        <f t="shared" si="146"/>
        <v>0</v>
      </c>
      <c r="H467" s="243"/>
      <c r="I467" s="243"/>
      <c r="J467" s="243"/>
      <c r="K467" s="243"/>
      <c r="L467" s="243"/>
      <c r="M467" s="243"/>
      <c r="N467" s="243"/>
      <c r="O467" s="243"/>
      <c r="P467" s="247">
        <f t="shared" si="145"/>
        <v>0</v>
      </c>
      <c r="Q467" s="253"/>
      <c r="R467" s="253"/>
      <c r="S467" s="253"/>
      <c r="T467" s="253"/>
      <c r="U467" s="245">
        <f t="shared" si="147"/>
        <v>0</v>
      </c>
      <c r="V467" s="245">
        <f t="shared" si="148"/>
        <v>0</v>
      </c>
    </row>
    <row r="468" spans="1:22" hidden="1">
      <c r="A468" s="246">
        <f>IF($A$31="","",$A$31)</f>
        <v>45261</v>
      </c>
      <c r="B468" s="243"/>
      <c r="C468" s="243"/>
      <c r="D468" s="243"/>
      <c r="E468" s="243"/>
      <c r="F468" s="243"/>
      <c r="G468" s="244">
        <f t="shared" si="146"/>
        <v>0</v>
      </c>
      <c r="H468" s="243"/>
      <c r="I468" s="243"/>
      <c r="J468" s="243"/>
      <c r="K468" s="243"/>
      <c r="L468" s="243"/>
      <c r="M468" s="243"/>
      <c r="N468" s="243"/>
      <c r="O468" s="243"/>
      <c r="P468" s="247">
        <f t="shared" si="145"/>
        <v>0</v>
      </c>
      <c r="Q468" s="253"/>
      <c r="R468" s="253"/>
      <c r="S468" s="253"/>
      <c r="T468" s="253"/>
      <c r="U468" s="245">
        <f t="shared" si="147"/>
        <v>0</v>
      </c>
      <c r="V468" s="245">
        <f t="shared" si="148"/>
        <v>0</v>
      </c>
    </row>
    <row r="469" spans="1:22" hidden="1">
      <c r="A469" s="246">
        <f>IF($A$32="","",$A$32)</f>
        <v>45292</v>
      </c>
      <c r="B469" s="243"/>
      <c r="C469" s="243"/>
      <c r="D469" s="243"/>
      <c r="E469" s="243"/>
      <c r="F469" s="243"/>
      <c r="G469" s="244">
        <f t="shared" si="146"/>
        <v>0</v>
      </c>
      <c r="H469" s="243"/>
      <c r="I469" s="243"/>
      <c r="J469" s="243"/>
      <c r="K469" s="243"/>
      <c r="L469" s="243"/>
      <c r="M469" s="243"/>
      <c r="N469" s="243"/>
      <c r="O469" s="243"/>
      <c r="P469" s="247">
        <f t="shared" si="145"/>
        <v>0</v>
      </c>
      <c r="Q469" s="253"/>
      <c r="R469" s="253"/>
      <c r="S469" s="253"/>
      <c r="T469" s="253"/>
      <c r="U469" s="245">
        <f t="shared" si="147"/>
        <v>0</v>
      </c>
      <c r="V469" s="245">
        <f t="shared" si="148"/>
        <v>0</v>
      </c>
    </row>
    <row r="470" spans="1:22" hidden="1">
      <c r="A470" s="246" t="str">
        <f>IF($A$33="","",$A$33)</f>
        <v/>
      </c>
      <c r="B470" s="243"/>
      <c r="C470" s="243"/>
      <c r="D470" s="243"/>
      <c r="E470" s="243"/>
      <c r="F470" s="243"/>
      <c r="G470" s="244">
        <f t="shared" si="146"/>
        <v>0</v>
      </c>
      <c r="H470" s="243"/>
      <c r="I470" s="243"/>
      <c r="J470" s="243"/>
      <c r="K470" s="243"/>
      <c r="L470" s="243"/>
      <c r="M470" s="243"/>
      <c r="N470" s="243"/>
      <c r="O470" s="243"/>
      <c r="P470" s="247">
        <f t="shared" si="145"/>
        <v>0</v>
      </c>
      <c r="Q470" s="253"/>
      <c r="R470" s="253"/>
      <c r="S470" s="253"/>
      <c r="T470" s="253"/>
      <c r="U470" s="245">
        <f t="shared" si="147"/>
        <v>0</v>
      </c>
      <c r="V470" s="245">
        <f t="shared" si="148"/>
        <v>0</v>
      </c>
    </row>
    <row r="471" spans="1:22" hidden="1">
      <c r="A471" s="246" t="str">
        <f>IF($A$34="","",$A$34)</f>
        <v/>
      </c>
      <c r="B471" s="243"/>
      <c r="C471" s="243"/>
      <c r="D471" s="243"/>
      <c r="E471" s="243"/>
      <c r="F471" s="243"/>
      <c r="G471" s="244">
        <f t="shared" si="146"/>
        <v>0</v>
      </c>
      <c r="H471" s="243"/>
      <c r="I471" s="243"/>
      <c r="J471" s="243"/>
      <c r="K471" s="243"/>
      <c r="L471" s="243"/>
      <c r="M471" s="243"/>
      <c r="N471" s="243"/>
      <c r="O471" s="243"/>
      <c r="P471" s="247">
        <f t="shared" si="145"/>
        <v>0</v>
      </c>
      <c r="Q471" s="253"/>
      <c r="R471" s="253"/>
      <c r="S471" s="253"/>
      <c r="T471" s="253"/>
      <c r="U471" s="245">
        <f t="shared" si="147"/>
        <v>0</v>
      </c>
      <c r="V471" s="245">
        <f t="shared" si="148"/>
        <v>0</v>
      </c>
    </row>
    <row r="472" spans="1:22" hidden="1">
      <c r="A472" s="246" t="str">
        <f>IF($A$35="","",$A$35)</f>
        <v/>
      </c>
      <c r="B472" s="243"/>
      <c r="C472" s="243"/>
      <c r="D472" s="243"/>
      <c r="E472" s="243"/>
      <c r="F472" s="243"/>
      <c r="G472" s="244">
        <f t="shared" si="146"/>
        <v>0</v>
      </c>
      <c r="H472" s="243"/>
      <c r="I472" s="243"/>
      <c r="J472" s="243"/>
      <c r="K472" s="243"/>
      <c r="L472" s="243"/>
      <c r="M472" s="243"/>
      <c r="N472" s="243"/>
      <c r="O472" s="243"/>
      <c r="P472" s="247">
        <f t="shared" si="145"/>
        <v>0</v>
      </c>
      <c r="Q472" s="253"/>
      <c r="R472" s="253"/>
      <c r="S472" s="253"/>
      <c r="T472" s="253"/>
      <c r="U472" s="245">
        <f t="shared" si="147"/>
        <v>0</v>
      </c>
      <c r="V472" s="245">
        <f t="shared" si="148"/>
        <v>0</v>
      </c>
    </row>
    <row r="473" spans="1:22" hidden="1">
      <c r="A473" s="246" t="str">
        <f>IF($A$36="","",$A$36)</f>
        <v/>
      </c>
      <c r="B473" s="243"/>
      <c r="C473" s="243"/>
      <c r="D473" s="243"/>
      <c r="E473" s="243"/>
      <c r="F473" s="243"/>
      <c r="G473" s="244">
        <f t="shared" si="146"/>
        <v>0</v>
      </c>
      <c r="H473" s="243"/>
      <c r="I473" s="243"/>
      <c r="J473" s="243"/>
      <c r="K473" s="243"/>
      <c r="L473" s="243"/>
      <c r="M473" s="243"/>
      <c r="N473" s="243"/>
      <c r="O473" s="243"/>
      <c r="P473" s="247">
        <f t="shared" si="145"/>
        <v>0</v>
      </c>
      <c r="Q473" s="253"/>
      <c r="R473" s="253"/>
      <c r="S473" s="253"/>
      <c r="T473" s="253"/>
      <c r="U473" s="245">
        <f t="shared" si="147"/>
        <v>0</v>
      </c>
      <c r="V473" s="245">
        <f t="shared" si="148"/>
        <v>0</v>
      </c>
    </row>
    <row r="474" spans="1:22" hidden="1">
      <c r="A474" s="246" t="str">
        <f>IF($A$37="","",$A$37)</f>
        <v/>
      </c>
      <c r="B474" s="243"/>
      <c r="C474" s="243"/>
      <c r="D474" s="243"/>
      <c r="E474" s="243"/>
      <c r="F474" s="243"/>
      <c r="G474" s="244">
        <f t="shared" si="146"/>
        <v>0</v>
      </c>
      <c r="H474" s="243"/>
      <c r="I474" s="243"/>
      <c r="J474" s="243"/>
      <c r="K474" s="243"/>
      <c r="L474" s="243"/>
      <c r="M474" s="243"/>
      <c r="N474" s="243"/>
      <c r="O474" s="243"/>
      <c r="P474" s="247">
        <f t="shared" si="145"/>
        <v>0</v>
      </c>
      <c r="Q474" s="253"/>
      <c r="R474" s="253"/>
      <c r="S474" s="253"/>
      <c r="T474" s="253"/>
      <c r="U474" s="245">
        <f t="shared" si="147"/>
        <v>0</v>
      </c>
      <c r="V474" s="245">
        <f t="shared" si="148"/>
        <v>0</v>
      </c>
    </row>
    <row r="475" spans="1:22" hidden="1">
      <c r="A475" s="246" t="str">
        <f>IF($A$38="","",$A$38)</f>
        <v/>
      </c>
      <c r="B475" s="243"/>
      <c r="C475" s="243"/>
      <c r="D475" s="243"/>
      <c r="E475" s="243"/>
      <c r="F475" s="243"/>
      <c r="G475" s="244">
        <f t="shared" si="146"/>
        <v>0</v>
      </c>
      <c r="H475" s="243"/>
      <c r="I475" s="243"/>
      <c r="J475" s="243"/>
      <c r="K475" s="243"/>
      <c r="L475" s="243"/>
      <c r="M475" s="243"/>
      <c r="N475" s="243"/>
      <c r="O475" s="243"/>
      <c r="P475" s="247">
        <f t="shared" si="145"/>
        <v>0</v>
      </c>
      <c r="Q475" s="253"/>
      <c r="R475" s="253"/>
      <c r="S475" s="253"/>
      <c r="T475" s="253"/>
      <c r="U475" s="245">
        <f t="shared" si="147"/>
        <v>0</v>
      </c>
      <c r="V475" s="245">
        <f t="shared" si="148"/>
        <v>0</v>
      </c>
    </row>
    <row r="476" spans="1:22" hidden="1">
      <c r="A476" s="237" t="s">
        <v>522</v>
      </c>
      <c r="B476" s="245">
        <f t="shared" ref="B476:I476" si="149">+SUM(B464:B475)</f>
        <v>0</v>
      </c>
      <c r="C476" s="245">
        <f t="shared" si="149"/>
        <v>0</v>
      </c>
      <c r="D476" s="245">
        <f t="shared" si="149"/>
        <v>0</v>
      </c>
      <c r="E476" s="245">
        <f t="shared" si="149"/>
        <v>0</v>
      </c>
      <c r="F476" s="245">
        <f t="shared" si="149"/>
        <v>0</v>
      </c>
      <c r="G476" s="245">
        <f t="shared" si="149"/>
        <v>0</v>
      </c>
      <c r="H476" s="245">
        <f t="shared" si="149"/>
        <v>0</v>
      </c>
      <c r="I476" s="245">
        <f t="shared" si="149"/>
        <v>0</v>
      </c>
      <c r="J476" s="245">
        <f t="shared" ref="J476:O476" si="150">+SUM(J464:J475)</f>
        <v>0</v>
      </c>
      <c r="K476" s="245">
        <f t="shared" si="150"/>
        <v>0</v>
      </c>
      <c r="L476" s="245">
        <f t="shared" si="150"/>
        <v>0</v>
      </c>
      <c r="M476" s="245">
        <f t="shared" si="150"/>
        <v>0</v>
      </c>
      <c r="N476" s="245">
        <f t="shared" si="150"/>
        <v>0</v>
      </c>
      <c r="O476" s="245">
        <f t="shared" si="150"/>
        <v>0</v>
      </c>
      <c r="P476" s="245">
        <f t="shared" ref="P476:V476" si="151">+SUM(P464:P475)</f>
        <v>0</v>
      </c>
      <c r="Q476" s="245">
        <f t="shared" si="151"/>
        <v>0</v>
      </c>
      <c r="R476" s="245">
        <f t="shared" si="151"/>
        <v>0</v>
      </c>
      <c r="S476" s="245">
        <f t="shared" si="151"/>
        <v>0</v>
      </c>
      <c r="T476" s="245">
        <f t="shared" si="151"/>
        <v>0</v>
      </c>
      <c r="U476" s="245">
        <f t="shared" si="151"/>
        <v>0</v>
      </c>
      <c r="V476" s="245">
        <f t="shared" si="151"/>
        <v>0</v>
      </c>
    </row>
    <row r="477" spans="1:22" hidden="1">
      <c r="A477" s="237" t="s">
        <v>523</v>
      </c>
      <c r="B477" s="245">
        <f>IFERROR(B476/(COUNTA(A464:A475)-COUNTIF(A464:A475,"")),0)</f>
        <v>0</v>
      </c>
      <c r="C477" s="245">
        <f>IFERROR(C476/(COUNTA(A464:A475)-COUNTIF(A464:A475,"")),0)</f>
        <v>0</v>
      </c>
      <c r="D477" s="245">
        <f>IFERROR(D476/(COUNTA(A464:A475)-COUNTIF(A464:A475,"")),0)</f>
        <v>0</v>
      </c>
      <c r="E477" s="245">
        <f>IFERROR(E476/(COUNTA(A464:A475)-COUNTIF(A464:A475,"")),0)</f>
        <v>0</v>
      </c>
      <c r="F477" s="245">
        <f>IFERROR(F476/(COUNTA(A464:A475)-COUNTIF(A464:A475,"")),0)</f>
        <v>0</v>
      </c>
      <c r="G477" s="245">
        <f>IFERROR(G476/(COUNTA(A464:A475)-COUNTIF(A464:A475,"")),0)</f>
        <v>0</v>
      </c>
      <c r="H477" s="245">
        <f>IFERROR(H476/(COUNTA(A464:A475)-COUNTIF(A464:A475,"")),0)</f>
        <v>0</v>
      </c>
      <c r="I477" s="245">
        <f>IFERROR(I476/(COUNTA(A464:A475)-COUNTIF(A464:A475,"")),0)</f>
        <v>0</v>
      </c>
      <c r="J477" s="245">
        <f>IFERROR(J476/(COUNTA(A464:A475)-COUNTIF(A464:A475,"")),0)</f>
        <v>0</v>
      </c>
      <c r="K477" s="245">
        <f>IFERROR(K476/(COUNTA(A464:A475)-COUNTIF(A464:A475,"")),0)</f>
        <v>0</v>
      </c>
      <c r="L477" s="245">
        <f>IFERROR(L476/(COUNTA(A464:A475)-COUNTIF(A464:A475,"")),0)</f>
        <v>0</v>
      </c>
      <c r="M477" s="245">
        <f>IFERROR(M476/(COUNTA(A464:A475)-COUNTIF(A464:A475,"")),0)</f>
        <v>0</v>
      </c>
      <c r="N477" s="245">
        <f>IFERROR(N476/(COUNTA(A464:A475)-COUNTIF(A464:A475,"")),0)</f>
        <v>0</v>
      </c>
      <c r="O477" s="245">
        <f>IFERROR(O476/(COUNTA(A464:A475)-COUNTIF(A464:A475,"")),0)</f>
        <v>0</v>
      </c>
      <c r="P477" s="245">
        <f>IFERROR(P476/(COUNTA(A464:A475)-COUNTIF(A464:A475,"")),0)</f>
        <v>0</v>
      </c>
      <c r="Q477" s="250"/>
      <c r="R477" s="250"/>
      <c r="S477" s="238">
        <f>IFERROR(R476/S476*100,0)</f>
        <v>0</v>
      </c>
      <c r="T477" s="238">
        <f>IFERROR(Q476/T476*100,0)</f>
        <v>0</v>
      </c>
      <c r="U477" s="245">
        <f>IFERROR(U476/COUNTA(A464:A475),0)</f>
        <v>0</v>
      </c>
      <c r="V477" s="245">
        <f>IFERROR(V476/COUNTA(A464:A475),0)</f>
        <v>0</v>
      </c>
    </row>
    <row r="478" spans="1:22" ht="38.25" hidden="1">
      <c r="A478" s="237" t="s">
        <v>524</v>
      </c>
      <c r="B478" s="245">
        <f>O461+B477</f>
        <v>0</v>
      </c>
      <c r="C478" s="245">
        <f>O461+C477</f>
        <v>0</v>
      </c>
      <c r="D478" s="245">
        <f>O461+D477</f>
        <v>0</v>
      </c>
      <c r="E478" s="245"/>
      <c r="F478" s="245"/>
      <c r="G478" s="245">
        <f>O461+G477</f>
        <v>0</v>
      </c>
      <c r="H478" s="245"/>
      <c r="I478" s="245"/>
      <c r="J478" s="245"/>
      <c r="K478" s="245"/>
      <c r="L478" s="245"/>
      <c r="M478" s="245"/>
      <c r="N478" s="245"/>
      <c r="O478" s="245"/>
      <c r="P478" s="245"/>
      <c r="Q478" s="250"/>
      <c r="R478" s="250"/>
      <c r="S478" s="251" t="s">
        <v>525</v>
      </c>
      <c r="T478" s="251" t="s">
        <v>526</v>
      </c>
      <c r="U478" s="251"/>
      <c r="V478" s="251"/>
    </row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30" workbookViewId="0">
      <selection activeCell="C49" sqref="C49:G49"/>
    </sheetView>
  </sheetViews>
  <sheetFormatPr defaultColWidth="0" defaultRowHeight="12" customHeight="1" zeroHeight="1"/>
  <cols>
    <col min="1" max="1" width="1.5703125" style="197" customWidth="1"/>
    <col min="2" max="2" width="48.140625" style="198" customWidth="1"/>
    <col min="3" max="3" width="12.28515625" style="197" customWidth="1"/>
    <col min="4" max="4" width="14.140625" style="197" customWidth="1"/>
    <col min="5" max="6" width="20.7109375" style="197" customWidth="1"/>
    <col min="7" max="7" width="16.85546875" style="197" customWidth="1"/>
    <col min="8" max="8" width="1.140625" style="199" customWidth="1"/>
    <col min="9" max="9" width="9.140625" style="199" hidden="1" customWidth="1"/>
    <col min="10" max="11" width="8" style="199" hidden="1" customWidth="1"/>
    <col min="12" max="21" width="9.140625" style="199" hidden="1" customWidth="1"/>
    <col min="22" max="16384" width="9.140625" style="197" hidden="1"/>
  </cols>
  <sheetData>
    <row r="1" spans="2:7" ht="12" customHeight="1"/>
    <row r="2" spans="2:7">
      <c r="B2" s="200" t="s">
        <v>71</v>
      </c>
      <c r="C2" s="442">
        <f>BasicInput!$D$27</f>
        <v>1500000</v>
      </c>
      <c r="D2" s="442"/>
      <c r="E2" s="442"/>
      <c r="F2" s="442"/>
      <c r="G2" s="442"/>
    </row>
    <row r="3" spans="2:7">
      <c r="B3" s="200" t="s">
        <v>72</v>
      </c>
      <c r="C3" s="443">
        <f>BasicInput!$F$27</f>
        <v>0.105</v>
      </c>
      <c r="D3" s="444"/>
      <c r="E3" s="444"/>
      <c r="F3" s="444"/>
      <c r="G3" s="444"/>
    </row>
    <row r="4" spans="2:7">
      <c r="B4" s="200" t="s">
        <v>73</v>
      </c>
      <c r="C4" s="445">
        <f>BasicInput!$E$27</f>
        <v>240</v>
      </c>
      <c r="D4" s="444"/>
      <c r="E4" s="444"/>
      <c r="F4" s="444"/>
      <c r="G4" s="444"/>
    </row>
    <row r="5" spans="2:7" ht="12" customHeight="1"/>
    <row r="6" spans="2:7">
      <c r="B6" s="200" t="s">
        <v>75</v>
      </c>
      <c r="C6" s="446" t="s">
        <v>32</v>
      </c>
      <c r="D6" s="447"/>
      <c r="E6" s="447"/>
      <c r="F6" s="447"/>
      <c r="G6" s="448"/>
    </row>
    <row r="7" spans="2:7">
      <c r="B7" s="201" t="s">
        <v>76</v>
      </c>
      <c r="C7" s="449" t="s">
        <v>77</v>
      </c>
      <c r="D7" s="449"/>
      <c r="E7" s="449"/>
      <c r="F7" s="450"/>
      <c r="G7" s="451"/>
    </row>
    <row r="8" spans="2:7">
      <c r="B8" s="202" t="s">
        <v>78</v>
      </c>
      <c r="C8" s="442">
        <f>BasicInput!$I$39</f>
        <v>0</v>
      </c>
      <c r="D8" s="442"/>
      <c r="E8" s="442"/>
      <c r="F8" s="442"/>
      <c r="G8" s="442"/>
    </row>
    <row r="9" spans="2:7">
      <c r="B9" s="202" t="s">
        <v>79</v>
      </c>
      <c r="C9" s="442">
        <f>BasicInput!$J$39</f>
        <v>0</v>
      </c>
      <c r="D9" s="442"/>
      <c r="E9" s="442"/>
      <c r="F9" s="442"/>
      <c r="G9" s="442"/>
    </row>
    <row r="10" spans="2:7">
      <c r="B10" s="202" t="s">
        <v>565</v>
      </c>
      <c r="C10" s="452"/>
      <c r="D10" s="453"/>
      <c r="E10" s="453"/>
      <c r="F10" s="453"/>
      <c r="G10" s="454"/>
    </row>
    <row r="11" spans="2:7">
      <c r="B11" s="202" t="s">
        <v>80</v>
      </c>
      <c r="C11" s="455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56"/>
      <c r="E11" s="456"/>
      <c r="F11" s="456"/>
      <c r="G11" s="457"/>
    </row>
    <row r="12" spans="2:7" ht="12" customHeight="1"/>
    <row r="13" spans="2:7">
      <c r="B13" s="201" t="s">
        <v>81</v>
      </c>
      <c r="C13" s="449" t="s">
        <v>77</v>
      </c>
      <c r="D13" s="449"/>
      <c r="E13" s="449"/>
      <c r="F13" s="450"/>
      <c r="G13" s="451"/>
    </row>
    <row r="14" spans="2:7">
      <c r="B14" s="202" t="s">
        <v>566</v>
      </c>
      <c r="C14" s="442">
        <f>'ExistingLoans&amp;Facilities&amp;RTR'!$N$103</f>
        <v>0</v>
      </c>
      <c r="D14" s="442"/>
      <c r="E14" s="442"/>
      <c r="F14" s="442"/>
      <c r="G14" s="442"/>
    </row>
    <row r="15" spans="2:7">
      <c r="B15" s="202" t="s">
        <v>83</v>
      </c>
      <c r="C15" s="442">
        <f>'ExistingLoans&amp;Facilities&amp;RTR'!$N$105</f>
        <v>0</v>
      </c>
      <c r="D15" s="442"/>
      <c r="E15" s="442"/>
      <c r="F15" s="442"/>
      <c r="G15" s="442"/>
    </row>
    <row r="16" spans="2:7" ht="12" customHeight="1"/>
    <row r="17" spans="2:11">
      <c r="B17" s="458" t="s">
        <v>84</v>
      </c>
      <c r="C17" s="458"/>
      <c r="D17" s="458"/>
      <c r="E17" s="458"/>
      <c r="F17" s="458"/>
      <c r="G17" s="458"/>
    </row>
    <row r="18" spans="2:11">
      <c r="B18" s="203" t="s">
        <v>85</v>
      </c>
      <c r="C18" s="204" t="s">
        <v>86</v>
      </c>
      <c r="D18" s="204" t="s">
        <v>89</v>
      </c>
      <c r="E18" s="204" t="s">
        <v>87</v>
      </c>
      <c r="F18" s="204" t="s">
        <v>88</v>
      </c>
      <c r="G18" s="204" t="s">
        <v>90</v>
      </c>
    </row>
    <row r="19" spans="2:11">
      <c r="B19" s="459" t="s">
        <v>567</v>
      </c>
      <c r="C19" s="459"/>
      <c r="D19" s="459"/>
      <c r="E19" s="459"/>
      <c r="F19" s="459"/>
      <c r="G19" s="459"/>
    </row>
    <row r="20" spans="2:11">
      <c r="B20" s="202" t="s">
        <v>99</v>
      </c>
      <c r="C20" s="205">
        <v>1</v>
      </c>
      <c r="D20" s="206" t="s">
        <v>102</v>
      </c>
      <c r="E20" s="206">
        <f>BasicInput!E48</f>
        <v>0</v>
      </c>
      <c r="F20" s="206">
        <f>BasicInput!D48</f>
        <v>0</v>
      </c>
      <c r="G20" s="207">
        <f>IF(D20="Monthly",C20*F20*12,C20*F20)</f>
        <v>0</v>
      </c>
    </row>
    <row r="21" spans="2:11">
      <c r="B21" s="459" t="s">
        <v>568</v>
      </c>
      <c r="C21" s="459"/>
      <c r="D21" s="459"/>
      <c r="E21" s="459"/>
      <c r="F21" s="459"/>
      <c r="G21" s="459"/>
    </row>
    <row r="22" spans="2:11">
      <c r="B22" s="202" t="s">
        <v>569</v>
      </c>
      <c r="C22" s="205">
        <v>1</v>
      </c>
      <c r="D22" s="206" t="s">
        <v>102</v>
      </c>
      <c r="E22" s="206">
        <f>IF(BasicInput!C1="Prime",PrimeCashProfitMethod!C4,AffordConsolidated!D29*100000)+'44AD,44ADA,44AEIncome'!C117</f>
        <v>471360</v>
      </c>
      <c r="F22" s="206">
        <f>IF(BasicInput!C1="Prime",PrimeCashProfitMethod!B4,AffordConsolidated!C29*100000)+'44AD,44ADA,44AEIncome'!B117</f>
        <v>482560</v>
      </c>
      <c r="G22" s="479">
        <f>IFERROR((IF((K26-J26)/J26&lt;=50%,K26,IF((AVERAGE(K26,J26)-J26)/J26&gt;50%,AVERAGE(J26,K26),J26*150%))),0)</f>
        <v>482560</v>
      </c>
      <c r="J22" s="199">
        <f>IF(D22="Monthly",C22*E22*12,C22*E22)</f>
        <v>471360</v>
      </c>
      <c r="K22" s="199">
        <f>IF(D22="Monthly",C22*F22*12,C22*F22)</f>
        <v>482560</v>
      </c>
    </row>
    <row r="23" spans="2:11">
      <c r="B23" s="202" t="s">
        <v>570</v>
      </c>
      <c r="C23" s="205">
        <v>1</v>
      </c>
      <c r="D23" s="206" t="s">
        <v>102</v>
      </c>
      <c r="E23" s="206">
        <f>IF(BasicInput!C1="Prime",PrimeCashProfitMethod!C5,AffordConsolidated!D23*100000)</f>
        <v>0</v>
      </c>
      <c r="F23" s="206">
        <f>IF(BasicInput!C1="Prime",PrimeCashProfitMethod!B5,AffordConsolidated!C23*100000)</f>
        <v>0</v>
      </c>
      <c r="G23" s="480"/>
      <c r="J23" s="199">
        <f>IF(D23="Monthly",C23*E23*12,C23*E23)</f>
        <v>0</v>
      </c>
      <c r="K23" s="199">
        <f>IF(D23="Monthly",C23*F23*12,C23*F23)</f>
        <v>0</v>
      </c>
    </row>
    <row r="24" spans="2:11">
      <c r="B24" s="202" t="s">
        <v>571</v>
      </c>
      <c r="C24" s="205">
        <v>1</v>
      </c>
      <c r="D24" s="206" t="s">
        <v>102</v>
      </c>
      <c r="E24" s="206">
        <f>IF(BasicInput!C1="Prime",PrimeCashProfitMethod!C6,0)</f>
        <v>0</v>
      </c>
      <c r="F24" s="206">
        <f>IF(BasicInput!C1="Prime",PrimeCashProfitMethod!B6,0)</f>
        <v>0</v>
      </c>
      <c r="G24" s="480"/>
      <c r="J24" s="199">
        <f>IF(D24="Monthly",C24*E24*12,C24*E24)</f>
        <v>0</v>
      </c>
      <c r="K24" s="199">
        <f>IF(D24="Monthly",C24*F24*12,C24*F24)</f>
        <v>0</v>
      </c>
    </row>
    <row r="25" spans="2:11">
      <c r="B25" s="202" t="s">
        <v>572</v>
      </c>
      <c r="C25" s="205">
        <v>1</v>
      </c>
      <c r="D25" s="206" t="s">
        <v>102</v>
      </c>
      <c r="E25" s="206">
        <f>IF(BasicInput!C1="Prime",PrimeCashProfitMethod!C7,AffordConsolidated!D25*100000)</f>
        <v>0</v>
      </c>
      <c r="F25" s="206">
        <f>IF(BasicInput!C1="Prime",PrimeCashProfitMethod!B7,AffordConsolidated!C25*100000)</f>
        <v>0</v>
      </c>
      <c r="G25" s="481"/>
      <c r="J25" s="199">
        <f>IF(D25="Monthly",C25*E25*12,C25*E25)</f>
        <v>0</v>
      </c>
      <c r="K25" s="199">
        <f>IF(D25="Monthly",C25*F25*12,C25*F25)</f>
        <v>0</v>
      </c>
    </row>
    <row r="26" spans="2:11">
      <c r="B26" s="459" t="s">
        <v>109</v>
      </c>
      <c r="C26" s="459"/>
      <c r="D26" s="459"/>
      <c r="E26" s="459"/>
      <c r="F26" s="459"/>
      <c r="G26" s="459"/>
      <c r="J26" s="214">
        <f>IF(SUM(J22:J25)&lt;=0,0.00001,SUM(J22:J25))</f>
        <v>471360</v>
      </c>
      <c r="K26" s="199">
        <f>SUM(K22:K25)</f>
        <v>482560</v>
      </c>
    </row>
    <row r="27" spans="2:11">
      <c r="B27" s="202" t="s">
        <v>110</v>
      </c>
      <c r="C27" s="205">
        <v>1</v>
      </c>
      <c r="D27" s="206" t="s">
        <v>102</v>
      </c>
      <c r="E27" s="206"/>
      <c r="F27" s="206">
        <f>BasicInput!D49</f>
        <v>0</v>
      </c>
      <c r="G27" s="207">
        <f>IF(D27="Annual",F27,F27*12)</f>
        <v>0</v>
      </c>
    </row>
    <row r="28" spans="2:11">
      <c r="B28" s="202" t="s">
        <v>111</v>
      </c>
      <c r="C28" s="205">
        <v>1</v>
      </c>
      <c r="D28" s="206" t="s">
        <v>102</v>
      </c>
      <c r="E28" s="206"/>
      <c r="F28" s="206"/>
      <c r="G28" s="207">
        <f>IF(D28="Monthly",AVERAGE(C28*F28*12,C28*E28*12),AVERAGE(C28*F28,C28*E28))</f>
        <v>0</v>
      </c>
    </row>
    <row r="29" spans="2:11">
      <c r="B29" s="202" t="s">
        <v>112</v>
      </c>
      <c r="C29" s="205">
        <v>0.5</v>
      </c>
      <c r="D29" s="206" t="s">
        <v>102</v>
      </c>
      <c r="E29" s="206"/>
      <c r="F29" s="206">
        <f>BasicInput!D50</f>
        <v>0</v>
      </c>
      <c r="G29" s="207">
        <f>IF(D29="Monthly",AVERAGE(C29*F29*12,C29*E29*12),AVERAGE(C29*F29,C29*E29))</f>
        <v>0</v>
      </c>
    </row>
    <row r="30" spans="2:11">
      <c r="B30" s="202" t="s">
        <v>113</v>
      </c>
      <c r="C30" s="205">
        <v>1</v>
      </c>
      <c r="D30" s="206" t="s">
        <v>102</v>
      </c>
      <c r="E30" s="206"/>
      <c r="F30" s="206">
        <f>BasicInput!D51</f>
        <v>0</v>
      </c>
      <c r="G30" s="207">
        <f>IF(D30="Monthly",AVERAGE(C30*F30*12,C30*E30*12),AVERAGE(C30*F30,C30*E30))</f>
        <v>0</v>
      </c>
    </row>
    <row r="31" spans="2:11">
      <c r="B31" s="202" t="s">
        <v>109</v>
      </c>
      <c r="C31" s="205">
        <v>1</v>
      </c>
      <c r="D31" s="206" t="s">
        <v>102</v>
      </c>
      <c r="E31" s="206"/>
      <c r="F31" s="206">
        <f>BasicInput!D52</f>
        <v>0</v>
      </c>
      <c r="G31" s="207">
        <f>IF(D31="Monthly",AVERAGE(C31*F31*12,C31*E31*12),AVERAGE(C31*F31,C31*E31))</f>
        <v>0</v>
      </c>
    </row>
    <row r="32" spans="2:11">
      <c r="B32" s="460" t="s">
        <v>573</v>
      </c>
      <c r="C32" s="460"/>
      <c r="D32" s="460"/>
      <c r="E32" s="460"/>
      <c r="F32" s="460"/>
      <c r="G32" s="460"/>
    </row>
    <row r="33" spans="2:7" ht="12" customHeight="1">
      <c r="B33" s="461" t="s">
        <v>115</v>
      </c>
      <c r="C33" s="462"/>
      <c r="D33" s="462"/>
      <c r="E33" s="462"/>
      <c r="F33" s="462"/>
      <c r="G33" s="463"/>
    </row>
    <row r="34" spans="2:7">
      <c r="B34" s="202" t="s">
        <v>116</v>
      </c>
      <c r="C34" s="208">
        <v>1</v>
      </c>
      <c r="D34" s="206" t="s">
        <v>102</v>
      </c>
      <c r="E34" s="209"/>
      <c r="F34" s="209">
        <f>BasicInput!D53</f>
        <v>0</v>
      </c>
      <c r="G34" s="207">
        <f>IF(D34="Annual",F34,F34*12)</f>
        <v>0</v>
      </c>
    </row>
    <row r="35" spans="2:7">
      <c r="B35" s="202" t="s">
        <v>117</v>
      </c>
      <c r="C35" s="208">
        <v>1</v>
      </c>
      <c r="D35" s="206" t="s">
        <v>102</v>
      </c>
      <c r="E35" s="209"/>
      <c r="F35" s="209"/>
      <c r="G35" s="207">
        <f>IF(D35="Monthly",AVERAGE(C35*F35*12,C35*E35*12),AVERAGE(C35*F35,C35*E35))</f>
        <v>0</v>
      </c>
    </row>
    <row r="36" spans="2:7">
      <c r="B36" s="461" t="s">
        <v>574</v>
      </c>
      <c r="C36" s="462"/>
      <c r="D36" s="462"/>
      <c r="E36" s="462"/>
      <c r="F36" s="463"/>
      <c r="G36" s="210">
        <f>IF(SUM(G27:G31)&gt;SUM(G22,G20),SUM(G20,G22,G22,G20,G34:G35),SUM(G20,G22,G27:G31,G34:G35))</f>
        <v>482560</v>
      </c>
    </row>
    <row r="37" spans="2:7">
      <c r="B37" s="464" t="s">
        <v>575</v>
      </c>
      <c r="C37" s="465"/>
      <c r="D37" s="465"/>
      <c r="E37" s="465"/>
      <c r="F37" s="465"/>
      <c r="G37" s="466"/>
    </row>
    <row r="38" spans="2:7" ht="12" customHeight="1"/>
    <row r="39" spans="2:7">
      <c r="B39" s="458" t="s">
        <v>120</v>
      </c>
      <c r="C39" s="458"/>
      <c r="D39" s="458"/>
      <c r="E39" s="458"/>
      <c r="F39" s="458"/>
      <c r="G39" s="458"/>
    </row>
    <row r="40" spans="2:7" ht="2.25" customHeight="1">
      <c r="B40" s="467"/>
      <c r="C40" s="468"/>
      <c r="D40" s="468"/>
      <c r="E40" s="468"/>
      <c r="F40" s="468"/>
      <c r="G40" s="469"/>
    </row>
    <row r="41" spans="2:7">
      <c r="B41" s="202" t="s">
        <v>121</v>
      </c>
      <c r="C41" s="470">
        <f>G36/12</f>
        <v>40213.333333333336</v>
      </c>
      <c r="D41" s="471"/>
      <c r="E41" s="471"/>
      <c r="F41" s="471"/>
      <c r="G41" s="471"/>
    </row>
    <row r="42" spans="2:7">
      <c r="B42" s="202" t="s">
        <v>122</v>
      </c>
      <c r="C42" s="472">
        <v>0.8</v>
      </c>
      <c r="D42" s="472"/>
      <c r="E42" s="472"/>
      <c r="F42" s="472"/>
      <c r="G42" s="472"/>
    </row>
    <row r="43" spans="2:7">
      <c r="B43" s="202" t="s">
        <v>576</v>
      </c>
      <c r="C43" s="471">
        <f>C14</f>
        <v>0</v>
      </c>
      <c r="D43" s="471"/>
      <c r="E43" s="471"/>
      <c r="F43" s="471"/>
      <c r="G43" s="471"/>
    </row>
    <row r="44" spans="2:7">
      <c r="B44" s="202" t="s">
        <v>124</v>
      </c>
      <c r="C44" s="471">
        <f>(C41*C42)-C43</f>
        <v>32170.666666666672</v>
      </c>
      <c r="D44" s="471"/>
      <c r="E44" s="471"/>
      <c r="F44" s="471"/>
      <c r="G44" s="471"/>
    </row>
    <row r="45" spans="2:7">
      <c r="B45" s="211" t="s">
        <v>577</v>
      </c>
      <c r="C45" s="473">
        <f>IF(C44&lt;=0,"Case Not Eligible",(C44/(PMT(C3/12,C4,-100000)))*100000)</f>
        <v>3222287.1360438</v>
      </c>
      <c r="D45" s="473"/>
      <c r="E45" s="473"/>
      <c r="F45" s="473"/>
      <c r="G45" s="473"/>
    </row>
    <row r="46" spans="2:7" ht="2.25" customHeight="1">
      <c r="B46" s="467"/>
      <c r="C46" s="468"/>
      <c r="D46" s="468"/>
      <c r="E46" s="468"/>
      <c r="F46" s="468"/>
      <c r="G46" s="469"/>
    </row>
    <row r="47" spans="2:7">
      <c r="B47" s="202" t="s">
        <v>126</v>
      </c>
      <c r="C47" s="474">
        <f>+C11</f>
        <v>0</v>
      </c>
      <c r="D47" s="474"/>
      <c r="E47" s="474"/>
      <c r="F47" s="474"/>
      <c r="G47" s="474"/>
    </row>
    <row r="48" spans="2:7">
      <c r="B48" s="202" t="s">
        <v>127</v>
      </c>
      <c r="C48" s="472">
        <f>IF(C6="LAP-Resi",70%,IF(C6="LAP-Resi (Vacant)",65%,IF(C6="LAP-Comm",60%,IF(C6="LAP-Comm (Vacant)",55%,IF(C6="Commerical Purchase",65%,IF(C6="Home Loan",80%,IF(C6="Industrial Property",50%,0)))))))</f>
        <v>0.8</v>
      </c>
      <c r="D48" s="472"/>
      <c r="E48" s="472"/>
      <c r="F48" s="472"/>
      <c r="G48" s="472"/>
    </row>
    <row r="49" spans="2:7">
      <c r="B49" s="211" t="s">
        <v>128</v>
      </c>
      <c r="C49" s="473" t="s">
        <v>578</v>
      </c>
      <c r="D49" s="473"/>
      <c r="E49" s="473"/>
      <c r="F49" s="473"/>
      <c r="G49" s="473"/>
    </row>
    <row r="50" spans="2:7" ht="2.25" customHeight="1">
      <c r="B50" s="467"/>
      <c r="C50" s="468"/>
      <c r="D50" s="468"/>
      <c r="E50" s="468"/>
      <c r="F50" s="468"/>
      <c r="G50" s="469"/>
    </row>
    <row r="51" spans="2:7">
      <c r="B51" s="211" t="s">
        <v>129</v>
      </c>
      <c r="C51" s="473">
        <f>IF(C45="Case Not Eligible","Case Not Eligible",IF(C49=0,MIN(C45,C2),MIN(C45,C49,C2)))</f>
        <v>1500000</v>
      </c>
      <c r="D51" s="473"/>
      <c r="E51" s="473"/>
      <c r="F51" s="473"/>
      <c r="G51" s="473"/>
    </row>
    <row r="52" spans="2:7">
      <c r="B52" s="202" t="s">
        <v>130</v>
      </c>
      <c r="C52" s="474">
        <f>IF(C51="Case Not Eligible","Case Not Eligible",PMT(C3/12,C4,-C51))</f>
        <v>14975.698304542426</v>
      </c>
      <c r="D52" s="474"/>
      <c r="E52" s="474"/>
      <c r="F52" s="474"/>
      <c r="G52" s="474"/>
    </row>
    <row r="53" spans="2:7" ht="2.25" customHeight="1">
      <c r="B53" s="467"/>
      <c r="C53" s="468"/>
      <c r="D53" s="468"/>
      <c r="E53" s="468"/>
      <c r="F53" s="468"/>
      <c r="G53" s="469"/>
    </row>
    <row r="54" spans="2:7">
      <c r="B54" s="202" t="s">
        <v>131</v>
      </c>
      <c r="C54" s="472">
        <f>SUM(PMT(C3/12,C4,-C2),C43)/C41</f>
        <v>0.37240629072966908</v>
      </c>
      <c r="D54" s="472"/>
      <c r="E54" s="472"/>
      <c r="F54" s="472"/>
      <c r="G54" s="472"/>
    </row>
    <row r="55" spans="2:7">
      <c r="B55" s="202" t="s">
        <v>132</v>
      </c>
      <c r="C55" s="472" t="e">
        <f>C2/C47</f>
        <v>#DIV/0!</v>
      </c>
      <c r="D55" s="472"/>
      <c r="E55" s="472"/>
      <c r="F55" s="472"/>
      <c r="G55" s="472"/>
    </row>
    <row r="56" spans="2:7">
      <c r="C56" s="212"/>
      <c r="D56" s="212"/>
      <c r="E56" s="212"/>
      <c r="F56" s="212"/>
      <c r="G56" s="212"/>
    </row>
    <row r="57" spans="2:7" ht="12" customHeight="1">
      <c r="B57" s="213" t="s">
        <v>579</v>
      </c>
      <c r="C57" s="475" t="str">
        <f>IF(((SUM(F22:F25)-SUM(E22:E25))/SUM(E22:E25))&gt;=-20%,"No Deviation","Deviation Approval required")</f>
        <v>No Deviation</v>
      </c>
      <c r="D57" s="475"/>
      <c r="E57" s="475"/>
      <c r="F57" s="475"/>
      <c r="G57" s="475"/>
    </row>
    <row r="58" spans="2:7" ht="12" customHeight="1">
      <c r="B58" s="213" t="s">
        <v>580</v>
      </c>
      <c r="C58" s="475" t="str">
        <f>IF(C54-C42&gt;15%,"Deviation Approval required",IF(C54-C42&gt;10%,"Deviation Approval required",IF(C54-C42&gt;5%,"Deviation Approval required",IF(C54-C42&gt;0%,"Deviation Approval required","Within Policy Norms"))))</f>
        <v>Within Policy Norms</v>
      </c>
      <c r="D58" s="475"/>
      <c r="E58" s="475"/>
      <c r="F58" s="475"/>
      <c r="G58" s="475"/>
    </row>
    <row r="59" spans="2:7" ht="12.75" customHeight="1">
      <c r="B59" s="213" t="s">
        <v>581</v>
      </c>
      <c r="C59" s="475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75"/>
      <c r="E59" s="475"/>
      <c r="F59" s="475"/>
      <c r="G59" s="475"/>
    </row>
    <row r="60" spans="2:7" ht="12" customHeight="1">
      <c r="B60" s="213" t="s">
        <v>582</v>
      </c>
      <c r="C60" s="476" t="str">
        <f>IF(C2&gt;100000000,"Offering Under this Program for the Applied Loan Amount is Not Permitted"," No Deviation ")</f>
        <v xml:space="preserve"> No Deviation </v>
      </c>
      <c r="D60" s="477"/>
      <c r="E60" s="477"/>
      <c r="F60" s="477"/>
      <c r="G60" s="478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  <mergeCell ref="C48:G48"/>
    <mergeCell ref="B39:G39"/>
    <mergeCell ref="B40:G40"/>
    <mergeCell ref="C41:G41"/>
    <mergeCell ref="C42:G42"/>
    <mergeCell ref="C43:G43"/>
    <mergeCell ref="B26:G26"/>
    <mergeCell ref="B32:G32"/>
    <mergeCell ref="B33:G33"/>
    <mergeCell ref="B36:F36"/>
    <mergeCell ref="B37:G37"/>
    <mergeCell ref="C14:G14"/>
    <mergeCell ref="C15:G15"/>
    <mergeCell ref="B17:G17"/>
    <mergeCell ref="B19:G19"/>
    <mergeCell ref="B21:G21"/>
    <mergeCell ref="C8:G8"/>
    <mergeCell ref="C9:G9"/>
    <mergeCell ref="C10:G10"/>
    <mergeCell ref="C11:G11"/>
    <mergeCell ref="C13:G13"/>
    <mergeCell ref="C2:G2"/>
    <mergeCell ref="C3:G3"/>
    <mergeCell ref="C4:G4"/>
    <mergeCell ref="C6:G6"/>
    <mergeCell ref="C7:G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error="Please enter Value 1 and 2 " sqref="C10:G10" xr:uid="{00000000-0002-0000-0D00-000001000000}"/>
    <dataValidation type="list" allowBlank="1" showInputMessage="1" showErrorMessage="1" sqref="D20 D22:D25 D27:D31 D34:D35" xr:uid="{00000000-0002-0000-0D00-000002000000}">
      <formula1>"Monthly,Annual"</formula1>
    </dataValidation>
    <dataValidation allowBlank="1" showInputMessage="1" showErrorMessage="1" sqref="E27:F31 E22:F25" xr:uid="{00000000-0002-0000-0D00-000003000000}"/>
  </dataValidations>
  <pageMargins left="0.69930555555555596" right="0.69930555555555596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7" workbookViewId="0">
      <selection activeCell="B7" sqref="B7:E7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583</v>
      </c>
      <c r="B1" s="482"/>
      <c r="C1" s="482"/>
      <c r="D1" s="482"/>
      <c r="E1" s="482"/>
      <c r="H1" s="483" t="s">
        <v>584</v>
      </c>
      <c r="I1" s="483"/>
      <c r="J1" s="483"/>
      <c r="K1" s="483"/>
      <c r="L1" s="483"/>
    </row>
    <row r="2" spans="1:13" s="1" customFormat="1">
      <c r="A2" s="45" t="s">
        <v>585</v>
      </c>
      <c r="B2" s="484"/>
      <c r="C2" s="484"/>
      <c r="D2" s="484"/>
      <c r="E2" s="484"/>
      <c r="H2" s="168" t="s">
        <v>586</v>
      </c>
      <c r="I2" s="338" t="s">
        <v>587</v>
      </c>
      <c r="J2" s="338"/>
      <c r="K2" s="338" t="s">
        <v>588</v>
      </c>
      <c r="L2" s="338"/>
    </row>
    <row r="3" spans="1:13" s="1" customFormat="1">
      <c r="A3" s="45" t="s">
        <v>589</v>
      </c>
      <c r="B3" s="482"/>
      <c r="C3" s="482"/>
      <c r="D3" s="482"/>
      <c r="E3" s="482"/>
      <c r="H3" s="3" t="s">
        <v>590</v>
      </c>
      <c r="I3" s="485"/>
      <c r="J3" s="485"/>
      <c r="K3" s="486"/>
      <c r="L3" s="486"/>
    </row>
    <row r="4" spans="1:13" s="1" customFormat="1">
      <c r="A4" s="45" t="s">
        <v>591</v>
      </c>
      <c r="B4" s="482"/>
      <c r="C4" s="482"/>
      <c r="D4" s="482"/>
      <c r="E4" s="482"/>
      <c r="H4" s="3" t="s">
        <v>592</v>
      </c>
      <c r="I4" s="485"/>
      <c r="J4" s="485"/>
      <c r="K4" s="486"/>
      <c r="L4" s="486"/>
    </row>
    <row r="5" spans="1:13" s="1" customFormat="1">
      <c r="A5" s="45" t="s">
        <v>593</v>
      </c>
      <c r="B5" s="482"/>
      <c r="C5" s="482"/>
      <c r="D5" s="482"/>
      <c r="E5" s="482"/>
      <c r="H5" s="3" t="s">
        <v>594</v>
      </c>
      <c r="I5" s="485"/>
      <c r="J5" s="485"/>
      <c r="K5" s="486"/>
      <c r="L5" s="486"/>
    </row>
    <row r="6" spans="1:13" s="1" customFormat="1">
      <c r="A6" s="45" t="s">
        <v>595</v>
      </c>
      <c r="B6" s="482"/>
      <c r="C6" s="482"/>
      <c r="D6" s="482"/>
      <c r="E6" s="482"/>
      <c r="H6" s="3" t="s">
        <v>596</v>
      </c>
      <c r="I6" s="485"/>
      <c r="J6" s="485"/>
      <c r="K6" s="486"/>
      <c r="L6" s="486"/>
    </row>
    <row r="7" spans="1:13" s="1" customFormat="1" ht="25.5">
      <c r="A7" s="45" t="s">
        <v>597</v>
      </c>
      <c r="B7" s="487"/>
      <c r="C7" s="487"/>
      <c r="D7" s="487"/>
      <c r="E7" s="487"/>
      <c r="H7" s="3" t="s">
        <v>598</v>
      </c>
      <c r="I7" s="485"/>
      <c r="J7" s="485"/>
      <c r="K7" s="486"/>
      <c r="L7" s="486"/>
      <c r="M7" s="1" t="s">
        <v>599</v>
      </c>
    </row>
    <row r="8" spans="1:13" s="1" customFormat="1">
      <c r="A8" s="45" t="s">
        <v>600</v>
      </c>
      <c r="B8" s="487"/>
      <c r="C8" s="487"/>
      <c r="D8" s="487"/>
      <c r="E8" s="487"/>
      <c r="H8" s="3" t="s">
        <v>601</v>
      </c>
      <c r="I8" s="485"/>
      <c r="J8" s="485"/>
      <c r="K8" s="486"/>
      <c r="L8" s="486"/>
    </row>
    <row r="9" spans="1:13" s="1" customFormat="1">
      <c r="A9" s="45" t="s">
        <v>602</v>
      </c>
      <c r="B9" s="488"/>
      <c r="C9" s="488"/>
      <c r="D9" s="488"/>
      <c r="E9" s="488"/>
      <c r="H9" s="3" t="s">
        <v>603</v>
      </c>
      <c r="I9" s="485"/>
      <c r="J9" s="485"/>
      <c r="K9" s="486"/>
      <c r="L9" s="486"/>
    </row>
    <row r="10" spans="1:13" s="1" customFormat="1">
      <c r="A10" s="45" t="s">
        <v>604</v>
      </c>
      <c r="B10" s="488"/>
      <c r="C10" s="488"/>
      <c r="D10" s="488"/>
      <c r="E10" s="488"/>
      <c r="H10" s="3" t="s">
        <v>605</v>
      </c>
      <c r="I10" s="485"/>
      <c r="J10" s="485"/>
      <c r="K10" s="486"/>
      <c r="L10" s="486"/>
    </row>
    <row r="11" spans="1:13" s="1" customFormat="1">
      <c r="A11" s="45" t="s">
        <v>606</v>
      </c>
      <c r="B11" s="488"/>
      <c r="C11" s="488"/>
      <c r="D11" s="488"/>
      <c r="E11" s="488"/>
      <c r="H11" s="168" t="s">
        <v>607</v>
      </c>
      <c r="I11" s="338" t="s">
        <v>608</v>
      </c>
      <c r="J11" s="338"/>
      <c r="K11" s="338" t="s">
        <v>77</v>
      </c>
      <c r="L11" s="338"/>
    </row>
    <row r="12" spans="1:13" s="1" customFormat="1">
      <c r="H12" s="3" t="s">
        <v>609</v>
      </c>
      <c r="I12" s="382"/>
      <c r="J12" s="382"/>
      <c r="K12" s="486"/>
      <c r="L12" s="486"/>
    </row>
    <row r="13" spans="1:13" s="1" customFormat="1" ht="38.25">
      <c r="A13" s="2" t="s">
        <v>610</v>
      </c>
      <c r="B13" s="2" t="s">
        <v>611</v>
      </c>
      <c r="C13" s="2" t="s">
        <v>612</v>
      </c>
      <c r="D13" s="2" t="s">
        <v>613</v>
      </c>
      <c r="E13" s="2" t="s">
        <v>93</v>
      </c>
      <c r="H13" s="3"/>
      <c r="I13" s="382"/>
      <c r="J13" s="382"/>
      <c r="K13" s="486"/>
      <c r="L13" s="486"/>
    </row>
    <row r="14" spans="1:13" s="1" customFormat="1">
      <c r="A14" s="3" t="s">
        <v>614</v>
      </c>
      <c r="B14" s="192"/>
      <c r="C14" s="192"/>
      <c r="D14" s="193"/>
      <c r="E14" s="193"/>
      <c r="H14" s="3" t="s">
        <v>615</v>
      </c>
      <c r="I14" s="382"/>
      <c r="J14" s="382"/>
      <c r="K14" s="486"/>
      <c r="L14" s="486"/>
    </row>
    <row r="15" spans="1:13" s="1" customFormat="1" ht="25.5">
      <c r="A15" s="3"/>
      <c r="B15" s="192"/>
      <c r="C15" s="192"/>
      <c r="D15" s="193"/>
      <c r="E15" s="193"/>
      <c r="H15" s="3" t="s">
        <v>616</v>
      </c>
      <c r="I15" s="382"/>
      <c r="J15" s="382"/>
      <c r="K15" s="382"/>
      <c r="L15" s="382"/>
    </row>
    <row r="16" spans="1:13" s="1" customFormat="1">
      <c r="A16" s="168" t="s">
        <v>617</v>
      </c>
      <c r="B16" s="144"/>
      <c r="C16" s="144"/>
      <c r="D16" s="194"/>
      <c r="E16" s="194">
        <f>SUM(E14:E15)</f>
        <v>0</v>
      </c>
      <c r="H16" s="3" t="s">
        <v>618</v>
      </c>
      <c r="I16" s="382"/>
      <c r="J16" s="382"/>
      <c r="K16" s="382"/>
      <c r="L16" s="382"/>
    </row>
    <row r="17" spans="1:12" s="1" customFormat="1">
      <c r="A17" s="168" t="s">
        <v>619</v>
      </c>
      <c r="B17" s="192"/>
      <c r="C17" s="192"/>
      <c r="D17" s="193"/>
      <c r="E17" s="193"/>
      <c r="H17" s="3" t="s">
        <v>620</v>
      </c>
      <c r="I17" s="382"/>
      <c r="J17" s="382"/>
      <c r="K17" s="382"/>
      <c r="L17" s="382"/>
    </row>
    <row r="18" spans="1:12" s="1" customFormat="1" ht="38.25">
      <c r="A18" s="3" t="s">
        <v>621</v>
      </c>
      <c r="B18" s="192"/>
      <c r="C18" s="192"/>
      <c r="D18" s="193"/>
      <c r="E18" s="193"/>
      <c r="H18" s="3" t="s">
        <v>622</v>
      </c>
      <c r="I18" s="382" t="s">
        <v>623</v>
      </c>
      <c r="J18" s="382"/>
      <c r="K18" s="382"/>
      <c r="L18" s="382"/>
    </row>
    <row r="19" spans="1:12" s="1" customFormat="1">
      <c r="A19" s="3" t="s">
        <v>624</v>
      </c>
      <c r="B19" s="192"/>
      <c r="C19" s="192"/>
      <c r="D19" s="193"/>
      <c r="E19" s="193"/>
      <c r="H19" s="3" t="s">
        <v>625</v>
      </c>
      <c r="I19" s="350" t="s">
        <v>626</v>
      </c>
      <c r="J19" s="350"/>
      <c r="K19" s="350" t="s">
        <v>627</v>
      </c>
      <c r="L19" s="350"/>
    </row>
    <row r="20" spans="1:12" s="1" customFormat="1">
      <c r="A20" s="3" t="s">
        <v>628</v>
      </c>
      <c r="B20" s="192"/>
      <c r="C20" s="192"/>
      <c r="D20" s="193"/>
      <c r="E20" s="193"/>
      <c r="H20" s="3" t="s">
        <v>629</v>
      </c>
      <c r="I20" s="192"/>
      <c r="J20" s="192"/>
      <c r="K20" s="192"/>
      <c r="L20" s="192"/>
    </row>
    <row r="21" spans="1:12" s="1" customFormat="1">
      <c r="A21" s="3" t="s">
        <v>630</v>
      </c>
      <c r="B21" s="192"/>
      <c r="C21" s="192"/>
      <c r="D21" s="193"/>
      <c r="E21" s="193"/>
      <c r="H21" s="3" t="s">
        <v>631</v>
      </c>
      <c r="I21" s="192"/>
      <c r="J21" s="192"/>
      <c r="K21" s="192"/>
      <c r="L21" s="192"/>
    </row>
    <row r="22" spans="1:12" s="1" customFormat="1">
      <c r="A22" s="3" t="s">
        <v>632</v>
      </c>
      <c r="B22" s="192"/>
      <c r="C22" s="192"/>
      <c r="D22" s="193"/>
      <c r="E22" s="193"/>
    </row>
    <row r="23" spans="1:12" s="1" customFormat="1">
      <c r="A23" s="3" t="s">
        <v>633</v>
      </c>
      <c r="B23" s="192"/>
      <c r="C23" s="192"/>
      <c r="D23" s="193"/>
      <c r="E23" s="193"/>
    </row>
    <row r="24" spans="1:12" s="1" customFormat="1">
      <c r="A24" s="3" t="s">
        <v>634</v>
      </c>
      <c r="B24" s="192"/>
      <c r="C24" s="192"/>
      <c r="D24" s="193"/>
      <c r="E24" s="193"/>
    </row>
    <row r="25" spans="1:12" s="1" customFormat="1">
      <c r="A25" s="3" t="s">
        <v>635</v>
      </c>
      <c r="B25" s="192"/>
      <c r="C25" s="192"/>
      <c r="D25" s="193"/>
      <c r="E25" s="193"/>
    </row>
    <row r="26" spans="1:12" s="1" customFormat="1">
      <c r="A26" s="3" t="s">
        <v>636</v>
      </c>
      <c r="B26" s="192"/>
      <c r="C26" s="192"/>
      <c r="D26" s="193"/>
      <c r="E26" s="193"/>
    </row>
    <row r="27" spans="1:12" s="1" customFormat="1">
      <c r="A27" s="3" t="s">
        <v>637</v>
      </c>
      <c r="B27" s="192"/>
      <c r="C27" s="192"/>
      <c r="D27" s="193"/>
      <c r="E27" s="193"/>
    </row>
    <row r="28" spans="1:12" s="1" customFormat="1">
      <c r="A28" s="3" t="s">
        <v>638</v>
      </c>
      <c r="B28" s="192"/>
      <c r="C28" s="192"/>
      <c r="D28" s="193"/>
      <c r="E28" s="193"/>
    </row>
    <row r="29" spans="1:12" s="1" customFormat="1">
      <c r="A29" s="3" t="s">
        <v>639</v>
      </c>
      <c r="B29" s="192"/>
      <c r="C29" s="192"/>
      <c r="D29" s="193"/>
      <c r="E29" s="193"/>
    </row>
    <row r="30" spans="1:12" s="1" customFormat="1">
      <c r="A30" s="168" t="s">
        <v>640</v>
      </c>
      <c r="B30" s="144"/>
      <c r="C30" s="144"/>
      <c r="D30" s="194"/>
      <c r="E30" s="194">
        <f>SUM(E18:E29)</f>
        <v>0</v>
      </c>
    </row>
    <row r="31" spans="1:12" s="1" customFormat="1">
      <c r="A31" s="168" t="s">
        <v>641</v>
      </c>
      <c r="B31" s="195"/>
      <c r="C31" s="195"/>
      <c r="D31" s="196"/>
      <c r="E31" s="196">
        <f>E16-E30</f>
        <v>0</v>
      </c>
    </row>
    <row r="32" spans="1:12" s="1" customFormat="1">
      <c r="A32" s="338" t="s">
        <v>642</v>
      </c>
      <c r="B32" s="338"/>
      <c r="C32" s="338"/>
      <c r="D32" s="338"/>
      <c r="E32" s="338"/>
    </row>
    <row r="33" spans="1:5" s="1" customFormat="1">
      <c r="A33" s="483" t="s">
        <v>643</v>
      </c>
      <c r="B33" s="483"/>
      <c r="C33" s="483" t="s">
        <v>644</v>
      </c>
      <c r="D33" s="483"/>
      <c r="E33" s="168" t="s">
        <v>588</v>
      </c>
    </row>
    <row r="34" spans="1:5" s="1" customFormat="1">
      <c r="A34" s="350" t="s">
        <v>645</v>
      </c>
      <c r="B34" s="350"/>
      <c r="C34" s="382"/>
      <c r="D34" s="382"/>
      <c r="E34" s="193"/>
    </row>
    <row r="35" spans="1:5" s="1" customFormat="1">
      <c r="A35" s="350" t="s">
        <v>646</v>
      </c>
      <c r="B35" s="350"/>
      <c r="C35" s="382"/>
      <c r="D35" s="382"/>
      <c r="E35" s="193"/>
    </row>
    <row r="36" spans="1:5" s="1" customFormat="1">
      <c r="A36" s="350" t="s">
        <v>647</v>
      </c>
      <c r="B36" s="350"/>
      <c r="C36" s="382"/>
      <c r="D36" s="382"/>
      <c r="E36" s="193"/>
    </row>
    <row r="37" spans="1:5" s="1" customFormat="1">
      <c r="A37" s="350" t="s">
        <v>648</v>
      </c>
      <c r="B37" s="350"/>
      <c r="C37" s="382"/>
      <c r="D37" s="382"/>
      <c r="E37" s="193"/>
    </row>
    <row r="38" spans="1:5" s="1" customFormat="1">
      <c r="A38" s="350" t="s">
        <v>185</v>
      </c>
      <c r="B38" s="350"/>
      <c r="C38" s="382"/>
      <c r="D38" s="382"/>
      <c r="E38" s="193"/>
    </row>
    <row r="39" spans="1:5" s="1" customFormat="1">
      <c r="A39" s="338" t="s">
        <v>649</v>
      </c>
      <c r="B39" s="338"/>
      <c r="C39" s="338"/>
      <c r="D39" s="338"/>
      <c r="E39" s="338"/>
    </row>
    <row r="40" spans="1:5" s="1" customFormat="1">
      <c r="A40" s="483" t="s">
        <v>650</v>
      </c>
      <c r="B40" s="483"/>
      <c r="C40" s="483" t="s">
        <v>644</v>
      </c>
      <c r="D40" s="483"/>
      <c r="E40" s="168" t="s">
        <v>588</v>
      </c>
    </row>
    <row r="41" spans="1:5" s="1" customFormat="1">
      <c r="A41" s="350"/>
      <c r="B41" s="350"/>
      <c r="C41" s="382"/>
      <c r="D41" s="382"/>
      <c r="E41" s="193"/>
    </row>
    <row r="42" spans="1:5" s="1" customFormat="1">
      <c r="A42" s="350"/>
      <c r="B42" s="350"/>
      <c r="C42" s="382"/>
      <c r="D42" s="382"/>
      <c r="E42" s="193"/>
    </row>
    <row r="43" spans="1:5" s="1" customFormat="1">
      <c r="A43" s="350"/>
      <c r="B43" s="350"/>
      <c r="C43" s="382"/>
      <c r="D43" s="382"/>
      <c r="E43" s="193"/>
    </row>
    <row r="44" spans="1:5" s="1" customFormat="1">
      <c r="A44" s="483" t="s">
        <v>651</v>
      </c>
      <c r="B44" s="483"/>
      <c r="C44" s="489">
        <f>SUM(E34:E38)+SUM(E41:E43)</f>
        <v>0</v>
      </c>
      <c r="D44" s="489"/>
      <c r="E44" s="489"/>
    </row>
    <row r="45" spans="1:5" s="1" customFormat="1">
      <c r="A45" s="483" t="s">
        <v>652</v>
      </c>
      <c r="B45" s="483"/>
      <c r="C45" s="490">
        <f>E31+C44</f>
        <v>0</v>
      </c>
      <c r="D45" s="490"/>
      <c r="E45" s="490"/>
    </row>
    <row r="46" spans="1:5" s="1" customFormat="1">
      <c r="A46" s="338" t="s">
        <v>653</v>
      </c>
      <c r="B46" s="338"/>
      <c r="C46" s="338" t="s">
        <v>93</v>
      </c>
      <c r="D46" s="338"/>
      <c r="E46" s="338"/>
    </row>
    <row r="47" spans="1:5" s="1" customFormat="1">
      <c r="A47" s="491" t="s">
        <v>654</v>
      </c>
      <c r="B47" s="491"/>
      <c r="C47" s="492"/>
      <c r="D47" s="492"/>
      <c r="E47" s="492"/>
    </row>
    <row r="48" spans="1:5" s="1" customFormat="1">
      <c r="A48" s="491" t="s">
        <v>655</v>
      </c>
      <c r="B48" s="491"/>
      <c r="C48" s="492"/>
      <c r="D48" s="492"/>
      <c r="E48" s="492"/>
    </row>
    <row r="49" spans="1:8" s="1" customFormat="1">
      <c r="A49" s="491" t="s">
        <v>656</v>
      </c>
      <c r="B49" s="491"/>
      <c r="C49" s="492"/>
      <c r="D49" s="492"/>
      <c r="E49" s="492"/>
    </row>
    <row r="50" spans="1:8" s="1" customFormat="1">
      <c r="A50" s="491" t="s">
        <v>657</v>
      </c>
      <c r="B50" s="491"/>
      <c r="C50" s="492"/>
      <c r="D50" s="492"/>
      <c r="E50" s="492"/>
    </row>
    <row r="51" spans="1:8" s="1" customFormat="1">
      <c r="A51" s="491" t="s">
        <v>658</v>
      </c>
      <c r="B51" s="491"/>
      <c r="C51" s="492"/>
      <c r="D51" s="492"/>
      <c r="E51" s="492"/>
    </row>
    <row r="52" spans="1:8" s="1" customFormat="1">
      <c r="A52" s="491" t="s">
        <v>659</v>
      </c>
      <c r="B52" s="491"/>
      <c r="C52" s="492"/>
      <c r="D52" s="492"/>
      <c r="E52" s="492"/>
    </row>
    <row r="53" spans="1:8" s="1" customFormat="1">
      <c r="A53" s="491" t="s">
        <v>660</v>
      </c>
      <c r="B53" s="491"/>
      <c r="C53" s="492"/>
      <c r="D53" s="492"/>
      <c r="E53" s="492"/>
    </row>
    <row r="54" spans="1:8" s="1" customFormat="1">
      <c r="A54" s="491" t="s">
        <v>661</v>
      </c>
      <c r="B54" s="491"/>
      <c r="C54" s="492"/>
      <c r="D54" s="492"/>
      <c r="E54" s="492"/>
    </row>
    <row r="55" spans="1:8" s="1" customFormat="1">
      <c r="A55" s="491" t="s">
        <v>662</v>
      </c>
      <c r="B55" s="491"/>
      <c r="C55" s="492"/>
      <c r="D55" s="492"/>
      <c r="E55" s="492"/>
    </row>
    <row r="56" spans="1:8" s="1" customFormat="1">
      <c r="A56" s="491" t="s">
        <v>663</v>
      </c>
      <c r="B56" s="491"/>
      <c r="C56" s="492"/>
      <c r="D56" s="492"/>
      <c r="E56" s="492"/>
    </row>
    <row r="57" spans="1:8" s="1" customFormat="1">
      <c r="A57" s="338" t="s">
        <v>664</v>
      </c>
      <c r="B57" s="338"/>
      <c r="C57" s="493">
        <f>SUM(C47:E56)</f>
        <v>0</v>
      </c>
      <c r="D57" s="493"/>
      <c r="E57" s="493"/>
    </row>
    <row r="58" spans="1:8" s="1" customFormat="1">
      <c r="A58" s="494" t="s">
        <v>665</v>
      </c>
      <c r="B58" s="494"/>
      <c r="C58" s="495">
        <f>C45-C57</f>
        <v>0</v>
      </c>
      <c r="D58" s="495"/>
      <c r="E58" s="495"/>
    </row>
    <row r="59" spans="1:8" s="1" customFormat="1"/>
    <row r="60" spans="1:8" s="1" customFormat="1"/>
    <row r="61" spans="1:8" s="1" customFormat="1">
      <c r="A61" s="496" t="s">
        <v>666</v>
      </c>
      <c r="B61" s="496"/>
      <c r="C61" s="497">
        <f>IFERROR(((C58+C55)*60%-C55)/PMT(BasicInput!$F$27/12,BasicInput!$E$27,-100000),0)*100000</f>
        <v>0</v>
      </c>
      <c r="D61" s="497"/>
      <c r="E61" s="497"/>
    </row>
    <row r="62" spans="1:8" s="1" customFormat="1">
      <c r="A62" s="496" t="s">
        <v>667</v>
      </c>
      <c r="B62" s="496"/>
      <c r="C62" s="497">
        <f>BasicInput!D27</f>
        <v>1500000</v>
      </c>
      <c r="D62" s="497"/>
      <c r="E62" s="497"/>
    </row>
    <row r="63" spans="1:8" s="1" customFormat="1">
      <c r="A63" s="496" t="s">
        <v>668</v>
      </c>
      <c r="B63" s="496"/>
      <c r="C63" s="497">
        <f>BasicInput!G27</f>
        <v>14976</v>
      </c>
      <c r="D63" s="497"/>
      <c r="E63" s="497"/>
    </row>
    <row r="64" spans="1:8" s="1" customFormat="1">
      <c r="A64" s="496" t="s">
        <v>669</v>
      </c>
      <c r="B64" s="496"/>
      <c r="C64" s="498">
        <f>IFERROR((C63+C55)/(C58+C55),0)</f>
        <v>0</v>
      </c>
      <c r="D64" s="498"/>
      <c r="E64" s="498"/>
      <c r="F64" s="499" t="str">
        <f>IF(C63&gt;C61,"Deviation approval required","")</f>
        <v>Deviation approval required</v>
      </c>
      <c r="G64" s="500"/>
      <c r="H64" s="500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</mergeCells>
  <dataValidations count="6">
    <dataValidation type="list" allowBlank="1" showInputMessage="1" showErrorMessage="1" sqref="B6" xr:uid="{00000000-0002-0000-0E00-000002000000}">
      <formula1>INDIRECT(B5,1)</formula1>
    </dataValidation>
    <dataValidation type="whole" allowBlank="1" showInputMessage="1" showErrorMessage="1" sqref="B7" xr:uid="{00000000-0002-0000-0E00-000003000000}">
      <formula1>YEAR(TODAY())-3</formula1>
      <formula2>YEAR(TODAY())</formula2>
    </dataValidation>
    <dataValidation type="list" allowBlank="1" showInputMessage="1" showErrorMessage="1" sqref="B8:E8" xr:uid="{00000000-0002-0000-0E00-000004000000}">
      <formula1>"Permanent Structure, Temporary structure, Asbestos sheet shaded structure, Open Area, Resi-cum-Office Setup  "</formula1>
    </dataValidation>
    <dataValidation type="list" allowBlank="1" showInputMessage="1" showErrorMessage="1" sqref="B9:E9" xr:uid="{00000000-0002-0000-0E00-000005000000}">
      <formula1>"Self-Owned, Shared, Rented, Family Owned            "</formula1>
    </dataValidation>
    <dataValidation type="list" allowBlank="1" showInputMessage="1" showErrorMessage="1" sqref="B10:E10" xr:uid="{00000000-0002-0000-0E00-000006000000}">
      <formula1>"Intensive, Moderate, Low, Not Observed"</formula1>
    </dataValidation>
    <dataValidation type="list" allowBlank="1" showInputMessage="1" showErrorMessage="1" sqref="B11:E11" xr:uid="{00000000-0002-0000-0E00-000007000000}">
      <formula1>"Seasonal, Non - Seasonal"</formula1>
    </dataValidation>
  </dataValidations>
  <pageMargins left="0.69930555555555596" right="0.69930555555555596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3" customWidth="1"/>
    <col min="2" max="2" width="22.5703125" style="174" customWidth="1"/>
    <col min="3" max="3" width="18" style="174" customWidth="1"/>
    <col min="4" max="4" width="15.28515625" style="174" customWidth="1"/>
    <col min="5" max="5" width="14.5703125" style="174" customWidth="1"/>
    <col min="6" max="6" width="21.85546875" style="174" customWidth="1"/>
    <col min="7" max="7" width="11.7109375" style="173" customWidth="1"/>
    <col min="8" max="8" width="12.85546875" style="174" customWidth="1"/>
    <col min="9" max="9" width="11.85546875" style="174" customWidth="1"/>
    <col min="10" max="10" width="18" style="174" customWidth="1"/>
    <col min="11" max="11" width="12.140625" style="174" customWidth="1"/>
    <col min="12" max="12" width="10.42578125" style="174" customWidth="1"/>
    <col min="13" max="13" width="14.5703125" style="174" customWidth="1"/>
    <col min="14" max="14" width="12.7109375" style="174" customWidth="1"/>
    <col min="15" max="15" width="14" style="174" customWidth="1"/>
    <col min="16" max="16" width="9.140625" style="174" customWidth="1"/>
    <col min="17" max="16384" width="9.140625" style="174" hidden="1"/>
  </cols>
  <sheetData>
    <row r="1" spans="1:15" ht="15">
      <c r="A1" s="501" t="s">
        <v>670</v>
      </c>
      <c r="B1" s="501"/>
      <c r="C1" s="501"/>
      <c r="D1" s="501"/>
      <c r="E1" s="501"/>
      <c r="F1" s="501"/>
      <c r="G1" s="501"/>
      <c r="H1" s="175" t="str">
        <f>CONCATENATE(Validation!$A$50,"_",BasicInput!$H$28,"_",BasicInput!$F$40)</f>
        <v>CA Assessment_HL_Self-occupation</v>
      </c>
    </row>
    <row r="2" spans="1:15">
      <c r="A2" s="176"/>
      <c r="B2" s="176"/>
      <c r="C2" s="176"/>
    </row>
    <row r="3" spans="1:15" ht="63.75">
      <c r="A3" s="10" t="s">
        <v>5</v>
      </c>
      <c r="B3" s="10" t="s">
        <v>671</v>
      </c>
      <c r="C3" s="10" t="s">
        <v>672</v>
      </c>
      <c r="D3" s="10" t="s">
        <v>673</v>
      </c>
      <c r="E3" s="10" t="s">
        <v>674</v>
      </c>
      <c r="F3" s="10" t="s">
        <v>675</v>
      </c>
      <c r="G3" s="10" t="s">
        <v>676</v>
      </c>
      <c r="H3" s="10" t="s">
        <v>677</v>
      </c>
      <c r="I3" s="10" t="s">
        <v>678</v>
      </c>
      <c r="J3" s="10" t="s">
        <v>679</v>
      </c>
      <c r="K3" s="10" t="s">
        <v>680</v>
      </c>
      <c r="L3" s="10" t="s">
        <v>681</v>
      </c>
      <c r="M3" s="10" t="s">
        <v>682</v>
      </c>
      <c r="N3" s="10" t="s">
        <v>683</v>
      </c>
      <c r="O3" s="10" t="s">
        <v>684</v>
      </c>
    </row>
    <row r="4" spans="1:15" ht="63.75">
      <c r="A4" s="7">
        <v>1</v>
      </c>
      <c r="B4" s="3" t="str">
        <f>IF(BasicInput!$C$1="Prime",IF(Prime1!$B$1="","",Prime1!$B$1),IF(Afford1!$B$1="","",Afford1!$B$1))</f>
        <v>SONA NAVANI</v>
      </c>
      <c r="C4" s="3" t="str">
        <f>IF(BasicInput!$C$1="Prime",IF(Prime1!$B$5="","",Prime1!$B$5),IF(Afford1!$B$5="","",Afford1!$B$5))</f>
        <v>Trading</v>
      </c>
      <c r="D4" s="3" t="str">
        <f>IF(BasicInput!$C$1="Prime",IF(Prime1!$B$6="","",Prime1!$B$6),IF(Afford1!$B$6="","",Afford1!$B$6))</f>
        <v>Others - Industries not classified elsewhere (Services)</v>
      </c>
      <c r="E4" s="188">
        <f>IF(BasicInput!$C$1="Prime",(Prime1!$C$27-Prime1!$C$25-Prime1!$C$24-Prime1!$C$18),(Afford1!$C$17))</f>
        <v>0</v>
      </c>
      <c r="F4" s="177">
        <f>IF(BasicInput!$C$1="Prime",(Prime1!$C$49-Prime1!$C$25-Prime1!$C$24-Prime1!$C$18-Prime1!$C$34),(Afford1!$C$35-Afford1!$C$18))</f>
        <v>0</v>
      </c>
      <c r="G4" s="177">
        <f>IF(BasicInput!$C$1="Prime",Prime1!$C$48,0)</f>
        <v>0</v>
      </c>
      <c r="H4" s="177">
        <f>IF(BasicInput!$C$1="Prime",Prime1!$C$46,0)</f>
        <v>0</v>
      </c>
      <c r="I4" s="177">
        <f>IF(BasicInput!$C$1="Prime",Prime1!$C$39,Afford1!$C$29)</f>
        <v>0</v>
      </c>
      <c r="J4" s="180">
        <f>SUM(F4:I4)</f>
        <v>0</v>
      </c>
      <c r="K4" s="181"/>
      <c r="L4" s="189">
        <f>IF(BasicInput!$C$1="Prime",IF(Prime1!$B$9="","",Prime1!$B$9),IF(Afford1!$B$9="","",Afford1!$B$9))</f>
        <v>1</v>
      </c>
      <c r="M4" s="190"/>
      <c r="N4" s="190"/>
      <c r="O4" s="180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 xml:space="preserve">NITIN </v>
      </c>
      <c r="C5" s="3" t="str">
        <f>IF(BasicInput!$C$1="Prime",IF(Prime2!$B$5="","",Prime2!$B$5),IF(Afford2!$B$5="","",Afford2!$B$5))</f>
        <v>Trading</v>
      </c>
      <c r="D5" s="3" t="str">
        <f>IF(BasicInput!$C$1="Prime",IF(Prime2!$B$6="","",Prime2!$B$6),IF(Afford2!$B$6="","",Afford2!$B$6))</f>
        <v>Others - Industries not classified elsewhere (Services)</v>
      </c>
      <c r="E5" s="188">
        <f>IF(BasicInput!$C$1="Prime",(Prime2!$C$27-Prime2!$C$25-Prime2!$C$24-Prime2!$C$18),(Afford2!$C$17))</f>
        <v>0</v>
      </c>
      <c r="F5" s="177">
        <f>IF(BasicInput!$C$1="Prime",(Prime2!$C$49-Prime2!$C$25-Prime2!$C$24-Prime2!$C$18-Prime2!$C$34),(Afford2!$C$35-Afford2!$C$18))</f>
        <v>0</v>
      </c>
      <c r="G5" s="177">
        <f>IF(BasicInput!$C$1="Prime",Prime2!$C$48,0)</f>
        <v>0</v>
      </c>
      <c r="H5" s="177">
        <f>IF(BasicInput!$C$1="Prime",Prime2!$C$46,0)</f>
        <v>0</v>
      </c>
      <c r="I5" s="177">
        <f>IF(BasicInput!$C$1="Prime",Prime2!$C$39,Afford2!$C$29)</f>
        <v>0</v>
      </c>
      <c r="J5" s="180">
        <f t="shared" ref="J5:J13" si="0">SUM(F5:I5)</f>
        <v>0</v>
      </c>
      <c r="K5" s="181"/>
      <c r="L5" s="189">
        <f>IF(BasicInput!$C$1="Prime",IF(Prime2!$B$9="","",Prime2!$B$9),IF(Afford2!$B$9="","",Afford2!$B$9))</f>
        <v>1</v>
      </c>
      <c r="M5" s="190"/>
      <c r="N5" s="190"/>
      <c r="O5" s="180">
        <f t="shared" ref="O5:O13" si="1">IF(K5="Yes",MIN(J5*L5*3.5,N5),0)</f>
        <v>0</v>
      </c>
    </row>
    <row r="6" spans="1:1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/>
      </c>
      <c r="D6" s="3" t="str">
        <f>IF(BasicInput!$C$1="Prime",IF(Prime3!$B$6="","",Prime3!$B$6),IF(Afford3!$B$6="","",Afford3!$B$6))</f>
        <v/>
      </c>
      <c r="E6" s="188">
        <f>IF(BasicInput!$C$1="Prime",(Prime3!$C$27-Prime3!$C$25-Prime3!$C$24-Prime3!$C$18),(Afford3!$C$17))</f>
        <v>0</v>
      </c>
      <c r="F6" s="177">
        <f>IF(BasicInput!$C$1="Prime",(Prime3!$C$49-Prime3!$C$25-Prime3!$C$24-Prime3!$C$18-Prime3!$C$34),(Afford3!$C$35-Afford3!$C$18))</f>
        <v>0</v>
      </c>
      <c r="G6" s="177">
        <f>IF(BasicInput!$C$1="Prime",Prime3!$C$48,0)</f>
        <v>0</v>
      </c>
      <c r="H6" s="177">
        <f>IF(BasicInput!$C$1="Prime",Prime3!$C$46,0)</f>
        <v>0</v>
      </c>
      <c r="I6" s="177">
        <f>IF(BasicInput!$C$1="Prime",Prime3!$C$39,Afford3!$C$29)</f>
        <v>0</v>
      </c>
      <c r="J6" s="180">
        <f t="shared" si="0"/>
        <v>0</v>
      </c>
      <c r="K6" s="181"/>
      <c r="L6" s="189" t="str">
        <f>IF(BasicInput!$C$1="Prime",IF(Prime3!$B$9="","",Prime3!$B$9),IF(Afford3!$B$9="","",Afford3!$B$9))</f>
        <v/>
      </c>
      <c r="M6" s="190"/>
      <c r="N6" s="190"/>
      <c r="O6" s="180">
        <f t="shared" si="1"/>
        <v>0</v>
      </c>
    </row>
    <row r="7" spans="1:1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/>
      </c>
      <c r="D7" s="3" t="str">
        <f>IF(BasicInput!$C$1="Prime",IF(Prime4!$B$6="","",Prime4!$B$6),IF(Afford4!$B$6="","",Afford4!$B$6))</f>
        <v/>
      </c>
      <c r="E7" s="188">
        <f>IF(BasicInput!$C$1="Prime",(Prime4!$C$27-Prime4!$C$25-Prime4!$C$24-Prime4!$C$18),(Afford4!$C$17))</f>
        <v>0</v>
      </c>
      <c r="F7" s="177">
        <f>IF(BasicInput!$C$1="Prime",(Prime4!$C$49-Prime4!$C$25-Prime4!$C$24-Prime4!$C$18-Prime4!$C$34),(Afford4!$C$35-Afford4!$C$18))</f>
        <v>0</v>
      </c>
      <c r="G7" s="177">
        <f>IF(BasicInput!$C$1="Prime",Prime4!$C$48,0)</f>
        <v>0</v>
      </c>
      <c r="H7" s="177">
        <f>IF(BasicInput!$C$1="Prime",Prime4!$C$46,0)</f>
        <v>0</v>
      </c>
      <c r="I7" s="177">
        <f>IF(BasicInput!$C$1="Prime",Prime4!$C$39,Afford4!$C$29)</f>
        <v>0</v>
      </c>
      <c r="J7" s="180">
        <f t="shared" si="0"/>
        <v>0</v>
      </c>
      <c r="K7" s="181"/>
      <c r="L7" s="189" t="str">
        <f>IF(BasicInput!$C$1="Prime",IF(Prime4!$B$9="","",Prime4!$B$9),IF(Afford4!$B$9="","",Afford4!$B$9))</f>
        <v/>
      </c>
      <c r="M7" s="190"/>
      <c r="N7" s="190"/>
      <c r="O7" s="180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88">
        <f>IF(BasicInput!$C$1="Prime",(Prime5!$C$27-Prime5!$C$25-Prime5!$C$24-Prime5!$C$18),(Afford5!$C$17))</f>
        <v>0</v>
      </c>
      <c r="F8" s="177">
        <f>IF(BasicInput!$C$1="Prime",(Prime5!$C$49-Prime5!$C$25-Prime5!$C$24-Prime5!$C$18-Prime5!$C$34),(Afford5!$C$35-Afford5!$C$18))</f>
        <v>0</v>
      </c>
      <c r="G8" s="177">
        <f>IF(BasicInput!$C$1="Prime",Prime5!$C$48,0)</f>
        <v>0</v>
      </c>
      <c r="H8" s="177">
        <f>IF(BasicInput!$C$1="Prime",Prime5!$C$46,0)</f>
        <v>0</v>
      </c>
      <c r="I8" s="177">
        <f>IF(BasicInput!$C$1="Prime",Prime5!$C$39,Afford5!$C$29)</f>
        <v>0</v>
      </c>
      <c r="J8" s="180">
        <f t="shared" si="0"/>
        <v>0</v>
      </c>
      <c r="K8" s="181"/>
      <c r="L8" s="189" t="str">
        <f>IF(BasicInput!$C$1="Prime",IF(Prime5!$B$9="","",Prime5!$B$9),IF(Afford5!$B$9="","",Afford5!$B$9))</f>
        <v/>
      </c>
      <c r="M8" s="190"/>
      <c r="N8" s="190"/>
      <c r="O8" s="180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88">
        <f>Prime6!$C$27-Prime6!$C$25-Prime6!$C$24-Prime6!$C$18</f>
        <v>0</v>
      </c>
      <c r="F9" s="177">
        <f>Prime6!$C$49-Prime6!$C$25-Prime6!$C$24-Prime6!$C$18-Prime6!$C$34</f>
        <v>0</v>
      </c>
      <c r="G9" s="177">
        <f>Prime6!$C$48</f>
        <v>0</v>
      </c>
      <c r="H9" s="177">
        <f>Prime6!$C$46</f>
        <v>0</v>
      </c>
      <c r="I9" s="177">
        <f>Prime6!$C$39</f>
        <v>0</v>
      </c>
      <c r="J9" s="180">
        <f t="shared" si="0"/>
        <v>0</v>
      </c>
      <c r="K9" s="181"/>
      <c r="L9" s="189" t="str">
        <f>IF(Prime6!$B$9="","",Prime6!$B$9)</f>
        <v/>
      </c>
      <c r="M9" s="190"/>
      <c r="N9" s="190"/>
      <c r="O9" s="180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88">
        <f>Prime7!$C$27-Prime7!$C$25-Prime7!$C$24-Prime7!$C$18</f>
        <v>0</v>
      </c>
      <c r="F10" s="177">
        <f>Prime7!$C$49-Prime7!$C$25-Prime7!$C$24-Prime7!$C$18-Prime7!$C$34</f>
        <v>0</v>
      </c>
      <c r="G10" s="177">
        <f>Prime7!$C$48</f>
        <v>0</v>
      </c>
      <c r="H10" s="177">
        <f>Prime7!$C$46</f>
        <v>0</v>
      </c>
      <c r="I10" s="177">
        <f>Prime7!$C$39</f>
        <v>0</v>
      </c>
      <c r="J10" s="180">
        <f t="shared" si="0"/>
        <v>0</v>
      </c>
      <c r="K10" s="181"/>
      <c r="L10" s="189" t="str">
        <f>IF(Prime7!$B$9="","",Prime7!$B$9)</f>
        <v/>
      </c>
      <c r="M10" s="190"/>
      <c r="N10" s="190"/>
      <c r="O10" s="180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88">
        <f>Prime8!$C$27-Prime8!$C$25-Prime8!$C$24-Prime8!$C$18</f>
        <v>0</v>
      </c>
      <c r="F11" s="177">
        <f>Prime8!$C$49-Prime8!$C$25-Prime8!$C$24-Prime8!$C$18-Prime8!$C$34</f>
        <v>0</v>
      </c>
      <c r="G11" s="177">
        <f>Prime8!$C$48</f>
        <v>0</v>
      </c>
      <c r="H11" s="177">
        <f>Prime8!$C$46</f>
        <v>0</v>
      </c>
      <c r="I11" s="177">
        <f>Prime8!$C$39</f>
        <v>0</v>
      </c>
      <c r="J11" s="180">
        <f t="shared" si="0"/>
        <v>0</v>
      </c>
      <c r="K11" s="181"/>
      <c r="L11" s="189" t="str">
        <f>IF(Prime8!$B$9="","",Prime8!$B$9)</f>
        <v/>
      </c>
      <c r="M11" s="190"/>
      <c r="N11" s="190"/>
      <c r="O11" s="180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88">
        <f>Prime9!$C$27-Prime9!$C$25-Prime9!$C$24-Prime9!$C$18</f>
        <v>0</v>
      </c>
      <c r="F12" s="177">
        <f>Prime9!$C$49-Prime9!$C$25-Prime9!$C$24-Prime9!$C$18-Prime9!$C$34</f>
        <v>0</v>
      </c>
      <c r="G12" s="177">
        <f>Prime9!$C$48</f>
        <v>0</v>
      </c>
      <c r="H12" s="177">
        <f>Prime9!$C$46</f>
        <v>0</v>
      </c>
      <c r="I12" s="177">
        <f>Prime9!$C$39</f>
        <v>0</v>
      </c>
      <c r="J12" s="180">
        <f t="shared" si="0"/>
        <v>0</v>
      </c>
      <c r="K12" s="181"/>
      <c r="L12" s="189" t="str">
        <f>IF(Prime9!$B$9="","",Prime9!$B$9)</f>
        <v/>
      </c>
      <c r="M12" s="190"/>
      <c r="N12" s="190"/>
      <c r="O12" s="180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88">
        <f>Prime10!$C$27-Prime10!$C$25-Prime10!$C$24-Prime10!$C$18</f>
        <v>0</v>
      </c>
      <c r="F13" s="177">
        <f>Prime10!$C$49-Prime10!$C$25-Prime10!$C$24-Prime10!$C$18-Prime10!$C$34</f>
        <v>0</v>
      </c>
      <c r="G13" s="177">
        <f>Prime10!$C$48</f>
        <v>0</v>
      </c>
      <c r="H13" s="177">
        <f>Prime10!$C$46</f>
        <v>0</v>
      </c>
      <c r="I13" s="177">
        <f>Prime10!$C$39</f>
        <v>0</v>
      </c>
      <c r="J13" s="180">
        <f t="shared" si="0"/>
        <v>0</v>
      </c>
      <c r="K13" s="181"/>
      <c r="L13" s="189" t="str">
        <f>IF(Prime10!$B$9="","",Prime10!$B$9)</f>
        <v/>
      </c>
      <c r="M13" s="190"/>
      <c r="N13" s="190"/>
      <c r="O13" s="180">
        <f t="shared" si="1"/>
        <v>0</v>
      </c>
    </row>
    <row r="14" spans="1:15">
      <c r="A14" s="502" t="s">
        <v>39</v>
      </c>
      <c r="B14" s="502"/>
      <c r="C14" s="502"/>
      <c r="D14" s="502"/>
      <c r="E14" s="179">
        <f>SUM(E4:E13)</f>
        <v>0</v>
      </c>
      <c r="F14" s="179">
        <f t="shared" ref="F14:J14" si="2">SUM(F4:F13)</f>
        <v>0</v>
      </c>
      <c r="G14" s="179">
        <f t="shared" si="2"/>
        <v>0</v>
      </c>
      <c r="H14" s="179">
        <f t="shared" si="2"/>
        <v>0</v>
      </c>
      <c r="I14" s="179">
        <f t="shared" si="2"/>
        <v>0</v>
      </c>
      <c r="J14" s="179">
        <f t="shared" si="2"/>
        <v>0</v>
      </c>
      <c r="K14" s="185"/>
      <c r="L14" s="191"/>
      <c r="M14" s="179">
        <f t="shared" ref="M14" si="3">SUM(M4:M13)</f>
        <v>0</v>
      </c>
      <c r="N14" s="179">
        <f t="shared" ref="N14:O14" si="4">SUM(N4:N13)</f>
        <v>0</v>
      </c>
      <c r="O14" s="179">
        <f t="shared" si="4"/>
        <v>0</v>
      </c>
    </row>
    <row r="15" spans="1:15">
      <c r="A15" s="118"/>
      <c r="B15" s="118"/>
      <c r="C15" s="118"/>
    </row>
    <row r="16" spans="1:15">
      <c r="A16" s="1"/>
      <c r="C16" s="5" t="s">
        <v>59</v>
      </c>
    </row>
    <row r="17" spans="1:3">
      <c r="A17" s="384" t="s">
        <v>60</v>
      </c>
      <c r="B17" s="386"/>
      <c r="C17" s="10"/>
    </row>
    <row r="18" spans="1:3">
      <c r="A18" s="503" t="s">
        <v>685</v>
      </c>
      <c r="B18" s="504"/>
      <c r="C18" s="141">
        <f>O14</f>
        <v>0</v>
      </c>
    </row>
    <row r="19" spans="1:3">
      <c r="A19" s="505" t="s">
        <v>121</v>
      </c>
      <c r="B19" s="506"/>
      <c r="C19" s="141">
        <f>C18/12</f>
        <v>0</v>
      </c>
    </row>
    <row r="20" spans="1:3">
      <c r="A20" s="505" t="s">
        <v>686</v>
      </c>
      <c r="B20" s="506"/>
      <c r="C20" s="142">
        <f>BasicInput!$D$27</f>
        <v>1500000</v>
      </c>
    </row>
    <row r="21" spans="1:3">
      <c r="A21" s="507" t="s">
        <v>687</v>
      </c>
      <c r="B21" s="508"/>
      <c r="C21" s="12">
        <f>'ExistingLoans&amp;Facilities&amp;RTR'!$N$103</f>
        <v>0</v>
      </c>
    </row>
    <row r="22" spans="1:3">
      <c r="A22" s="507" t="s">
        <v>688</v>
      </c>
      <c r="B22" s="508"/>
      <c r="C22" s="12">
        <f>BasicInput!$G$28</f>
        <v>14976</v>
      </c>
    </row>
    <row r="23" spans="1:3">
      <c r="A23" s="507" t="s">
        <v>689</v>
      </c>
      <c r="B23" s="508"/>
      <c r="C23" s="12">
        <f>SUMIF(BasicInput!$B$22:$B$26,Validation!$A$38,BasicInput!$G$22:$G$26)</f>
        <v>0</v>
      </c>
    </row>
    <row r="24" spans="1:3">
      <c r="A24" s="505" t="s">
        <v>690</v>
      </c>
      <c r="B24" s="506"/>
      <c r="C24" s="16">
        <f>IF(SUM(C21:C22)=0,0,IFERROR(SUM(C21:C22)/C19,100000%))</f>
        <v>1000</v>
      </c>
    </row>
    <row r="25" spans="1:3" ht="25.5" customHeight="1">
      <c r="A25" s="505" t="s">
        <v>691</v>
      </c>
      <c r="B25" s="506"/>
      <c r="C25" s="16">
        <f>IF(SUM(C21:C23)=0,0,IFERROR(SUM(C21:C23)/C19,100000%))</f>
        <v>1000</v>
      </c>
    </row>
    <row r="26" spans="1:3">
      <c r="A26" s="505" t="s">
        <v>692</v>
      </c>
      <c r="B26" s="506"/>
      <c r="C26" s="16">
        <f>IFERROR(SUMIF(BasicInput!$B$22:$B$26,Validation!$A$38,BasicInput!$G$22:$G$26)/C19,0)</f>
        <v>0</v>
      </c>
    </row>
    <row r="27" spans="1:3">
      <c r="A27" s="505" t="s">
        <v>693</v>
      </c>
      <c r="B27" s="506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05" t="s">
        <v>694</v>
      </c>
      <c r="B28" s="506"/>
      <c r="C28" s="16">
        <f>IFERROR((BasicInput!$D$28+$G$40)/$M$40,0)</f>
        <v>0</v>
      </c>
    </row>
    <row r="29" spans="1:3">
      <c r="A29" s="505" t="s">
        <v>695</v>
      </c>
      <c r="B29" s="506"/>
      <c r="C29" s="16">
        <f>IFERROR((BasicInput!$D$27+$G$40)/$M$40,0)</f>
        <v>0</v>
      </c>
    </row>
    <row r="30" spans="1:3">
      <c r="A30" s="505" t="s">
        <v>696</v>
      </c>
      <c r="B30" s="506"/>
      <c r="C30" s="16">
        <f>IFERROR(SUMIF(BasicInput!$B$22:$B$26,Validation!$A$38,BasicInput!$D$22:$D$26)/$M$40,0)</f>
        <v>0</v>
      </c>
    </row>
    <row r="31" spans="1:3">
      <c r="A31" s="505" t="s">
        <v>697</v>
      </c>
      <c r="B31" s="506"/>
      <c r="C31" s="13">
        <f>MAX($O$40,0)</f>
        <v>0</v>
      </c>
    </row>
    <row r="32" spans="1:3">
      <c r="A32" s="509" t="s">
        <v>698</v>
      </c>
      <c r="B32" s="510"/>
      <c r="C32" s="18">
        <f>MIN(C20,C27,C31)</f>
        <v>0</v>
      </c>
    </row>
    <row r="33" spans="1:16"/>
    <row r="34" spans="1:16" ht="51">
      <c r="A34" s="10" t="s">
        <v>42</v>
      </c>
      <c r="B34" s="10" t="s">
        <v>43</v>
      </c>
      <c r="C34" s="10" t="s">
        <v>44</v>
      </c>
      <c r="D34" s="10" t="s">
        <v>45</v>
      </c>
      <c r="E34" s="10" t="s">
        <v>46</v>
      </c>
      <c r="F34" s="10" t="s">
        <v>47</v>
      </c>
      <c r="G34" s="10" t="s">
        <v>48</v>
      </c>
      <c r="H34" s="10" t="s">
        <v>49</v>
      </c>
      <c r="I34" s="10" t="s">
        <v>50</v>
      </c>
      <c r="J34" s="10" t="s">
        <v>51</v>
      </c>
      <c r="K34" s="10" t="s">
        <v>52</v>
      </c>
      <c r="L34" s="10" t="s">
        <v>53</v>
      </c>
      <c r="M34" s="10" t="s">
        <v>54</v>
      </c>
      <c r="N34" s="10" t="s">
        <v>699</v>
      </c>
      <c r="O34" s="10" t="s">
        <v>700</v>
      </c>
    </row>
    <row r="35" spans="1:16">
      <c r="A35" s="3" t="str">
        <f>IF(BasicInput!$B$34="","",BasicInput!$B$34)</f>
        <v>B-54,KEDAR NAGAR, Shahganj,Agra,KEDAR NAGAR,Agra,Agra,Uttar Pradesh,282010</v>
      </c>
      <c r="B35" s="3" t="str">
        <f>IF(BasicInput!$C$34="","",BasicInput!$C$34)</f>
        <v>Residential House</v>
      </c>
      <c r="C35" s="3" t="str">
        <f>IF(BasicInput!$D$34="","",BasicInput!$D$34)</f>
        <v>SONA NAVANI</v>
      </c>
      <c r="D35" s="3">
        <f>IF(BasicInput!$E$34="","",BasicInput!$E$34)</f>
        <v>360</v>
      </c>
      <c r="E35" s="3" t="str">
        <f>IF(BasicInput!$F$34="","",BasicInput!$F$34)</f>
        <v>Self-occupation</v>
      </c>
      <c r="F35" s="7" t="str">
        <f>IF(BasicInput!$G$34="","",BasicInput!$G$34)</f>
        <v>N</v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1900000</v>
      </c>
      <c r="K35" s="11">
        <f>IF(BasicInput!$L$34="","",BasicInput!$L$34)</f>
        <v>1</v>
      </c>
      <c r="L35" s="11" t="e">
        <f>IF(BasicInput!$M$34="","",BasicInput!$M$34)</f>
        <v>#DIV/0!</v>
      </c>
      <c r="M35" s="12">
        <f>IF(BasicInput!$N$34="",0,BasicInput!$N$34)</f>
        <v>0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0.8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7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0.9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7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7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7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7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05" t="s">
        <v>39</v>
      </c>
      <c r="B40" s="511"/>
      <c r="C40" s="511"/>
      <c r="D40" s="511"/>
      <c r="E40" s="511"/>
      <c r="F40" s="511"/>
      <c r="G40" s="13">
        <f>SUM(G35:G39)</f>
        <v>0</v>
      </c>
      <c r="H40" s="505"/>
      <c r="I40" s="511"/>
      <c r="J40" s="511"/>
      <c r="K40" s="511"/>
      <c r="L40" s="506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30:B30"/>
    <mergeCell ref="A31:B31"/>
    <mergeCell ref="A32:B32"/>
    <mergeCell ref="A40:F40"/>
    <mergeCell ref="H40:L40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:G1"/>
    <mergeCell ref="A14:D14"/>
    <mergeCell ref="A17:B17"/>
    <mergeCell ref="A18:B18"/>
    <mergeCell ref="A19:B19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69930555555555596" right="0.69930555555555596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3" customWidth="1"/>
    <col min="2" max="2" width="32.28515625" style="174" customWidth="1"/>
    <col min="3" max="3" width="18" style="174" customWidth="1"/>
    <col min="4" max="4" width="15.28515625" style="174" customWidth="1"/>
    <col min="5" max="5" width="14.5703125" style="174" customWidth="1"/>
    <col min="6" max="6" width="21.85546875" style="174" customWidth="1"/>
    <col min="7" max="7" width="11.7109375" style="173" customWidth="1"/>
    <col min="8" max="8" width="12.85546875" style="174" customWidth="1"/>
    <col min="9" max="9" width="11.85546875" style="174" customWidth="1"/>
    <col min="10" max="10" width="18" style="174" customWidth="1"/>
    <col min="11" max="11" width="12.140625" style="174" customWidth="1"/>
    <col min="12" max="12" width="9.140625" style="174" customWidth="1"/>
    <col min="13" max="13" width="13.42578125" style="174" customWidth="1"/>
    <col min="14" max="14" width="12.28515625" style="174" customWidth="1"/>
    <col min="15" max="15" width="11.7109375" style="174" customWidth="1"/>
    <col min="16" max="16" width="9.140625" style="174" customWidth="1"/>
    <col min="17" max="16384" width="9.140625" style="174" hidden="1"/>
  </cols>
  <sheetData>
    <row r="1" spans="1:15" ht="15">
      <c r="A1" s="501" t="s">
        <v>701</v>
      </c>
      <c r="B1" s="501"/>
      <c r="C1" s="501"/>
      <c r="D1" s="501"/>
      <c r="E1" s="501"/>
      <c r="F1" s="501"/>
      <c r="G1" s="501"/>
      <c r="H1" s="175" t="str">
        <f>CONCATENATE(Validation!$A$46,"_",BasicInput!$H$28,"_",BasicInput!$F$40)</f>
        <v>Average Banking Program_HL_Self-occupation</v>
      </c>
    </row>
    <row r="2" spans="1:15">
      <c r="A2" s="176"/>
      <c r="B2" s="176"/>
      <c r="C2" s="176"/>
    </row>
    <row r="3" spans="1:15" ht="38.25">
      <c r="A3" s="10" t="s">
        <v>5</v>
      </c>
      <c r="B3" s="10" t="s">
        <v>502</v>
      </c>
      <c r="C3" s="10" t="s">
        <v>527</v>
      </c>
      <c r="D3" s="10" t="s">
        <v>702</v>
      </c>
      <c r="E3" s="10" t="s">
        <v>530</v>
      </c>
      <c r="F3" s="10" t="s">
        <v>531</v>
      </c>
      <c r="G3" s="10" t="s">
        <v>544</v>
      </c>
      <c r="H3" s="10" t="s">
        <v>545</v>
      </c>
      <c r="I3" s="10" t="s">
        <v>703</v>
      </c>
      <c r="J3" s="10" t="s">
        <v>514</v>
      </c>
      <c r="K3" s="10" t="s">
        <v>704</v>
      </c>
      <c r="L3" s="10" t="s">
        <v>516</v>
      </c>
      <c r="M3" s="10" t="s">
        <v>517</v>
      </c>
      <c r="N3" s="10" t="s">
        <v>705</v>
      </c>
      <c r="O3" s="10" t="s">
        <v>526</v>
      </c>
    </row>
    <row r="4" spans="1:15">
      <c r="A4" s="7">
        <v>1</v>
      </c>
      <c r="B4" s="3" t="str">
        <f>IF('Banking - Non PDF'!$C$22="","",'Banking - Non PDF'!$C$22)</f>
        <v>SONA NAVANI</v>
      </c>
      <c r="C4" s="3" t="str">
        <f>IF('Banking - Non PDF'!$C$23="","",'Banking - Non PDF'!$C$23)</f>
        <v>PNB BANK</v>
      </c>
      <c r="D4" s="3" t="str">
        <f>IF('Banking - Non PDF'!$C$24="","",'Banking - Non PDF'!$C$24)</f>
        <v>Savings</v>
      </c>
      <c r="E4" s="7" t="str">
        <f>IF('Banking - Non PDF'!$F$24="","",'Banking - Non PDF'!$F$24)</f>
        <v>0328010189576</v>
      </c>
      <c r="F4" s="7" t="str">
        <f>IF('Banking - Non PDF'!$K$24="","",'Banking - Non PDF'!$K$24)</f>
        <v/>
      </c>
      <c r="G4" s="177">
        <f>'Banking - Non PDF'!$U$39</f>
        <v>235848</v>
      </c>
      <c r="H4" s="177">
        <f>'Banking - Non PDF'!$V$39</f>
        <v>235791.02000000002</v>
      </c>
      <c r="I4" s="177">
        <f>'Banking - Non PDF'!$G$40</f>
        <v>5949.6066666666693</v>
      </c>
      <c r="J4" s="180">
        <f>'Banking - Non PDF'!$Q$39</f>
        <v>0</v>
      </c>
      <c r="K4" s="181"/>
      <c r="L4" s="182">
        <f>'Banking - Non PDF'!$S$39</f>
        <v>0</v>
      </c>
      <c r="M4" s="182">
        <f>'Banking - Non PDF'!$T$39</f>
        <v>0</v>
      </c>
      <c r="N4" s="183">
        <f>SUM(L4:M4)</f>
        <v>0</v>
      </c>
      <c r="O4" s="184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7">
        <f>'Banking - Non PDF'!$U$62</f>
        <v>0</v>
      </c>
      <c r="H5" s="177">
        <f>'Banking - Non PDF'!$V$62</f>
        <v>0</v>
      </c>
      <c r="I5" s="177">
        <f>'Banking - Non PDF'!$G$63</f>
        <v>0</v>
      </c>
      <c r="J5" s="180">
        <f>'Banking - Non PDF'!$Q$62</f>
        <v>0</v>
      </c>
      <c r="K5" s="181"/>
      <c r="L5" s="182">
        <f>'Banking - Non PDF'!$S$62</f>
        <v>0</v>
      </c>
      <c r="M5" s="182">
        <f>'Banking - Non PDF'!$T$62</f>
        <v>0</v>
      </c>
      <c r="N5" s="183">
        <f t="shared" ref="N5:N23" si="0">SUM(L5:M5)</f>
        <v>0</v>
      </c>
      <c r="O5" s="184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7">
        <f>'Banking - Non PDF'!$U$85</f>
        <v>0</v>
      </c>
      <c r="H6" s="177">
        <f>'Banking - Non PDF'!$V$85</f>
        <v>0</v>
      </c>
      <c r="I6" s="177">
        <f>'Banking - Non PDF'!$G$86</f>
        <v>0</v>
      </c>
      <c r="J6" s="180">
        <f>'Banking - Non PDF'!$Q$85</f>
        <v>0</v>
      </c>
      <c r="K6" s="181"/>
      <c r="L6" s="182">
        <f>'Banking - Non PDF'!$S$85</f>
        <v>0</v>
      </c>
      <c r="M6" s="182">
        <f>'Banking - Non PDF'!$T$85</f>
        <v>0</v>
      </c>
      <c r="N6" s="183">
        <f t="shared" si="0"/>
        <v>0</v>
      </c>
      <c r="O6" s="184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7">
        <f>'Banking - Non PDF'!$U$108</f>
        <v>0</v>
      </c>
      <c r="H7" s="177">
        <f>'Banking - Non PDF'!$V$108</f>
        <v>0</v>
      </c>
      <c r="I7" s="177">
        <f>'Banking - Non PDF'!$G$109</f>
        <v>0</v>
      </c>
      <c r="J7" s="180">
        <f>'Banking - Non PDF'!$Q$108</f>
        <v>0</v>
      </c>
      <c r="K7" s="181"/>
      <c r="L7" s="182">
        <f>'Banking - Non PDF'!$S$108</f>
        <v>0</v>
      </c>
      <c r="M7" s="182">
        <f>'Banking - Non PDF'!$T$108</f>
        <v>0</v>
      </c>
      <c r="N7" s="183">
        <f t="shared" si="0"/>
        <v>0</v>
      </c>
      <c r="O7" s="184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7">
        <f>'Banking - Non PDF'!$U$131</f>
        <v>0</v>
      </c>
      <c r="H8" s="177">
        <f>'Banking - Non PDF'!$V$131</f>
        <v>0</v>
      </c>
      <c r="I8" s="177">
        <f>'Banking - Non PDF'!$G$132</f>
        <v>0</v>
      </c>
      <c r="J8" s="180">
        <f>'Banking - Non PDF'!$Q$131</f>
        <v>0</v>
      </c>
      <c r="K8" s="181"/>
      <c r="L8" s="182">
        <f>'Banking - Non PDF'!$S$131</f>
        <v>0</v>
      </c>
      <c r="M8" s="182">
        <f>'Banking - Non PDF'!$T$131</f>
        <v>0</v>
      </c>
      <c r="N8" s="183">
        <f t="shared" si="0"/>
        <v>0</v>
      </c>
      <c r="O8" s="184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7">
        <f>'Banking - Non PDF'!$U$154</f>
        <v>0</v>
      </c>
      <c r="H9" s="177">
        <f>'Banking - Non PDF'!$V$154</f>
        <v>0</v>
      </c>
      <c r="I9" s="177">
        <f>'Banking - Non PDF'!$G$155</f>
        <v>0</v>
      </c>
      <c r="J9" s="180">
        <f>'Banking - Non PDF'!$Q$154</f>
        <v>0</v>
      </c>
      <c r="K9" s="181"/>
      <c r="L9" s="182">
        <f>'Banking - Non PDF'!$S$154</f>
        <v>0</v>
      </c>
      <c r="M9" s="182">
        <f>'Banking - Non PDF'!$T$154</f>
        <v>0</v>
      </c>
      <c r="N9" s="183">
        <f t="shared" si="0"/>
        <v>0</v>
      </c>
      <c r="O9" s="184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7">
        <f>'Banking - Non PDF'!$U$177</f>
        <v>0</v>
      </c>
      <c r="H10" s="177">
        <f>'Banking - Non PDF'!$V$177</f>
        <v>0</v>
      </c>
      <c r="I10" s="177">
        <f>'Banking - Non PDF'!$G$178</f>
        <v>0</v>
      </c>
      <c r="J10" s="180">
        <f>'Banking - Non PDF'!$Q$177</f>
        <v>0</v>
      </c>
      <c r="K10" s="181"/>
      <c r="L10" s="182">
        <f>'Banking - Non PDF'!$S$177</f>
        <v>0</v>
      </c>
      <c r="M10" s="182">
        <f>'Banking - Non PDF'!$T$177</f>
        <v>0</v>
      </c>
      <c r="N10" s="183">
        <f t="shared" si="0"/>
        <v>0</v>
      </c>
      <c r="O10" s="184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7">
        <f>'Banking - Non PDF'!$U$200</f>
        <v>0</v>
      </c>
      <c r="H11" s="177">
        <f>'Banking - Non PDF'!$V$200</f>
        <v>0</v>
      </c>
      <c r="I11" s="177">
        <f>'Banking - Non PDF'!$G$201</f>
        <v>0</v>
      </c>
      <c r="J11" s="180">
        <f>'Banking - Non PDF'!$Q$200</f>
        <v>0</v>
      </c>
      <c r="K11" s="181"/>
      <c r="L11" s="182">
        <f>'Banking - Non PDF'!$S$200</f>
        <v>0</v>
      </c>
      <c r="M11" s="182">
        <f>'Banking - Non PDF'!$T$200</f>
        <v>0</v>
      </c>
      <c r="N11" s="183">
        <f t="shared" si="0"/>
        <v>0</v>
      </c>
      <c r="O11" s="184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7">
        <f>'Banking - Non PDF'!$U$223</f>
        <v>0</v>
      </c>
      <c r="H12" s="177">
        <f>'Banking - Non PDF'!$V$223</f>
        <v>0</v>
      </c>
      <c r="I12" s="177">
        <f>'Banking - Non PDF'!$G$224</f>
        <v>0</v>
      </c>
      <c r="J12" s="180">
        <f>'Banking - Non PDF'!$Q$223</f>
        <v>0</v>
      </c>
      <c r="K12" s="181"/>
      <c r="L12" s="182">
        <f>'Banking - Non PDF'!$S$223</f>
        <v>0</v>
      </c>
      <c r="M12" s="182">
        <f>'Banking - Non PDF'!$T$223</f>
        <v>0</v>
      </c>
      <c r="N12" s="183">
        <f t="shared" si="0"/>
        <v>0</v>
      </c>
      <c r="O12" s="184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7">
        <f>'Banking - Non PDF'!$U$246</f>
        <v>0</v>
      </c>
      <c r="H13" s="177">
        <f>'Banking - Non PDF'!$V$246</f>
        <v>0</v>
      </c>
      <c r="I13" s="177">
        <f>'Banking - Non PDF'!$G$247</f>
        <v>0</v>
      </c>
      <c r="J13" s="180">
        <f>'Banking - Non PDF'!$Q$246</f>
        <v>0</v>
      </c>
      <c r="K13" s="181"/>
      <c r="L13" s="182">
        <f>'Banking - Non PDF'!$S$246</f>
        <v>0</v>
      </c>
      <c r="M13" s="182">
        <f>'Banking - Non PDF'!$T$246</f>
        <v>0</v>
      </c>
      <c r="N13" s="183">
        <f t="shared" si="0"/>
        <v>0</v>
      </c>
      <c r="O13" s="184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7">
        <f>'Banking - Non PDF'!$U$269</f>
        <v>0</v>
      </c>
      <c r="H14" s="177">
        <f>'Banking - Non PDF'!$V$269</f>
        <v>0</v>
      </c>
      <c r="I14" s="177">
        <f>'Banking - Non PDF'!$G$270</f>
        <v>0</v>
      </c>
      <c r="J14" s="180">
        <f>'Banking - Non PDF'!$Q$269</f>
        <v>0</v>
      </c>
      <c r="K14" s="181"/>
      <c r="L14" s="182">
        <f>'Banking - Non PDF'!$S$269</f>
        <v>0</v>
      </c>
      <c r="M14" s="182">
        <f>'Banking - Non PDF'!$T$269</f>
        <v>0</v>
      </c>
      <c r="N14" s="183">
        <f t="shared" si="0"/>
        <v>0</v>
      </c>
      <c r="O14" s="184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7">
        <f>'Banking - Non PDF'!$U$292</f>
        <v>0</v>
      </c>
      <c r="H15" s="177">
        <f>'Banking - Non PDF'!$V$292</f>
        <v>0</v>
      </c>
      <c r="I15" s="177">
        <f>'Banking - Non PDF'!$G$293</f>
        <v>0</v>
      </c>
      <c r="J15" s="180">
        <f>'Banking - Non PDF'!$Q$292</f>
        <v>0</v>
      </c>
      <c r="K15" s="181"/>
      <c r="L15" s="182">
        <f>'Banking - Non PDF'!$S$292</f>
        <v>0</v>
      </c>
      <c r="M15" s="182">
        <f>'Banking - Non PDF'!$T$292</f>
        <v>0</v>
      </c>
      <c r="N15" s="183">
        <f t="shared" si="0"/>
        <v>0</v>
      </c>
      <c r="O15" s="184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7">
        <f>'Banking - Non PDF'!$U$315</f>
        <v>0</v>
      </c>
      <c r="H16" s="177">
        <f>'Banking - Non PDF'!$V$315</f>
        <v>0</v>
      </c>
      <c r="I16" s="177">
        <f>'Banking - Non PDF'!$G$316</f>
        <v>0</v>
      </c>
      <c r="J16" s="180">
        <f>'Banking - Non PDF'!$Q$315</f>
        <v>0</v>
      </c>
      <c r="K16" s="181"/>
      <c r="L16" s="182">
        <f>'Banking - Non PDF'!$S$315</f>
        <v>0</v>
      </c>
      <c r="M16" s="182">
        <f>'Banking - Non PDF'!$T$315</f>
        <v>0</v>
      </c>
      <c r="N16" s="183">
        <f t="shared" si="0"/>
        <v>0</v>
      </c>
      <c r="O16" s="184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7">
        <f>'Banking - Non PDF'!$U$338</f>
        <v>0</v>
      </c>
      <c r="H17" s="177">
        <f>'Banking - Non PDF'!$V$338</f>
        <v>0</v>
      </c>
      <c r="I17" s="177">
        <f>'Banking - Non PDF'!$G$339</f>
        <v>0</v>
      </c>
      <c r="J17" s="180">
        <f>'Banking - Non PDF'!$Q$338</f>
        <v>0</v>
      </c>
      <c r="K17" s="181"/>
      <c r="L17" s="182">
        <f>'Banking - Non PDF'!$S$338</f>
        <v>0</v>
      </c>
      <c r="M17" s="182">
        <f>'Banking - Non PDF'!$T$338</f>
        <v>0</v>
      </c>
      <c r="N17" s="183">
        <f t="shared" si="0"/>
        <v>0</v>
      </c>
      <c r="O17" s="184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7">
        <f>'Banking - Non PDF'!$U$361</f>
        <v>0</v>
      </c>
      <c r="H18" s="177">
        <f>'Banking - Non PDF'!$V$361</f>
        <v>0</v>
      </c>
      <c r="I18" s="177">
        <f>'Banking - Non PDF'!$G$362</f>
        <v>0</v>
      </c>
      <c r="J18" s="180">
        <f>'Banking - Non PDF'!$Q$361</f>
        <v>0</v>
      </c>
      <c r="K18" s="181"/>
      <c r="L18" s="182">
        <f>'Banking - Non PDF'!$S$361</f>
        <v>0</v>
      </c>
      <c r="M18" s="182">
        <f>'Banking - Non PDF'!$T$361</f>
        <v>0</v>
      </c>
      <c r="N18" s="183">
        <f t="shared" si="0"/>
        <v>0</v>
      </c>
      <c r="O18" s="184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7">
        <f>'Banking - Non PDF'!$U$384</f>
        <v>0</v>
      </c>
      <c r="H19" s="177">
        <f>'Banking - Non PDF'!$V$384</f>
        <v>0</v>
      </c>
      <c r="I19" s="177">
        <f>'Banking - Non PDF'!$G$385</f>
        <v>0</v>
      </c>
      <c r="J19" s="180">
        <f>'Banking - Non PDF'!$Q$384</f>
        <v>0</v>
      </c>
      <c r="K19" s="181"/>
      <c r="L19" s="182">
        <f>'Banking - Non PDF'!$S$384</f>
        <v>0</v>
      </c>
      <c r="M19" s="182">
        <f>'Banking - Non PDF'!$T$384</f>
        <v>0</v>
      </c>
      <c r="N19" s="183">
        <f t="shared" si="0"/>
        <v>0</v>
      </c>
      <c r="O19" s="184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7">
        <f>'Banking - Non PDF'!$U$407</f>
        <v>0</v>
      </c>
      <c r="H20" s="177">
        <f>'Banking - Non PDF'!$V$407</f>
        <v>0</v>
      </c>
      <c r="I20" s="177">
        <f>'Banking - Non PDF'!$G$408</f>
        <v>0</v>
      </c>
      <c r="J20" s="180">
        <f>'Banking - Non PDF'!$Q$407</f>
        <v>0</v>
      </c>
      <c r="K20" s="181"/>
      <c r="L20" s="182">
        <f>'Banking - Non PDF'!$S$407</f>
        <v>0</v>
      </c>
      <c r="M20" s="182">
        <f>'Banking - Non PDF'!$T$407</f>
        <v>0</v>
      </c>
      <c r="N20" s="183">
        <f t="shared" si="0"/>
        <v>0</v>
      </c>
      <c r="O20" s="184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7">
        <f>'Banking - Non PDF'!$U$430</f>
        <v>0</v>
      </c>
      <c r="H21" s="177">
        <f>'Banking - Non PDF'!$V$430</f>
        <v>0</v>
      </c>
      <c r="I21" s="177">
        <f>'Banking - Non PDF'!$G$431</f>
        <v>0</v>
      </c>
      <c r="J21" s="180">
        <f>'Banking - Non PDF'!$Q$430</f>
        <v>0</v>
      </c>
      <c r="K21" s="181"/>
      <c r="L21" s="182">
        <f>'Banking - Non PDF'!$S$430</f>
        <v>0</v>
      </c>
      <c r="M21" s="182">
        <f>'Banking - Non PDF'!$T$430</f>
        <v>0</v>
      </c>
      <c r="N21" s="183">
        <f t="shared" si="0"/>
        <v>0</v>
      </c>
      <c r="O21" s="184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7">
        <f>'Banking - Non PDF'!$U$453</f>
        <v>0</v>
      </c>
      <c r="H22" s="177">
        <f>'Banking - Non PDF'!$V$453</f>
        <v>0</v>
      </c>
      <c r="I22" s="177">
        <f>'Banking - Non PDF'!$G$454</f>
        <v>0</v>
      </c>
      <c r="J22" s="180">
        <f>'Banking - Non PDF'!$Q$453</f>
        <v>0</v>
      </c>
      <c r="K22" s="181"/>
      <c r="L22" s="182">
        <f>'Banking - Non PDF'!$S$453</f>
        <v>0</v>
      </c>
      <c r="M22" s="182">
        <f>'Banking - Non PDF'!$T$453</f>
        <v>0</v>
      </c>
      <c r="N22" s="183">
        <f t="shared" si="0"/>
        <v>0</v>
      </c>
      <c r="O22" s="184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7">
        <f>'Banking - Non PDF'!$U$476</f>
        <v>0</v>
      </c>
      <c r="H23" s="177">
        <f>'Banking - Non PDF'!$V$476</f>
        <v>0</v>
      </c>
      <c r="I23" s="177">
        <f>'Banking - Non PDF'!$G$477</f>
        <v>0</v>
      </c>
      <c r="J23" s="180">
        <f>'Banking - Non PDF'!$Q$476</f>
        <v>0</v>
      </c>
      <c r="K23" s="181"/>
      <c r="L23" s="182">
        <f>'Banking - Non PDF'!$S$476</f>
        <v>0</v>
      </c>
      <c r="M23" s="182">
        <f>'Banking - Non PDF'!$T$476</f>
        <v>0</v>
      </c>
      <c r="N23" s="183">
        <f t="shared" si="0"/>
        <v>0</v>
      </c>
      <c r="O23" s="184">
        <f t="shared" si="1"/>
        <v>0</v>
      </c>
    </row>
    <row r="24" spans="1:15">
      <c r="A24" s="502" t="s">
        <v>39</v>
      </c>
      <c r="B24" s="502"/>
      <c r="C24" s="502"/>
      <c r="D24" s="502"/>
      <c r="E24" s="178"/>
      <c r="F24" s="178"/>
      <c r="G24" s="179">
        <f t="shared" ref="G24:J24" si="2">SUM(G4:G23)</f>
        <v>235848</v>
      </c>
      <c r="H24" s="179">
        <f t="shared" si="2"/>
        <v>235791.02000000002</v>
      </c>
      <c r="I24" s="179">
        <f t="shared" si="2"/>
        <v>5949.6066666666693</v>
      </c>
      <c r="J24" s="179">
        <f t="shared" si="2"/>
        <v>0</v>
      </c>
      <c r="K24" s="185"/>
      <c r="L24" s="179">
        <f t="shared" ref="L24:N24" si="3">SUM(L4:L23)</f>
        <v>0</v>
      </c>
      <c r="M24" s="179">
        <f t="shared" si="3"/>
        <v>0</v>
      </c>
      <c r="N24" s="179">
        <f t="shared" si="3"/>
        <v>0</v>
      </c>
      <c r="O24" s="186">
        <f t="shared" si="1"/>
        <v>0</v>
      </c>
    </row>
    <row r="25" spans="1:15">
      <c r="A25" s="118"/>
      <c r="B25" s="118"/>
      <c r="C25" s="118"/>
    </row>
    <row r="26" spans="1:15">
      <c r="A26" s="1"/>
      <c r="C26" s="5" t="s">
        <v>59</v>
      </c>
    </row>
    <row r="27" spans="1:15">
      <c r="A27" s="384" t="s">
        <v>60</v>
      </c>
      <c r="B27" s="386"/>
      <c r="C27" s="10"/>
    </row>
    <row r="28" spans="1:15">
      <c r="A28" s="505" t="s">
        <v>706</v>
      </c>
      <c r="B28" s="506"/>
      <c r="C28" s="141">
        <f>SUMIF($K$4:$K$23,"Yes",$I$4:$I$23)*50%</f>
        <v>0</v>
      </c>
    </row>
    <row r="29" spans="1:15">
      <c r="A29" s="505" t="s">
        <v>686</v>
      </c>
      <c r="B29" s="506"/>
      <c r="C29" s="142">
        <f>BasicInput!$D$27</f>
        <v>1500000</v>
      </c>
    </row>
    <row r="30" spans="1:15">
      <c r="A30" s="507" t="s">
        <v>687</v>
      </c>
      <c r="B30" s="508"/>
      <c r="C30" s="12">
        <f>'ExistingLoans&amp;Facilities&amp;RTR'!$N$103</f>
        <v>0</v>
      </c>
    </row>
    <row r="31" spans="1:15">
      <c r="A31" s="507" t="s">
        <v>688</v>
      </c>
      <c r="B31" s="508"/>
      <c r="C31" s="12">
        <f>BasicInput!$G$28</f>
        <v>14976</v>
      </c>
    </row>
    <row r="32" spans="1:15">
      <c r="A32" s="507" t="s">
        <v>689</v>
      </c>
      <c r="B32" s="508"/>
      <c r="C32" s="12">
        <f>SUMIF(BasicInput!$B$22:$B$26,Validation!$A$38,BasicInput!$G$22:$G$26)</f>
        <v>0</v>
      </c>
    </row>
    <row r="33" spans="1:16">
      <c r="A33" s="505" t="s">
        <v>690</v>
      </c>
      <c r="B33" s="506"/>
      <c r="C33" s="16">
        <f>IF(SUM(C30:C31)=0,0,IFERROR(SUM(C30:C31)/C28,100000%))</f>
        <v>1000</v>
      </c>
    </row>
    <row r="34" spans="1:16">
      <c r="A34" s="505" t="s">
        <v>691</v>
      </c>
      <c r="B34" s="506"/>
      <c r="C34" s="16">
        <f>IF(SUM(C30:C32)=0,0,IFERROR(SUM(C30:C32)/C28,100000%))</f>
        <v>1000</v>
      </c>
    </row>
    <row r="35" spans="1:16">
      <c r="A35" s="505" t="s">
        <v>692</v>
      </c>
      <c r="B35" s="506"/>
      <c r="C35" s="16">
        <f>IFERROR(SUMIF(BasicInput!$B$22:$B$26,Validation!$A$38,BasicInput!$G$22:$G$26)/C28,0)</f>
        <v>0</v>
      </c>
    </row>
    <row r="36" spans="1:16">
      <c r="A36" s="505" t="s">
        <v>693</v>
      </c>
      <c r="B36" s="506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05" t="s">
        <v>694</v>
      </c>
      <c r="B37" s="506"/>
      <c r="C37" s="16">
        <f>IFERROR((BasicInput!$D$28+$G$49)/$M$49,0)</f>
        <v>0</v>
      </c>
    </row>
    <row r="38" spans="1:16">
      <c r="A38" s="505" t="s">
        <v>695</v>
      </c>
      <c r="B38" s="506"/>
      <c r="C38" s="16">
        <f>IFERROR((BasicInput!$D$27+$G$49)/$M$49,0)</f>
        <v>0</v>
      </c>
    </row>
    <row r="39" spans="1:16">
      <c r="A39" s="505" t="s">
        <v>696</v>
      </c>
      <c r="B39" s="506"/>
      <c r="C39" s="16">
        <f>IFERROR(SUMIF(BasicInput!$B$22:$B$26,Validation!$A$38,BasicInput!$D$22:$D$26)/$M$49,0)</f>
        <v>0</v>
      </c>
    </row>
    <row r="40" spans="1:16">
      <c r="A40" s="505" t="s">
        <v>697</v>
      </c>
      <c r="B40" s="506"/>
      <c r="C40" s="13">
        <f>MAX($O$49,0)</f>
        <v>0</v>
      </c>
    </row>
    <row r="41" spans="1:16">
      <c r="A41" s="509" t="s">
        <v>698</v>
      </c>
      <c r="B41" s="510"/>
      <c r="C41" s="18">
        <f>MIN(C29,C36,C40)</f>
        <v>0</v>
      </c>
    </row>
    <row r="42" spans="1:16"/>
    <row r="43" spans="1:16" ht="51">
      <c r="A43" s="10" t="s">
        <v>42</v>
      </c>
      <c r="B43" s="10" t="s">
        <v>43</v>
      </c>
      <c r="C43" s="10" t="s">
        <v>44</v>
      </c>
      <c r="D43" s="10" t="s">
        <v>45</v>
      </c>
      <c r="E43" s="10" t="s">
        <v>46</v>
      </c>
      <c r="F43" s="10" t="s">
        <v>47</v>
      </c>
      <c r="G43" s="10" t="s">
        <v>48</v>
      </c>
      <c r="H43" s="10" t="s">
        <v>49</v>
      </c>
      <c r="I43" s="10" t="s">
        <v>50</v>
      </c>
      <c r="J43" s="10" t="s">
        <v>51</v>
      </c>
      <c r="K43" s="10" t="s">
        <v>52</v>
      </c>
      <c r="L43" s="10" t="s">
        <v>53</v>
      </c>
      <c r="M43" s="10" t="s">
        <v>54</v>
      </c>
      <c r="N43" s="10" t="s">
        <v>699</v>
      </c>
      <c r="O43" s="10" t="s">
        <v>700</v>
      </c>
    </row>
    <row r="44" spans="1:16">
      <c r="A44" s="3" t="str">
        <f>IF(BasicInput!$B$34="","",BasicInput!$B$34)</f>
        <v>B-54,KEDAR NAGAR, Shahganj,Agra,KEDAR NAGAR,Agra,Agra,Uttar Pradesh,282010</v>
      </c>
      <c r="B44" s="3" t="str">
        <f>IF(BasicInput!$C$34="","",BasicInput!$C$34)</f>
        <v>Residential House</v>
      </c>
      <c r="C44" s="3" t="str">
        <f>IF(BasicInput!$D$34="","",BasicInput!$D$34)</f>
        <v>SONA NAVANI</v>
      </c>
      <c r="D44" s="3">
        <f>IF(BasicInput!$E$34="","",BasicInput!$E$34)</f>
        <v>360</v>
      </c>
      <c r="E44" s="3" t="str">
        <f>IF(BasicInput!$F$34="","",BasicInput!$F$34)</f>
        <v>Self-occupation</v>
      </c>
      <c r="F44" s="7" t="str">
        <f>IF(BasicInput!$G$34="","",BasicInput!$G$34)</f>
        <v>N</v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1900000</v>
      </c>
      <c r="K44" s="11">
        <f>IF(BasicInput!$L$34="","",BasicInput!$L$34)</f>
        <v>1</v>
      </c>
      <c r="L44" s="11" t="e">
        <f>IF(BasicInput!$M$34="","",BasicInput!$M$34)</f>
        <v>#DIV/0!</v>
      </c>
      <c r="M44" s="12">
        <f>IF(BasicInput!$N$34="",0,BasicInput!$N$34)</f>
        <v>0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0.9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7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0.9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7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7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7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7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05" t="s">
        <v>39</v>
      </c>
      <c r="B49" s="511"/>
      <c r="C49" s="511"/>
      <c r="D49" s="511"/>
      <c r="E49" s="511"/>
      <c r="F49" s="511"/>
      <c r="G49" s="13">
        <f>SUM(G44:G48)</f>
        <v>0</v>
      </c>
      <c r="H49" s="505"/>
      <c r="I49" s="511"/>
      <c r="J49" s="511"/>
      <c r="K49" s="511"/>
      <c r="L49" s="506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3" customFormat="1" hidden="1">
      <c r="B58" s="174"/>
      <c r="C58" s="174"/>
      <c r="D58" s="174"/>
      <c r="E58" s="174"/>
      <c r="F58" s="174"/>
      <c r="H58" s="174"/>
      <c r="I58" s="174"/>
      <c r="J58" s="174"/>
      <c r="K58" s="174"/>
      <c r="L58" s="174"/>
      <c r="M58" s="174"/>
      <c r="N58" s="174"/>
      <c r="O58" s="174"/>
      <c r="P58" s="174"/>
    </row>
    <row r="59" spans="1:16" s="173" customFormat="1" hidden="1">
      <c r="B59" s="174"/>
      <c r="C59" s="174"/>
      <c r="D59" s="174"/>
      <c r="E59" s="174"/>
      <c r="F59" s="174"/>
      <c r="H59" s="174"/>
      <c r="I59" s="174"/>
      <c r="J59" s="174"/>
      <c r="K59" s="174"/>
      <c r="L59" s="174"/>
      <c r="M59" s="174"/>
      <c r="N59" s="174"/>
      <c r="O59" s="174"/>
      <c r="P59" s="174"/>
    </row>
    <row r="60" spans="1:16" s="173" customFormat="1" hidden="1">
      <c r="B60" s="174"/>
      <c r="C60" s="174"/>
      <c r="D60" s="174"/>
      <c r="E60" s="174"/>
      <c r="F60" s="174"/>
      <c r="H60" s="174"/>
      <c r="I60" s="174"/>
      <c r="J60" s="174"/>
      <c r="K60" s="174"/>
      <c r="L60" s="174"/>
      <c r="M60" s="174"/>
      <c r="N60" s="174"/>
      <c r="O60" s="174"/>
      <c r="P60" s="174"/>
    </row>
    <row r="61" spans="1:16" s="173" customFormat="1" hidden="1">
      <c r="B61" s="174"/>
      <c r="C61" s="174"/>
      <c r="D61" s="174"/>
      <c r="E61" s="174"/>
      <c r="F61" s="174"/>
      <c r="H61" s="174"/>
      <c r="I61" s="174"/>
      <c r="J61" s="174"/>
      <c r="K61" s="174"/>
      <c r="L61" s="174"/>
      <c r="M61" s="174"/>
      <c r="N61" s="174"/>
      <c r="O61" s="174"/>
      <c r="P61" s="174"/>
    </row>
    <row r="62" spans="1:16" s="173" customFormat="1" hidden="1">
      <c r="B62" s="174"/>
      <c r="C62" s="174"/>
      <c r="D62" s="174"/>
      <c r="E62" s="174"/>
      <c r="F62" s="174"/>
      <c r="H62" s="174"/>
      <c r="I62" s="174"/>
      <c r="J62" s="174"/>
      <c r="K62" s="174"/>
      <c r="L62" s="174"/>
      <c r="M62" s="174"/>
      <c r="N62" s="174"/>
      <c r="O62" s="174"/>
      <c r="P62" s="174"/>
    </row>
    <row r="63" spans="1:16" s="173" customFormat="1" hidden="1">
      <c r="B63" s="174"/>
      <c r="C63" s="174"/>
      <c r="D63" s="174"/>
      <c r="E63" s="174"/>
      <c r="F63" s="174"/>
      <c r="H63" s="174"/>
      <c r="I63" s="174"/>
      <c r="J63" s="174"/>
      <c r="K63" s="174"/>
      <c r="L63" s="174"/>
      <c r="M63" s="174"/>
      <c r="N63" s="174"/>
      <c r="O63" s="174"/>
      <c r="P63" s="174"/>
    </row>
    <row r="64" spans="1:16" s="173" customFormat="1" hidden="1">
      <c r="B64" s="174"/>
      <c r="C64" s="174"/>
      <c r="D64" s="174"/>
      <c r="E64" s="174"/>
      <c r="F64" s="174"/>
      <c r="H64" s="174"/>
      <c r="I64" s="174"/>
      <c r="J64" s="174"/>
      <c r="K64" s="174"/>
      <c r="L64" s="174"/>
      <c r="M64" s="174"/>
      <c r="N64" s="174"/>
      <c r="O64" s="174"/>
      <c r="P64" s="174"/>
    </row>
    <row r="65" spans="2:16" s="173" customFormat="1" hidden="1">
      <c r="B65" s="174"/>
      <c r="C65" s="174"/>
      <c r="D65" s="174"/>
      <c r="E65" s="174"/>
      <c r="F65" s="174"/>
      <c r="H65" s="174"/>
      <c r="I65" s="174"/>
      <c r="J65" s="174"/>
      <c r="K65" s="174"/>
      <c r="L65" s="174"/>
      <c r="M65" s="174"/>
      <c r="N65" s="174"/>
      <c r="O65" s="174"/>
      <c r="P65" s="174"/>
    </row>
    <row r="66" spans="2:16" s="173" customFormat="1" hidden="1">
      <c r="B66" s="174"/>
      <c r="C66" s="174"/>
      <c r="D66" s="174"/>
      <c r="E66" s="174"/>
      <c r="F66" s="174"/>
      <c r="H66" s="174"/>
      <c r="I66" s="174"/>
      <c r="J66" s="174"/>
      <c r="K66" s="174"/>
      <c r="L66" s="174"/>
      <c r="M66" s="174"/>
      <c r="N66" s="174"/>
      <c r="O66" s="174"/>
      <c r="P66" s="174"/>
    </row>
    <row r="67" spans="2:16" s="173" customFormat="1" hidden="1">
      <c r="B67" s="174"/>
      <c r="C67" s="174"/>
      <c r="D67" s="174"/>
      <c r="E67" s="174"/>
      <c r="F67" s="174"/>
      <c r="H67" s="174"/>
      <c r="I67" s="174"/>
      <c r="J67" s="174"/>
      <c r="K67" s="174"/>
      <c r="L67" s="174"/>
      <c r="M67" s="174"/>
      <c r="N67" s="174"/>
      <c r="O67" s="174"/>
      <c r="P67" s="174"/>
    </row>
    <row r="68" spans="2:16" s="173" customFormat="1" hidden="1">
      <c r="B68" s="174"/>
      <c r="C68" s="174"/>
      <c r="D68" s="174"/>
      <c r="E68" s="174"/>
      <c r="F68" s="174"/>
      <c r="H68" s="174"/>
      <c r="I68" s="174"/>
      <c r="J68" s="174"/>
      <c r="K68" s="174"/>
      <c r="L68" s="174"/>
      <c r="M68" s="174"/>
      <c r="N68" s="174"/>
      <c r="O68" s="174"/>
      <c r="P68" s="174"/>
    </row>
    <row r="69" spans="2:16" s="173" customFormat="1" hidden="1">
      <c r="B69" s="174"/>
      <c r="C69" s="174"/>
      <c r="D69" s="174"/>
      <c r="E69" s="174"/>
      <c r="F69" s="174"/>
      <c r="H69" s="174"/>
      <c r="I69" s="174"/>
      <c r="J69" s="174"/>
      <c r="K69" s="174"/>
      <c r="L69" s="174"/>
      <c r="M69" s="174"/>
      <c r="N69" s="174"/>
      <c r="O69" s="174"/>
      <c r="P69" s="174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1:G1"/>
    <mergeCell ref="A24:D24"/>
    <mergeCell ref="A27:B27"/>
    <mergeCell ref="A28:B28"/>
    <mergeCell ref="A29:B2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69930555555555596" right="0.69930555555555596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B9" sqref="B9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12" t="s">
        <v>707</v>
      </c>
      <c r="B1" s="512"/>
      <c r="C1" s="512"/>
      <c r="D1" s="512"/>
      <c r="E1" s="512"/>
      <c r="F1" s="512"/>
      <c r="G1" s="512"/>
    </row>
    <row r="3" spans="1:7">
      <c r="A3" s="45" t="s">
        <v>708</v>
      </c>
      <c r="B3" s="513" t="str">
        <f>IF(Afford1!B1="","",CONCATENATE(Afford1!B1," &amp; Group"))</f>
        <v/>
      </c>
      <c r="C3" s="513"/>
      <c r="D3" s="513"/>
      <c r="E3" s="513"/>
      <c r="F3" s="513"/>
      <c r="G3" s="513"/>
    </row>
    <row r="5" spans="1:7">
      <c r="A5" s="514" t="s">
        <v>709</v>
      </c>
      <c r="B5" s="514"/>
      <c r="C5" s="514"/>
      <c r="D5" s="514"/>
      <c r="E5" s="514"/>
      <c r="F5" s="514"/>
      <c r="G5" s="514"/>
    </row>
    <row r="6" spans="1:7">
      <c r="B6" s="515" t="s">
        <v>710</v>
      </c>
      <c r="C6" s="515"/>
      <c r="D6" s="515"/>
      <c r="E6" s="515"/>
    </row>
    <row r="7" spans="1:7" ht="38.25">
      <c r="A7" s="48" t="s">
        <v>711</v>
      </c>
      <c r="B7" s="147" t="str">
        <f>Afford1!B13</f>
        <v>Provisionals</v>
      </c>
      <c r="C7" s="147" t="str">
        <f>Afford1!C13</f>
        <v>FY 2022-23</v>
      </c>
      <c r="D7" s="147" t="str">
        <f>Afford1!D13</f>
        <v>FY 2021-22</v>
      </c>
      <c r="E7" s="147" t="str">
        <f>Afford1!E13</f>
        <v>FY 2020-21</v>
      </c>
      <c r="F7" s="52" t="s">
        <v>712</v>
      </c>
      <c r="G7" s="52" t="s">
        <v>713</v>
      </c>
    </row>
    <row r="8" spans="1:7">
      <c r="A8" s="150" t="s">
        <v>714</v>
      </c>
      <c r="B8" s="516"/>
      <c r="C8" s="517"/>
      <c r="D8" s="517"/>
      <c r="E8" s="518"/>
      <c r="F8" s="151"/>
      <c r="G8" s="151"/>
    </row>
    <row r="9" spans="1:7">
      <c r="A9" s="169" t="s">
        <v>715</v>
      </c>
      <c r="B9" s="170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0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0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0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5" t="str">
        <f>IFERROR((C9-D9)/D9,"-")</f>
        <v>-</v>
      </c>
      <c r="G9" s="155" t="str">
        <f>IFERROR((D9-E9)/E9,"-")</f>
        <v>-</v>
      </c>
    </row>
    <row r="10" spans="1:7">
      <c r="A10" s="171" t="s">
        <v>716</v>
      </c>
      <c r="B10" s="170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0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0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0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5" t="str">
        <f>IFERROR((C10-D10)/D10,"-")</f>
        <v>-</v>
      </c>
      <c r="G10" s="155" t="str">
        <f>IFERROR((D10-E10)/E10,"-")</f>
        <v>-</v>
      </c>
    </row>
    <row r="11" spans="1:7">
      <c r="A11" s="48" t="s">
        <v>717</v>
      </c>
      <c r="B11" s="172">
        <f>B9-B10</f>
        <v>0</v>
      </c>
      <c r="C11" s="172">
        <f t="shared" ref="C11:E11" si="0">C9-C10</f>
        <v>0</v>
      </c>
      <c r="D11" s="172">
        <f t="shared" si="0"/>
        <v>0</v>
      </c>
      <c r="E11" s="172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58" t="s">
        <v>718</v>
      </c>
      <c r="B12" s="170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0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0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0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0" t="str">
        <f t="shared" si="1"/>
        <v>-</v>
      </c>
      <c r="G12" s="160" t="str">
        <f t="shared" si="1"/>
        <v>-</v>
      </c>
    </row>
    <row r="13" spans="1:7">
      <c r="A13" s="48" t="s">
        <v>719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0" t="s">
        <v>720</v>
      </c>
      <c r="B14" s="516"/>
      <c r="C14" s="517"/>
      <c r="D14" s="517"/>
      <c r="E14" s="518"/>
      <c r="F14" s="151"/>
      <c r="G14" s="151"/>
    </row>
    <row r="15" spans="1:7">
      <c r="A15" s="60" t="s">
        <v>721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722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723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0" t="s">
        <v>724</v>
      </c>
      <c r="B18" s="516"/>
      <c r="C18" s="517"/>
      <c r="D18" s="517"/>
      <c r="E18" s="518"/>
      <c r="F18" s="151"/>
      <c r="G18" s="151"/>
    </row>
    <row r="19" spans="1:7">
      <c r="A19" s="60" t="s">
        <v>725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726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727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728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729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730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731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732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733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734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735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736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737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738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739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740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741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742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743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15" t="s">
        <v>710</v>
      </c>
      <c r="C38" s="515"/>
      <c r="D38" s="515"/>
      <c r="E38" s="515"/>
      <c r="F38" s="64"/>
      <c r="G38" s="64"/>
    </row>
    <row r="39" spans="1:7" ht="38.25">
      <c r="A39" s="48" t="s">
        <v>744</v>
      </c>
      <c r="B39" s="328" t="str">
        <f>Afford1!B45</f>
        <v>Provisionals</v>
      </c>
      <c r="C39" s="65" t="str">
        <f>Afford1!C45</f>
        <v>31/03/2023</v>
      </c>
      <c r="D39" s="65" t="str">
        <f>Afford1!D45</f>
        <v>31/03/2022</v>
      </c>
      <c r="E39" s="66" t="str">
        <f>Afford1!E45</f>
        <v>31/03/2021</v>
      </c>
      <c r="F39" s="52" t="s">
        <v>712</v>
      </c>
      <c r="G39" s="52" t="s">
        <v>713</v>
      </c>
    </row>
    <row r="40" spans="1:7">
      <c r="A40" s="150" t="s">
        <v>745</v>
      </c>
      <c r="B40" s="516"/>
      <c r="C40" s="517"/>
      <c r="D40" s="517"/>
      <c r="E40" s="518"/>
      <c r="F40" s="151"/>
      <c r="G40" s="151"/>
    </row>
    <row r="41" spans="1:7">
      <c r="A41" s="60" t="s">
        <v>746</v>
      </c>
      <c r="B41" s="110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747</v>
      </c>
      <c r="B42" s="110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748</v>
      </c>
      <c r="B43" s="110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749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750</v>
      </c>
      <c r="B45" s="110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751</v>
      </c>
      <c r="B46" s="110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752</v>
      </c>
      <c r="B47" s="110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753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0" t="s">
        <v>754</v>
      </c>
      <c r="B49" s="516"/>
      <c r="C49" s="517"/>
      <c r="D49" s="517"/>
      <c r="E49" s="518"/>
      <c r="F49" s="151"/>
      <c r="G49" s="151"/>
    </row>
    <row r="50" spans="1:7">
      <c r="A50" s="60" t="s">
        <v>755</v>
      </c>
      <c r="B50" s="110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756</v>
      </c>
      <c r="B51" s="110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757</v>
      </c>
      <c r="B52" s="110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758</v>
      </c>
      <c r="B53" s="110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759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0" t="s">
        <v>760</v>
      </c>
      <c r="B55" s="516"/>
      <c r="C55" s="517"/>
      <c r="D55" s="517"/>
      <c r="E55" s="518"/>
      <c r="F55" s="151"/>
      <c r="G55" s="151"/>
    </row>
    <row r="56" spans="1:7">
      <c r="A56" s="60" t="s">
        <v>761</v>
      </c>
      <c r="B56" s="110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762</v>
      </c>
      <c r="B57" s="110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763</v>
      </c>
      <c r="B58" s="110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764</v>
      </c>
      <c r="B59" s="110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765</v>
      </c>
      <c r="B60" s="110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766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767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768</v>
      </c>
      <c r="B63" s="113">
        <f>B48+B62</f>
        <v>0</v>
      </c>
      <c r="C63" s="113">
        <f t="shared" ref="C63:E63" si="20">C48+C62</f>
        <v>0</v>
      </c>
      <c r="D63" s="113">
        <f t="shared" si="20"/>
        <v>0</v>
      </c>
      <c r="E63" s="113">
        <f t="shared" si="20"/>
        <v>0</v>
      </c>
      <c r="F63" s="59"/>
      <c r="G63" s="59"/>
    </row>
    <row r="64" spans="1:7">
      <c r="A64" s="62"/>
      <c r="B64" s="117"/>
      <c r="C64" s="115"/>
      <c r="D64" s="116"/>
      <c r="E64" s="116"/>
      <c r="F64" s="56"/>
      <c r="G64" s="56"/>
    </row>
    <row r="65" spans="1:7">
      <c r="A65" s="60" t="s">
        <v>769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770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771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772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773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774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775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776</v>
      </c>
      <c r="B72" s="110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29" t="s">
        <v>777</v>
      </c>
      <c r="B73" s="110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29" t="s">
        <v>779</v>
      </c>
      <c r="B75" s="110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29" t="s">
        <v>780</v>
      </c>
      <c r="B76" s="110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781</v>
      </c>
      <c r="B77" s="110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782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783</v>
      </c>
      <c r="B79" s="110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110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768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3">
        <f>B81-B63</f>
        <v>0</v>
      </c>
      <c r="C82" s="133">
        <f t="shared" ref="C82:E82" si="26">C81-C63</f>
        <v>0</v>
      </c>
      <c r="D82" s="133">
        <f t="shared" si="26"/>
        <v>0</v>
      </c>
      <c r="E82" s="133">
        <f t="shared" si="26"/>
        <v>0</v>
      </c>
      <c r="F82" s="135"/>
    </row>
    <row r="83" spans="1:7">
      <c r="A83" s="76" t="s">
        <v>785</v>
      </c>
      <c r="B83" s="50" t="str">
        <f>B39</f>
        <v>Provisionals</v>
      </c>
      <c r="C83" s="50" t="str">
        <f>C39</f>
        <v>31/03/2023</v>
      </c>
      <c r="D83" s="50" t="str">
        <f>D39</f>
        <v>31/03/2022</v>
      </c>
      <c r="E83" s="50" t="str">
        <f>E39</f>
        <v>31/03/2021</v>
      </c>
      <c r="F83" s="135"/>
      <c r="G83" s="135"/>
    </row>
    <row r="84" spans="1:7">
      <c r="A84" s="76" t="s">
        <v>786</v>
      </c>
      <c r="B84" s="161" t="str">
        <f>IFERROR(B62/B48,"-")</f>
        <v>-</v>
      </c>
      <c r="C84" s="161" t="str">
        <f>IFERROR(C62/C48,"-")</f>
        <v>-</v>
      </c>
      <c r="D84" s="161" t="str">
        <f>IFERROR(D62/D48,"-")</f>
        <v>-</v>
      </c>
      <c r="E84" s="161" t="str">
        <f>IFERROR(E62/E48,"-")</f>
        <v>-</v>
      </c>
      <c r="F84" s="136"/>
      <c r="G84" s="136"/>
    </row>
    <row r="85" spans="1:7">
      <c r="A85" s="76" t="s">
        <v>787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6"/>
      <c r="G85" s="136"/>
    </row>
    <row r="86" spans="1:7">
      <c r="A86" s="76" t="s">
        <v>788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6"/>
      <c r="G86" s="136"/>
    </row>
    <row r="87" spans="1:7">
      <c r="A87" s="76" t="s">
        <v>789</v>
      </c>
      <c r="B87" s="161" t="str">
        <f>IFERROR(B22/B25,"-")</f>
        <v>-</v>
      </c>
      <c r="C87" s="161" t="str">
        <f>IFERROR(C22/C25,"-")</f>
        <v>-</v>
      </c>
      <c r="D87" s="161" t="str">
        <f>IFERROR(D22/D25,"-")</f>
        <v>-</v>
      </c>
      <c r="E87" s="161" t="str">
        <f>IFERROR(E22/E25,"-")</f>
        <v>-</v>
      </c>
      <c r="F87" s="136"/>
      <c r="G87" s="136"/>
    </row>
    <row r="88" spans="1:7">
      <c r="A88" s="76" t="s">
        <v>790</v>
      </c>
      <c r="B88" s="162" t="str">
        <f>IFERROR(B11/B67,"-")</f>
        <v>-</v>
      </c>
      <c r="C88" s="162" t="str">
        <f>IFERROR(C11/C67,"-")</f>
        <v>-</v>
      </c>
      <c r="D88" s="162" t="str">
        <f>IFERROR(D11/D67,"-")</f>
        <v>-</v>
      </c>
      <c r="E88" s="162" t="str">
        <f>IFERROR(E11/E67,"-")</f>
        <v>-</v>
      </c>
      <c r="F88" s="136"/>
      <c r="G88" s="136"/>
    </row>
    <row r="89" spans="1:7">
      <c r="A89" s="76" t="s">
        <v>791</v>
      </c>
      <c r="B89" s="162" t="str">
        <f>IFERROR(B57/B17*365,"-")</f>
        <v>-</v>
      </c>
      <c r="C89" s="162" t="str">
        <f>IFERROR(C57/C17*365,"-")</f>
        <v>-</v>
      </c>
      <c r="D89" s="162" t="str">
        <f>IFERROR(D57/D17*365,"-")</f>
        <v>-</v>
      </c>
      <c r="E89" s="162" t="str">
        <f>IFERROR(E57/E17*365,"-")</f>
        <v>-</v>
      </c>
      <c r="F89" s="136"/>
      <c r="G89" s="136"/>
    </row>
    <row r="90" spans="1:7">
      <c r="A90" s="76" t="s">
        <v>792</v>
      </c>
      <c r="B90" s="162">
        <f>IFERROR(B71-B61+B51,"-")</f>
        <v>0</v>
      </c>
      <c r="C90" s="162">
        <f>IFERROR(C71-C61+C51,"-")</f>
        <v>0</v>
      </c>
      <c r="D90" s="162">
        <f>IFERROR(D71-D61+D51,"-")</f>
        <v>0</v>
      </c>
      <c r="E90" s="162">
        <f>IFERROR(E71-E61+E51,"-")</f>
        <v>0</v>
      </c>
      <c r="F90" s="136"/>
      <c r="G90" s="136"/>
    </row>
    <row r="91" spans="1:7">
      <c r="A91" s="76" t="s">
        <v>793</v>
      </c>
      <c r="B91" s="162" t="str">
        <f>IFERROR(B74/B9*365,"-")</f>
        <v>-</v>
      </c>
      <c r="C91" s="162" t="str">
        <f>IFERROR(C74/C9*365,"-")</f>
        <v>-</v>
      </c>
      <c r="D91" s="162" t="str">
        <f>IFERROR(D74/D9*365,"-")</f>
        <v>-</v>
      </c>
      <c r="E91" s="162" t="str">
        <f>IFERROR(E74/E9*365,"-")</f>
        <v>-</v>
      </c>
      <c r="F91" s="136"/>
      <c r="G91" s="136"/>
    </row>
    <row r="92" spans="1:7">
      <c r="A92" s="76" t="s">
        <v>794</v>
      </c>
      <c r="B92" s="162" t="str">
        <f>IFERROR(B73*365/B11,"-")</f>
        <v>-</v>
      </c>
      <c r="C92" s="162" t="str">
        <f>IFERROR(C73*365/C11,"-")</f>
        <v>-</v>
      </c>
      <c r="D92" s="162" t="str">
        <f>IFERROR(D73*365/D11,"-")</f>
        <v>-</v>
      </c>
      <c r="E92" s="162" t="str">
        <f>IFERROR(E73*365/E11,"-")</f>
        <v>-</v>
      </c>
      <c r="F92" s="136"/>
      <c r="G92" s="136"/>
    </row>
    <row r="93" spans="1:7">
      <c r="A93" s="76" t="s">
        <v>795</v>
      </c>
      <c r="B93" s="162" t="str">
        <f>IFERROR(B73/B17,"-")</f>
        <v>-</v>
      </c>
      <c r="C93" s="162" t="str">
        <f>IFERROR(C73/C17,"-")</f>
        <v>-</v>
      </c>
      <c r="D93" s="162" t="str">
        <f>IFERROR(D73/D17,"-")</f>
        <v>-</v>
      </c>
      <c r="E93" s="162" t="str">
        <f>IFERROR(E73/E17,"-")</f>
        <v>-</v>
      </c>
      <c r="F93" s="136"/>
      <c r="G93" s="136"/>
    </row>
    <row r="94" spans="1:7">
      <c r="A94" s="76" t="s">
        <v>796</v>
      </c>
      <c r="B94" s="162" t="str">
        <f>IFERROR(B71/B61,"-")</f>
        <v>-</v>
      </c>
      <c r="C94" s="162" t="str">
        <f>IFERROR(C71/C61,"-")</f>
        <v>-</v>
      </c>
      <c r="D94" s="162" t="str">
        <f>IFERROR(D71/D61,"-")</f>
        <v>-</v>
      </c>
      <c r="E94" s="162" t="str">
        <f>IFERROR(E71/E61,"-")</f>
        <v>-</v>
      </c>
      <c r="F94" s="136"/>
      <c r="G94" s="136"/>
    </row>
    <row r="95" spans="1:7">
      <c r="A95" s="76" t="s">
        <v>797</v>
      </c>
      <c r="B95" s="162" t="str">
        <f>IFERROR((B71-73)/(B57+B58),"-")</f>
        <v>-</v>
      </c>
      <c r="C95" s="162" t="str">
        <f>IFERROR((C71-73)/(C57+C58),"-")</f>
        <v>-</v>
      </c>
      <c r="D95" s="162" t="str">
        <f>IFERROR((D71-73)/(D57+D58),"-")</f>
        <v>-</v>
      </c>
      <c r="E95" s="162" t="str">
        <f>IFERROR((E71-73)/(E57+E58),"-")</f>
        <v>-</v>
      </c>
      <c r="F95" s="136"/>
      <c r="G95" s="136"/>
    </row>
    <row r="96" spans="1:7">
      <c r="A96" s="76" t="s">
        <v>798</v>
      </c>
      <c r="B96" s="162" t="str">
        <f>IFERROR(B54/B48,"-")</f>
        <v>-</v>
      </c>
      <c r="C96" s="162" t="str">
        <f>IFERROR(C54/C48,"-")</f>
        <v>-</v>
      </c>
      <c r="D96" s="162" t="str">
        <f>IFERROR(D54/D48,"-")</f>
        <v>-</v>
      </c>
      <c r="E96" s="162" t="str">
        <f>IFERROR(E54/E48,"-")</f>
        <v>-</v>
      </c>
      <c r="F96" s="136"/>
      <c r="G96" s="136"/>
    </row>
    <row r="97" spans="1:7">
      <c r="A97" s="76" t="s">
        <v>799</v>
      </c>
      <c r="B97" s="162" t="str">
        <f>IFERROR((B22+B27-B28)/B25,"-")</f>
        <v>-</v>
      </c>
      <c r="C97" s="162" t="str">
        <f>IFERROR((C22+C27-C28)/C25,"-")</f>
        <v>-</v>
      </c>
      <c r="D97" s="162" t="str">
        <f>IFERROR((D22+D27-D28)/D25,"-")</f>
        <v>-</v>
      </c>
      <c r="E97" s="162" t="str">
        <f>IFERROR((E22+E27-E28)/E25,"-")</f>
        <v>-</v>
      </c>
      <c r="F97" s="136"/>
      <c r="G97" s="136"/>
    </row>
    <row r="98" spans="1:7">
      <c r="A98" s="76" t="s">
        <v>800</v>
      </c>
      <c r="B98" s="162" t="str">
        <f>IFERROR((B22+B27-B28)/(B25+B51),"-")</f>
        <v>-</v>
      </c>
      <c r="C98" s="162" t="str">
        <f>IFERROR((C22+C27-C28)/(C25+C51),"-")</f>
        <v>-</v>
      </c>
      <c r="D98" s="162" t="str">
        <f>IFERROR((D22+D27-D28)/(D25+D51),"-")</f>
        <v>-</v>
      </c>
      <c r="E98" s="162" t="str">
        <f>IFERROR((E22+E27-E28)/(E25+E51),"-")</f>
        <v>-</v>
      </c>
      <c r="F98" s="136"/>
      <c r="G98" s="136"/>
    </row>
    <row r="99" spans="1:7">
      <c r="A99" s="76" t="s">
        <v>801</v>
      </c>
      <c r="B99" s="163" t="str">
        <f>IFERROR((B13-B17)/B9,"-")</f>
        <v>-</v>
      </c>
      <c r="C99" s="163" t="str">
        <f>IFERROR((C13-C17)/C9,"-")</f>
        <v>-</v>
      </c>
      <c r="D99" s="163" t="str">
        <f>IFERROR((D13-D17)/D9,"-")</f>
        <v>-</v>
      </c>
      <c r="E99" s="163" t="str">
        <f>IFERROR((E13-E17)/E9,"-")</f>
        <v>-</v>
      </c>
      <c r="F99" s="136"/>
      <c r="G99" s="136"/>
    </row>
    <row r="100" spans="1:7">
      <c r="A100" s="76" t="s">
        <v>802</v>
      </c>
      <c r="B100" s="163" t="str">
        <f>IFERROR(B31/B11,"-")</f>
        <v>-</v>
      </c>
      <c r="C100" s="163" t="str">
        <f>IFERROR(C31/C11,"-")</f>
        <v>-</v>
      </c>
      <c r="D100" s="163" t="str">
        <f>IFERROR(D31/D11,"-")</f>
        <v>-</v>
      </c>
      <c r="E100" s="163" t="str">
        <f>IFERROR(E31/E11,"-")</f>
        <v>-</v>
      </c>
      <c r="F100" s="136"/>
      <c r="G100" s="136"/>
    </row>
    <row r="101" spans="1:7">
      <c r="A101" s="76" t="s">
        <v>803</v>
      </c>
      <c r="B101" s="163" t="str">
        <f>IFERROR(B32/B11,"-")</f>
        <v>-</v>
      </c>
      <c r="C101" s="163" t="str">
        <f>IFERROR(C32/C11,"-")</f>
        <v>-</v>
      </c>
      <c r="D101" s="163" t="str">
        <f>IFERROR(D32/D11,"-")</f>
        <v>-</v>
      </c>
      <c r="E101" s="163" t="str">
        <f>IFERROR(E32/E11,"-")</f>
        <v>-</v>
      </c>
      <c r="F101" s="136"/>
      <c r="G101" s="136"/>
    </row>
    <row r="102" spans="1:7">
      <c r="A102" s="76" t="s">
        <v>804</v>
      </c>
      <c r="B102" s="163" t="str">
        <f>IFERROR((B11-C11)/C11,"-")</f>
        <v>-</v>
      </c>
      <c r="C102" s="163" t="str">
        <f>IFERROR((C11-D11)/D11,"-")</f>
        <v>-</v>
      </c>
      <c r="D102" s="163" t="str">
        <f>IFERROR((D11-E11)/E11,"-")</f>
        <v>-</v>
      </c>
      <c r="E102" s="163"/>
      <c r="F102" s="136"/>
      <c r="G102" s="136"/>
    </row>
    <row r="103" spans="1:7">
      <c r="A103" s="76" t="s">
        <v>805</v>
      </c>
      <c r="B103" s="163" t="str">
        <f>IFERROR((B31-C31)/C31,"-")</f>
        <v>-</v>
      </c>
      <c r="C103" s="163" t="str">
        <f>IFERROR((C31-D31)/D31,"-")</f>
        <v>-</v>
      </c>
      <c r="D103" s="163" t="str">
        <f>IFERROR((D31-E31)/E31,"-")</f>
        <v>-</v>
      </c>
      <c r="E103" s="163"/>
      <c r="F103" s="136"/>
      <c r="G103" s="136"/>
    </row>
    <row r="104" spans="1:7">
      <c r="A104" s="76" t="s">
        <v>806</v>
      </c>
      <c r="B104" s="162">
        <f>IFERROR(B31+B23,"-")</f>
        <v>0</v>
      </c>
      <c r="C104" s="162">
        <f>IFERROR(C31+C23,"-")</f>
        <v>0</v>
      </c>
      <c r="D104" s="162">
        <f>IFERROR(D31+D23,"-")</f>
        <v>0</v>
      </c>
      <c r="E104" s="162">
        <f>IFERROR(E31+E23,"-")</f>
        <v>0</v>
      </c>
      <c r="F104" s="136"/>
      <c r="G104" s="136"/>
    </row>
    <row r="106" spans="1:7">
      <c r="A106" s="164" t="s">
        <v>807</v>
      </c>
      <c r="B106" s="165" t="str">
        <f>B83</f>
        <v>Provisionals</v>
      </c>
      <c r="C106" s="165" t="str">
        <f t="shared" ref="C106:E106" si="27">C83</f>
        <v>31/03/2023</v>
      </c>
      <c r="D106" s="165" t="str">
        <f t="shared" si="27"/>
        <v>31/03/2022</v>
      </c>
      <c r="E106" s="165" t="str">
        <f t="shared" si="27"/>
        <v>31/03/2021</v>
      </c>
    </row>
    <row r="107" spans="1:7">
      <c r="A107" s="3" t="s">
        <v>808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809</v>
      </c>
      <c r="B108" s="3"/>
      <c r="C108" s="3"/>
      <c r="D108" s="3"/>
      <c r="E108" s="3"/>
    </row>
    <row r="109" spans="1:7">
      <c r="A109" s="3" t="s">
        <v>570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810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811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812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813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814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815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6" t="s">
        <v>816</v>
      </c>
      <c r="B116" s="166">
        <f>SUM(B107:B115)</f>
        <v>0</v>
      </c>
      <c r="C116" s="166">
        <f>SUM(C107:C115)</f>
        <v>0</v>
      </c>
      <c r="D116" s="166">
        <f>SUM(D107:D115)</f>
        <v>0</v>
      </c>
      <c r="E116" s="166">
        <f>SUM(E107:E115)</f>
        <v>0</v>
      </c>
    </row>
    <row r="117" spans="1:5">
      <c r="A117" s="3" t="s">
        <v>817</v>
      </c>
      <c r="B117" s="167">
        <f>C74-B74</f>
        <v>0</v>
      </c>
      <c r="C117" s="167">
        <f>D74-C74</f>
        <v>0</v>
      </c>
      <c r="D117" s="167">
        <f>E74-D74</f>
        <v>0</v>
      </c>
      <c r="E117" s="167"/>
    </row>
    <row r="118" spans="1:5">
      <c r="A118" s="3" t="s">
        <v>777</v>
      </c>
      <c r="B118" s="167">
        <f>C73-B73</f>
        <v>0</v>
      </c>
      <c r="C118" s="167">
        <f>D73-C73</f>
        <v>0</v>
      </c>
      <c r="D118" s="167">
        <f>E73-D73</f>
        <v>0</v>
      </c>
      <c r="E118" s="167"/>
    </row>
    <row r="119" spans="1:5">
      <c r="A119" s="3" t="s">
        <v>782</v>
      </c>
      <c r="B119" s="167">
        <f>C78-B78</f>
        <v>0</v>
      </c>
      <c r="C119" s="167">
        <f>D78-C78</f>
        <v>0</v>
      </c>
      <c r="D119" s="167">
        <f>E78-D78</f>
        <v>0</v>
      </c>
      <c r="E119" s="167"/>
    </row>
    <row r="120" spans="1:5">
      <c r="A120" s="3" t="s">
        <v>818</v>
      </c>
      <c r="B120" s="167">
        <f>B61-C61</f>
        <v>0</v>
      </c>
      <c r="C120" s="167">
        <f>C61-D61</f>
        <v>0</v>
      </c>
      <c r="D120" s="167">
        <f>D61-E61</f>
        <v>0</v>
      </c>
      <c r="E120" s="167"/>
    </row>
    <row r="121" spans="1:5">
      <c r="A121" s="168" t="s">
        <v>39</v>
      </c>
      <c r="B121" s="168">
        <f>SUM(B117:B120)</f>
        <v>0</v>
      </c>
      <c r="C121" s="168">
        <f>SUM(C117:C120)</f>
        <v>0</v>
      </c>
      <c r="D121" s="168">
        <f>SUM(D117:D120)</f>
        <v>0</v>
      </c>
      <c r="E121" s="168"/>
    </row>
    <row r="122" spans="1:5">
      <c r="A122" s="166" t="s">
        <v>819</v>
      </c>
      <c r="B122" s="166">
        <f>B116+B121</f>
        <v>0</v>
      </c>
      <c r="C122" s="166">
        <f>C116+C121</f>
        <v>0</v>
      </c>
      <c r="D122" s="166">
        <f>D116+D121</f>
        <v>0</v>
      </c>
      <c r="E122" s="166">
        <f>E116+E121</f>
        <v>0</v>
      </c>
    </row>
    <row r="123" spans="1:5">
      <c r="A123" s="3" t="s">
        <v>820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6" t="s">
        <v>821</v>
      </c>
      <c r="B124" s="166">
        <f>B122-B123</f>
        <v>0</v>
      </c>
      <c r="C124" s="166">
        <f>C122-C123</f>
        <v>0</v>
      </c>
      <c r="D124" s="166">
        <f>D122-D123</f>
        <v>0</v>
      </c>
      <c r="E124" s="166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B55:E55"/>
    <mergeCell ref="B14:E14"/>
    <mergeCell ref="B18:E18"/>
    <mergeCell ref="B38:E38"/>
    <mergeCell ref="B40:E40"/>
    <mergeCell ref="B49:E49"/>
    <mergeCell ref="A1:G1"/>
    <mergeCell ref="B3:G3"/>
    <mergeCell ref="A5:G5"/>
    <mergeCell ref="B6:E6"/>
    <mergeCell ref="B8:E8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69930555555555596" right="0.69930555555555596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4.8554687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482"/>
      <c r="C1" s="482"/>
      <c r="D1" s="482"/>
      <c r="E1" s="482"/>
      <c r="F1" s="482"/>
      <c r="G1" s="482"/>
    </row>
    <row r="2" spans="1:10">
      <c r="A2" s="45" t="s">
        <v>585</v>
      </c>
      <c r="B2" s="484"/>
      <c r="C2" s="484"/>
      <c r="D2" s="484"/>
      <c r="E2" s="484"/>
      <c r="F2" s="484"/>
      <c r="G2" s="484"/>
    </row>
    <row r="3" spans="1:10">
      <c r="A3" s="45" t="s">
        <v>589</v>
      </c>
      <c r="B3" s="482" t="s">
        <v>17</v>
      </c>
      <c r="C3" s="482"/>
      <c r="D3" s="482"/>
      <c r="E3" s="482"/>
      <c r="F3" s="482"/>
      <c r="G3" s="482"/>
    </row>
    <row r="4" spans="1:10">
      <c r="A4" s="45" t="s">
        <v>591</v>
      </c>
      <c r="B4" s="482" t="s">
        <v>184</v>
      </c>
      <c r="C4" s="482"/>
      <c r="D4" s="482"/>
      <c r="E4" s="482"/>
      <c r="F4" s="482"/>
      <c r="G4" s="482"/>
    </row>
    <row r="5" spans="1:10">
      <c r="A5" s="45" t="s">
        <v>593</v>
      </c>
      <c r="B5" s="482" t="s">
        <v>822</v>
      </c>
      <c r="C5" s="482"/>
      <c r="D5" s="482"/>
      <c r="E5" s="482"/>
      <c r="F5" s="482"/>
      <c r="G5" s="482"/>
    </row>
    <row r="6" spans="1:10">
      <c r="A6" s="45" t="s">
        <v>595</v>
      </c>
      <c r="B6" s="482" t="s">
        <v>823</v>
      </c>
      <c r="C6" s="482"/>
      <c r="D6" s="482"/>
      <c r="E6" s="482"/>
      <c r="F6" s="482"/>
      <c r="G6" s="482"/>
    </row>
    <row r="7" spans="1:10" ht="25.5">
      <c r="A7" s="45" t="s">
        <v>597</v>
      </c>
      <c r="B7" s="487">
        <v>2023</v>
      </c>
      <c r="C7" s="487"/>
      <c r="D7" s="487"/>
      <c r="E7" s="487"/>
      <c r="F7" s="487"/>
      <c r="G7" s="487"/>
    </row>
    <row r="8" spans="1:10">
      <c r="A8" s="45" t="s">
        <v>824</v>
      </c>
      <c r="B8" s="482" t="s">
        <v>20</v>
      </c>
      <c r="C8" s="482"/>
      <c r="D8" s="482"/>
      <c r="E8" s="482"/>
      <c r="F8" s="482"/>
      <c r="G8" s="482"/>
    </row>
    <row r="9" spans="1:10">
      <c r="A9" s="45" t="s">
        <v>825</v>
      </c>
      <c r="B9" s="488">
        <v>1</v>
      </c>
      <c r="C9" s="488"/>
      <c r="D9" s="488"/>
      <c r="E9" s="488"/>
      <c r="F9" s="488"/>
      <c r="G9" s="488"/>
    </row>
    <row r="11" spans="1:10">
      <c r="A11" s="514" t="str">
        <f>CONCATENATE("Financial Details: ",B1)</f>
        <v xml:space="preserve">Financial Details: </v>
      </c>
      <c r="B11" s="514"/>
      <c r="C11" s="514"/>
      <c r="D11" s="514"/>
      <c r="E11" s="514"/>
      <c r="F11" s="514"/>
      <c r="G11" s="514"/>
    </row>
    <row r="12" spans="1:10">
      <c r="A12" s="1"/>
      <c r="B12" s="515" t="s">
        <v>826</v>
      </c>
      <c r="C12" s="515"/>
      <c r="D12" s="515"/>
      <c r="E12" s="515"/>
      <c r="F12" s="1"/>
      <c r="G12" s="1"/>
    </row>
    <row r="13" spans="1:10" ht="38.25">
      <c r="A13" s="48" t="s">
        <v>711</v>
      </c>
      <c r="B13" s="147" t="s">
        <v>827</v>
      </c>
      <c r="C13" s="148" t="str">
        <f>IF($B$7&lt;&gt;"",CONCATENATE("FY ",$B$7-1,"-",$B$7-2000),"FY 2019-20")</f>
        <v>FY 2022-23</v>
      </c>
      <c r="D13" s="148" t="str">
        <f>IF($B$7&lt;&gt;"",CONCATENATE("FY ",$B$7-2,"-",$B$7-2001),"FY 2018-19")</f>
        <v>FY 2021-22</v>
      </c>
      <c r="E13" s="149" t="str">
        <f>IF($B$7&lt;&gt;"",CONCATENATE("FY ",$B$7-3,"-",$B$7-2002),"FY 2017-18")</f>
        <v>FY 2020-21</v>
      </c>
      <c r="F13" s="52" t="s">
        <v>712</v>
      </c>
      <c r="G13" s="52" t="s">
        <v>713</v>
      </c>
      <c r="H13" s="1"/>
      <c r="I13" s="1"/>
      <c r="J13" s="1"/>
    </row>
    <row r="14" spans="1:10">
      <c r="A14" s="150" t="s">
        <v>714</v>
      </c>
      <c r="B14" s="516"/>
      <c r="C14" s="517"/>
      <c r="D14" s="517"/>
      <c r="E14" s="518"/>
      <c r="F14" s="151"/>
      <c r="G14" s="151"/>
      <c r="H14" s="1"/>
      <c r="I14" s="1"/>
      <c r="J14" s="1"/>
    </row>
    <row r="15" spans="1:10" ht="15">
      <c r="A15" s="152" t="s">
        <v>715</v>
      </c>
      <c r="B15" s="153"/>
      <c r="C15" s="154"/>
      <c r="D15" s="154"/>
      <c r="E15" s="154">
        <f>'CSV1'!H4+'CSV1'!O4+'CSV1'!Q4+SUM('CSV1'!EM4:EN4)+SUM('CSV1'!GE4:GG4)+'CSV1'!V4+'CSV1'!ED4+'CSV1'!N4+'CSV1'!EH4+'CSV1'!EO4+'CSV1'!I4+'CSV1'!P4+'CSV1'!R4+'CSV1'!GH4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716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717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58" t="s">
        <v>718</v>
      </c>
      <c r="B18" s="159"/>
      <c r="C18" s="159">
        <f>'CSV1'!U6+'CSV1'!K6+'CSV1'!L6+'CSV1'!W6+'CSV1'!X6+'CSV1'!Z6+'CSV1'!AA6+'CSV1'!AB6+'CSV1'!J6</f>
        <v>0</v>
      </c>
      <c r="D18" s="159">
        <f>'CSV1'!U5+'CSV1'!K5+'CSV1'!L5+'CSV1'!W5+'CSV1'!X5+'CSV1'!Z5+'CSV1'!AA5+'CSV1'!AB5+'CSV1'!J5</f>
        <v>0</v>
      </c>
      <c r="E18" s="159">
        <f>'CSV1'!U4+'CSV1'!K4+'CSV1'!L4+'CSV1'!W4+'CSV1'!X4+'CSV1'!Z4+'CSV1'!AA4+'CSV1'!AB4+'CSV1'!J4</f>
        <v>0</v>
      </c>
      <c r="F18" s="160" t="str">
        <f t="shared" ref="F18:G43" si="3">IFERROR((C18-D18)/D18,"-")</f>
        <v>-</v>
      </c>
      <c r="G18" s="160" t="str">
        <f t="shared" si="3"/>
        <v>-</v>
      </c>
    </row>
    <row r="19" spans="1:7">
      <c r="A19" s="48" t="s">
        <v>719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0" t="s">
        <v>720</v>
      </c>
      <c r="B20" s="516"/>
      <c r="C20" s="517"/>
      <c r="D20" s="517"/>
      <c r="E20" s="518"/>
      <c r="F20" s="151"/>
      <c r="G20" s="151"/>
    </row>
    <row r="21" spans="1:7">
      <c r="A21" s="60" t="s">
        <v>721</v>
      </c>
      <c r="B21" s="55"/>
      <c r="C21" s="55">
        <f>'CSV1'!AK6+'CSV1'!AL6+'CSV1'!AM6+'CSV1'!AO6+'CSV1'!AP6+'CSV1'!AQ6+'CSV1'!AR6+'CSV1'!AS6+'CSV1'!AT6+'CSV1'!AU6+'CSV1'!AV6-('CSV1'!AF6+'CSV1'!AG6+'CSV1'!AH6)</f>
        <v>0</v>
      </c>
      <c r="D21" s="55">
        <f>'CSV1'!AK5+'CSV1'!AL5+'CSV1'!AM5+'CSV1'!AO5+'CSV1'!AP5+'CSV1'!AQ5+'CSV1'!AR5+'CSV1'!AS5+'CSV1'!AT5+'CSV1'!AU5+'CSV1'!AV5-('CSV1'!AF5+'CSV1'!AG5+'CSV1'!AH5)</f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722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723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0" t="s">
        <v>724</v>
      </c>
      <c r="B24" s="516"/>
      <c r="C24" s="517"/>
      <c r="D24" s="517"/>
      <c r="E24" s="518"/>
      <c r="F24" s="151"/>
      <c r="G24" s="151"/>
    </row>
    <row r="25" spans="1:7">
      <c r="A25" s="60" t="s">
        <v>725</v>
      </c>
      <c r="B25" s="55"/>
      <c r="C25" s="55"/>
      <c r="D25" s="55"/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726</v>
      </c>
      <c r="B26" s="55"/>
      <c r="C26" s="55"/>
      <c r="D26" s="55"/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727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728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729</v>
      </c>
      <c r="B29" s="55"/>
      <c r="C29" s="55">
        <f>'CSV1'!DQ6+'CSV1'!FX6</f>
        <v>0</v>
      </c>
      <c r="D29" s="55">
        <f>'CSV1'!DQ5</f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730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731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732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733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734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735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736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737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738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739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740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741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742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743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15" t="s">
        <v>826</v>
      </c>
      <c r="C44" s="515"/>
      <c r="D44" s="515"/>
      <c r="E44" s="515"/>
      <c r="F44" s="64"/>
      <c r="G44" s="64"/>
    </row>
    <row r="45" spans="1:10" ht="38.25">
      <c r="A45" s="48" t="s">
        <v>744</v>
      </c>
      <c r="B45" s="328" t="str">
        <f>B13</f>
        <v>Provisionals</v>
      </c>
      <c r="C45" s="65" t="str">
        <f>IF($B$7&lt;&gt;"",CONCATENATE("31/03/",$B$7),"31/03/2020")</f>
        <v>31/03/2023</v>
      </c>
      <c r="D45" s="65" t="str">
        <f>IF($B$7&lt;&gt;"",CONCATENATE("31/03/",$B$7-1),"31/03/2019")</f>
        <v>31/03/2022</v>
      </c>
      <c r="E45" s="66" t="str">
        <f>IF($B$7&lt;&gt;"",CONCATENATE("31/03/",$B$7-2),"31/03/2018")</f>
        <v>31/03/2021</v>
      </c>
      <c r="F45" s="52" t="s">
        <v>712</v>
      </c>
      <c r="G45" s="52" t="s">
        <v>713</v>
      </c>
    </row>
    <row r="46" spans="1:10">
      <c r="A46" s="150" t="s">
        <v>745</v>
      </c>
      <c r="B46" s="516"/>
      <c r="C46" s="517"/>
      <c r="D46" s="517"/>
      <c r="E46" s="518"/>
      <c r="F46" s="151"/>
      <c r="G46" s="151"/>
      <c r="H46" s="1"/>
      <c r="I46" s="1"/>
      <c r="J46" s="1"/>
    </row>
    <row r="47" spans="1:10">
      <c r="A47" s="60" t="s">
        <v>746</v>
      </c>
      <c r="B47" s="54"/>
      <c r="C47" s="55">
        <f>'CSV1'!I25+'CSV1'!J25+'CSV1'!I31+'CSV1'!J31+'CSV1'!H19+'CSV1'!H13+'CSV1'!H36+SUM('CSV1'!O36:U36)-SUM('CSV1'!H36:M36)</f>
        <v>0</v>
      </c>
      <c r="D47" s="55">
        <f>'CSV1'!I24+'CSV1'!J24+'CSV1'!H18+'CSV1'!H12+'CSV1'!H35+SUM('CSV1'!O35:U35)-SUM('CSV1'!H35:M35)</f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747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748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749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750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751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752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753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0" t="s">
        <v>754</v>
      </c>
      <c r="B55" s="516"/>
      <c r="C55" s="517"/>
      <c r="D55" s="517"/>
      <c r="E55" s="518"/>
      <c r="F55" s="151"/>
      <c r="G55" s="151"/>
      <c r="H55" s="1"/>
      <c r="I55" s="1"/>
      <c r="J55" s="1"/>
    </row>
    <row r="56" spans="1:10">
      <c r="A56" s="60" t="s">
        <v>755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756</v>
      </c>
      <c r="B57" s="54"/>
      <c r="C57" s="55">
        <f>'CSV1'!AL25+'CSV1'!BD25+SUM('CSV1'!U19:X19)+SUM('CSV1'!T13:U13)+'CSV1'!J36</f>
        <v>0</v>
      </c>
      <c r="D57" s="55">
        <f>'CSV1'!AL24+'CSV1'!BD24+SUM('CSV1'!U18:X18)+SUM('CSV1'!T12:U12)+'CSV1'!J35</f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757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758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759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0" t="s">
        <v>760</v>
      </c>
      <c r="B61" s="516"/>
      <c r="C61" s="517"/>
      <c r="D61" s="517"/>
      <c r="E61" s="518"/>
      <c r="F61" s="151"/>
      <c r="G61" s="151"/>
      <c r="H61" s="1"/>
      <c r="I61" s="1"/>
      <c r="J61" s="1"/>
    </row>
    <row r="62" spans="1:10">
      <c r="A62" s="60" t="s">
        <v>761</v>
      </c>
      <c r="B62" s="54"/>
      <c r="C62" s="55"/>
      <c r="D62" s="55"/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762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763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764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765</v>
      </c>
      <c r="B66" s="54"/>
      <c r="C66" s="55">
        <f>SUM('CSV1'!AX25:AZ25)+'CSV1'!AT31</f>
        <v>0</v>
      </c>
      <c r="D66" s="55">
        <f>SUM('CSV1'!AX24:AZ24)</f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766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767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768</v>
      </c>
      <c r="B69" s="113">
        <f>B54+B68</f>
        <v>0</v>
      </c>
      <c r="C69" s="113">
        <f t="shared" ref="C69:E69" si="32">C54+C68</f>
        <v>0</v>
      </c>
      <c r="D69" s="113">
        <f t="shared" si="32"/>
        <v>0</v>
      </c>
      <c r="E69" s="113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769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770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771</v>
      </c>
      <c r="B73" s="55"/>
      <c r="C73" s="55">
        <f>'CSV1'!CF25+'CSV1'!CJ25+'CSV1'!AI19+'CSV1'!AB13+SUM('CSV1'!CK25:CL25)+'CSV1'!AC13+'CSV1'!AJ19+'CSV1'!O36+'CSV1'!BY31+'CSV1'!BZ31+'CSV1'!CG31+'CSV1'!CL31+'CSV1'!CM31+'CSV1'!CP31</f>
        <v>0</v>
      </c>
      <c r="D73" s="55">
        <f>'CSV1'!CF24+'CSV1'!CJ24+'CSV1'!AI18+'CSV1'!AB12+SUM('CSV1'!CK24:CL24)+'CSV1'!AC12+'CSV1'!AJ18+'CSV1'!O35</f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772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773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774</v>
      </c>
      <c r="B76" s="55"/>
      <c r="C76" s="55">
        <f>'CSV1'!CN25+'CSV1'!CO25+'CSV1'!CP25+SUM('CSV1'!CR25:CW25)+'CSV1'!DA25+SUM('CSV1'!DP25:DQ25)+SUM('CSV1'!DS25:DX25)+SUM('CSV1'!AL19:AN19)+SUM('CSV1'!AP19:AT19)+SUM('CSV1'!AV19:AW19)+SUM('CSV1'!AY19:BC19)+'CSV1'!BX19+SUM('CSV1'!AE13:AF13)+SUM('CSV1'!AH13:AJ13)+'CSV1'!AY13+SUM('CSV1'!CR31:CS31)+SUM('CSV1'!CU31:CZ31)+'CSV1'!DF31+SUM('CSV1'!EG31:EH31)+SUM('CSV1'!EJ31:EO31)+'CSV1'!CD31</f>
        <v>0</v>
      </c>
      <c r="D76" s="55">
        <f>'CSV1'!CN24+'CSV1'!CO24+'CSV1'!CP24+SUM('CSV1'!CR24:CW24)+'CSV1'!DA24+SUM('CSV1'!DP24:DQ24)+SUM('CSV1'!DS24:DX24)+SUM('CSV1'!AL18:AN18)+SUM('CSV1'!AP18:AT18)+SUM('CSV1'!AV18:AW18)+SUM('CSV1'!AY18:BC18)+'CSV1'!BX18+SUM('CSV1'!AE12:AF12)+SUM('CSV1'!AH12:AJ12)+'CSV1'!AY12</f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775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776</v>
      </c>
      <c r="B78" s="54"/>
      <c r="C78" s="55">
        <f>-'CSV1'!AH25-'CSV1'!AO25+'CSV1'!CY25-'CSV1'!AB19+'CSV1'!CT19-'CSV1'!X13+'CSV1'!BP13-'CSV1'!AB31-'CSV1'!AN31+'CSV1'!DP31</f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9" t="s">
        <v>777</v>
      </c>
      <c r="B79" s="54"/>
      <c r="C79" s="55">
        <f>'CSV1'!DZ25+'CSV1'!BF19+'CSV1'!AN13+'CSV1'!DX31+SUM('CSV1'!ED25:EE25)+SUM('CSV1'!BJ19:BK19)+'CSV1'!AM13+SUM('CSV1'!EB31:EC31)+'CSV1'!EA25+'CSV1'!BG19+'CSV1'!AO13+'CSV1'!DY31+SUM('CSV1'!EB25:EC25)+'CSV1'!EF25+SUM('CSV1'!BH19:BI19)+'CSV1'!BL19+'CSV1'!AP13+'CSV1'!P36+SUM('CSV1'!DZ31:EA31)+'CSV1'!EE31</f>
        <v>0</v>
      </c>
      <c r="D79" s="55">
        <f>'CSV1'!DZ24+'CSV1'!BF18+'CSV1'!AN12+SUM('CSV1'!ED24:EE24)+SUM('CSV1'!BJ18:BK18)+'CSV1'!AM12+'CSV1'!EA24+'CSV1'!BG18+'CSV1'!AO12+SUM('CSV1'!EB24:EC24)+'CSV1'!EF24+SUM('CSV1'!BH18:BI18)+'CSV1'!BL18+'CSV1'!AP12+'CSV1'!P35</f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778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29" t="s">
        <v>779</v>
      </c>
      <c r="B81" s="54"/>
      <c r="C81" s="55">
        <f>'CSV1'!DJ25+'CSV1'!DL25+'CSV1'!EH25+'CSV1'!BN19+'CSV1'!DD31+'CSV1'!ES31</f>
        <v>0</v>
      </c>
      <c r="D81" s="55">
        <f>'CSV1'!DJ24+'CSV1'!DL24+'CSV1'!EH24+'CSV1'!BN18</f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9" t="s">
        <v>780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781</v>
      </c>
      <c r="B83" s="54"/>
      <c r="C83" s="55">
        <f>SUM('CSV1'!EK25:EN25)+SUM('CSV1'!BQ19:BS19)+SUM('CSV1'!AS13:AT13)+'CSV1'!BW13+'CSV1'!S36+'CSV1'!R36+SUM('CSV1'!EV31:EY31)+'CSV1'!FA31</f>
        <v>0</v>
      </c>
      <c r="D83" s="55">
        <f>SUM('CSV1'!EK24:EN24)+SUM('CSV1'!BQ18:BS18)+SUM('CSV1'!AS12:AT12)+'CSV1'!BW12+'CSV1'!S35+'CSV1'!R35</f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782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783</v>
      </c>
      <c r="B85" s="54"/>
      <c r="C85" s="55">
        <f>'CSV1'!CZ25+'CSV1'!DC25+'CSV1'!EQ25+'CSV1'!EV25+'CSV1'!BU19+'CSV1'!BW19+'CSV1'!AV13+'CSV1'!AX13+'CSV1'!T36+'CSV1'!U36+'CSV1'!DH31+SUM('CSV1'!DQ31:DS31)+SUM('CSV1'!FB31:FD31)+'CSV1'!FI31+SUM('CSV1'!FL31:FM31)+'CSV1'!FK31</f>
        <v>0</v>
      </c>
      <c r="D85" s="55">
        <f>'CSV1'!CZ24+'CSV1'!DC24+'CSV1'!EQ24+'CSV1'!EV24+'CSV1'!BU18+'CSV1'!BW18+'CSV1'!AV12+'CSV1'!AX12+'CSV1'!T35+'CSV1'!U35</f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784</v>
      </c>
      <c r="B86" s="54"/>
      <c r="C86" s="55">
        <f>'CSV1'!BY19+'CSV1'!AZ13</f>
        <v>0</v>
      </c>
      <c r="D86" s="55">
        <f>'CSV1'!BY18+'CSV1'!AZ12</f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768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 t="shared" ref="C88:E88" si="45">C87-C69</f>
        <v>0</v>
      </c>
      <c r="D88" s="74">
        <f t="shared" si="45"/>
        <v>0</v>
      </c>
      <c r="E88" s="74">
        <f t="shared" si="45"/>
        <v>0</v>
      </c>
      <c r="F88" s="75"/>
    </row>
    <row r="89" spans="1:7">
      <c r="A89" s="76" t="s">
        <v>785</v>
      </c>
      <c r="B89" s="50" t="str">
        <f>B45</f>
        <v>Provisionals</v>
      </c>
      <c r="C89" s="50" t="str">
        <f>C45</f>
        <v>31/03/2023</v>
      </c>
      <c r="D89" s="50" t="str">
        <f>D45</f>
        <v>31/03/2022</v>
      </c>
      <c r="E89" s="50" t="str">
        <f>E45</f>
        <v>31/03/2021</v>
      </c>
      <c r="F89" s="75"/>
      <c r="G89" s="75"/>
    </row>
    <row r="90" spans="1:7">
      <c r="A90" s="76" t="s">
        <v>786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787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788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789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790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791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792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793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794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795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796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797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798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799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800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801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802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803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804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805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806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807</v>
      </c>
      <c r="B112" s="165" t="str">
        <f>B89</f>
        <v>Provisionals</v>
      </c>
      <c r="C112" s="165" t="str">
        <f t="shared" ref="C112:E112" si="46">C89</f>
        <v>31/03/2023</v>
      </c>
      <c r="D112" s="165" t="str">
        <f t="shared" si="46"/>
        <v>31/03/2022</v>
      </c>
      <c r="E112" s="165" t="str">
        <f t="shared" si="46"/>
        <v>31/03/2021</v>
      </c>
    </row>
    <row r="113" spans="1:5">
      <c r="A113" s="3" t="s">
        <v>808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809</v>
      </c>
      <c r="B114" s="3"/>
      <c r="C114" s="3"/>
      <c r="D114" s="3"/>
      <c r="E114" s="3"/>
    </row>
    <row r="115" spans="1:5">
      <c r="A115" s="3" t="s">
        <v>570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810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811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812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813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814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815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816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817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777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782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818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39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819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820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821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2000000}">
      <formula1>INDIRECT(B5,1)</formula1>
    </dataValidation>
    <dataValidation type="whole" allowBlank="1" showInputMessage="1" showErrorMessage="1" sqref="B7" xr:uid="{00000000-0002-0000-1200-000003000000}">
      <formula1>YEAR(TODAY())-3</formula1>
      <formula2>YEAR(TODAY())</formula2>
    </dataValidation>
    <dataValidation type="list" allowBlank="1" showInputMessage="1" showErrorMessage="1" sqref="B8" xr:uid="{00000000-0002-0000-1200-000004000000}">
      <formula1>"Y,N"</formula1>
    </dataValidation>
    <dataValidation type="decimal" allowBlank="1" showInputMessage="1" showErrorMessage="1" sqref="B9" xr:uid="{00000000-0002-0000-12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482"/>
      <c r="C1" s="482"/>
      <c r="D1" s="482"/>
      <c r="E1" s="482"/>
      <c r="F1" s="482"/>
      <c r="G1" s="482"/>
    </row>
    <row r="2" spans="1:10">
      <c r="A2" s="45" t="s">
        <v>585</v>
      </c>
      <c r="B2" s="484"/>
      <c r="C2" s="484"/>
      <c r="D2" s="484"/>
      <c r="E2" s="484"/>
      <c r="F2" s="484"/>
      <c r="G2" s="484"/>
    </row>
    <row r="3" spans="1:10">
      <c r="A3" s="45" t="s">
        <v>589</v>
      </c>
      <c r="B3" s="482" t="s">
        <v>17</v>
      </c>
      <c r="C3" s="482"/>
      <c r="D3" s="482"/>
      <c r="E3" s="482"/>
      <c r="F3" s="482"/>
      <c r="G3" s="482"/>
    </row>
    <row r="4" spans="1:10">
      <c r="A4" s="45" t="s">
        <v>591</v>
      </c>
      <c r="B4" s="482" t="s">
        <v>184</v>
      </c>
      <c r="C4" s="482"/>
      <c r="D4" s="482"/>
      <c r="E4" s="482"/>
      <c r="F4" s="482"/>
      <c r="G4" s="482"/>
    </row>
    <row r="5" spans="1:10">
      <c r="A5" s="45" t="s">
        <v>593</v>
      </c>
      <c r="B5" s="482" t="s">
        <v>822</v>
      </c>
      <c r="C5" s="482"/>
      <c r="D5" s="482"/>
      <c r="E5" s="482"/>
      <c r="F5" s="482"/>
      <c r="G5" s="482"/>
    </row>
    <row r="6" spans="1:10">
      <c r="A6" s="45" t="s">
        <v>595</v>
      </c>
      <c r="B6" s="482" t="s">
        <v>823</v>
      </c>
      <c r="C6" s="482"/>
      <c r="D6" s="482"/>
      <c r="E6" s="482"/>
      <c r="F6" s="482"/>
      <c r="G6" s="482"/>
    </row>
    <row r="7" spans="1:10" ht="25.5">
      <c r="A7" s="45" t="s">
        <v>597</v>
      </c>
      <c r="B7" s="487">
        <v>2023</v>
      </c>
      <c r="C7" s="487"/>
      <c r="D7" s="487"/>
      <c r="E7" s="487"/>
      <c r="F7" s="487"/>
      <c r="G7" s="487"/>
    </row>
    <row r="8" spans="1:10">
      <c r="A8" s="45" t="s">
        <v>824</v>
      </c>
      <c r="B8" s="482" t="s">
        <v>20</v>
      </c>
      <c r="C8" s="482"/>
      <c r="D8" s="482"/>
      <c r="E8" s="482"/>
      <c r="F8" s="482"/>
      <c r="G8" s="482"/>
    </row>
    <row r="9" spans="1:10">
      <c r="A9" s="45" t="s">
        <v>825</v>
      </c>
      <c r="B9" s="488">
        <v>1</v>
      </c>
      <c r="C9" s="488"/>
      <c r="D9" s="488"/>
      <c r="E9" s="488"/>
      <c r="F9" s="488"/>
      <c r="G9" s="488"/>
    </row>
    <row r="11" spans="1:10">
      <c r="A11" s="514" t="str">
        <f>CONCATENATE("Financial Details: ",B1)</f>
        <v xml:space="preserve">Financial Details: </v>
      </c>
      <c r="B11" s="514"/>
      <c r="C11" s="514"/>
      <c r="D11" s="514"/>
      <c r="E11" s="514"/>
      <c r="F11" s="514"/>
      <c r="G11" s="514"/>
    </row>
    <row r="12" spans="1:10">
      <c r="A12" s="1"/>
      <c r="B12" s="515" t="s">
        <v>826</v>
      </c>
      <c r="C12" s="515"/>
      <c r="D12" s="515"/>
      <c r="E12" s="515"/>
      <c r="F12" s="1"/>
      <c r="G12" s="1"/>
    </row>
    <row r="13" spans="1:10" ht="38.25">
      <c r="A13" s="48" t="s">
        <v>711</v>
      </c>
      <c r="B13" s="147" t="s">
        <v>827</v>
      </c>
      <c r="C13" s="148" t="str">
        <f>IF($B$7&lt;&gt;"",CONCATENATE("FY ",$B$7-1,"-",$B$7-2000),"FY 2019-20")</f>
        <v>FY 2022-23</v>
      </c>
      <c r="D13" s="148" t="str">
        <f>IF($B$7&lt;&gt;"",CONCATENATE("FY ",$B$7-2,"-",$B$7-2001),"FY 2018-19")</f>
        <v>FY 2021-22</v>
      </c>
      <c r="E13" s="149" t="str">
        <f>IF($B$7&lt;&gt;"",CONCATENATE("FY ",$B$7-3,"-",$B$7-2002),"FY 2017-18")</f>
        <v>FY 2020-21</v>
      </c>
      <c r="F13" s="52" t="s">
        <v>712</v>
      </c>
      <c r="G13" s="52" t="s">
        <v>713</v>
      </c>
      <c r="H13" s="1"/>
      <c r="I13" s="1"/>
      <c r="J13" s="1"/>
    </row>
    <row r="14" spans="1:10">
      <c r="A14" s="150" t="s">
        <v>714</v>
      </c>
      <c r="B14" s="516"/>
      <c r="C14" s="517"/>
      <c r="D14" s="517"/>
      <c r="E14" s="518"/>
      <c r="F14" s="151"/>
      <c r="G14" s="151"/>
      <c r="H14" s="1"/>
      <c r="I14" s="1"/>
      <c r="J14" s="1"/>
    </row>
    <row r="15" spans="1:10" ht="15">
      <c r="A15" s="152" t="s">
        <v>715</v>
      </c>
      <c r="B15" s="153"/>
      <c r="C15" s="154"/>
      <c r="D15" s="154"/>
      <c r="E15" s="154">
        <f>'CSV2'!H4+'CSV2'!O4+'CSV2'!Q4+SUM('CSV2'!EM4:EN4)+SUM('CSV2'!GE4:GG4)+'CSV2'!V4+'CSV2'!ED4+'CSV2'!N4+'CSV2'!EH4+'CSV2'!EO4+'CSV2'!I4+'CSV2'!P4+'CSV2'!R4+'CSV2'!GH4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716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717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58" t="s">
        <v>718</v>
      </c>
      <c r="B18" s="159"/>
      <c r="C18" s="159">
        <f>'CSV2'!U6+'CSV2'!K6+'CSV2'!L6+'CSV2'!W6+'CSV2'!X6+'CSV2'!Z6+'CSV2'!AA6+'CSV2'!AB6+'CSV2'!J6</f>
        <v>0</v>
      </c>
      <c r="D18" s="159">
        <f>'CSV2'!U5+'CSV2'!K5+'CSV2'!L5+'CSV2'!W5+'CSV2'!X5+'CSV2'!Z5+'CSV2'!AA5+'CSV2'!AB5+'CSV2'!J5</f>
        <v>0</v>
      </c>
      <c r="E18" s="159">
        <f>'CSV2'!U4+'CSV2'!K4+'CSV2'!L4+'CSV2'!W4+'CSV2'!X4+'CSV2'!Z4+'CSV2'!AA4+'CSV2'!AB4+'CSV2'!J4</f>
        <v>0</v>
      </c>
      <c r="F18" s="160" t="str">
        <f t="shared" si="1"/>
        <v>-</v>
      </c>
      <c r="G18" s="160" t="str">
        <f t="shared" si="1"/>
        <v>-</v>
      </c>
    </row>
    <row r="19" spans="1:7">
      <c r="A19" s="48" t="s">
        <v>719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0" t="s">
        <v>720</v>
      </c>
      <c r="B20" s="516"/>
      <c r="C20" s="517"/>
      <c r="D20" s="517"/>
      <c r="E20" s="518"/>
      <c r="F20" s="151"/>
      <c r="G20" s="151"/>
    </row>
    <row r="21" spans="1:7">
      <c r="A21" s="60" t="s">
        <v>721</v>
      </c>
      <c r="B21" s="55"/>
      <c r="C21" s="55">
        <f>'CSV2'!AK6+'CSV2'!AL6+'CSV2'!AM6+'CSV2'!AO6+'CSV2'!AP6+'CSV2'!AQ6+'CSV2'!AR6+'CSV2'!AS6+'CSV2'!AT6+'CSV2'!AU6+'CSV2'!AV6-('CSV2'!AF6+'CSV2'!AG6+'CSV2'!AH6)</f>
        <v>0</v>
      </c>
      <c r="D21" s="55">
        <f>'CSV2'!AK5+'CSV2'!AL5+'CSV2'!AM5+'CSV2'!AO5+'CSV2'!AP5+'CSV2'!AQ5+'CSV2'!AR5+'CSV2'!AS5+'CSV2'!AT5+'CSV2'!AU5+'CSV2'!AV5-('CSV2'!AF5+'CSV2'!AG5+'CSV2'!AH5)</f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722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723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0" t="s">
        <v>724</v>
      </c>
      <c r="B24" s="516"/>
      <c r="C24" s="517"/>
      <c r="D24" s="517"/>
      <c r="E24" s="518"/>
      <c r="F24" s="151"/>
      <c r="G24" s="151"/>
    </row>
    <row r="25" spans="1:7">
      <c r="A25" s="60" t="s">
        <v>725</v>
      </c>
      <c r="B25" s="55"/>
      <c r="C25" s="55"/>
      <c r="D25" s="55"/>
      <c r="E25" s="55"/>
      <c r="F25" s="56" t="str">
        <f t="shared" si="1"/>
        <v>-</v>
      </c>
      <c r="G25" s="56" t="str">
        <f t="shared" si="1"/>
        <v>-</v>
      </c>
    </row>
    <row r="26" spans="1:7">
      <c r="A26" s="60" t="s">
        <v>726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727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728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729</v>
      </c>
      <c r="B29" s="55"/>
      <c r="C29" s="55">
        <f>'CSV2'!DQ6+'CSV2'!FX6</f>
        <v>0</v>
      </c>
      <c r="D29" s="55">
        <f>'CSV2'!DQ5</f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730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731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732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733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734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735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736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737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738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739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740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741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742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743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15" t="s">
        <v>826</v>
      </c>
      <c r="C44" s="515"/>
      <c r="D44" s="515"/>
      <c r="E44" s="515"/>
      <c r="F44" s="64"/>
      <c r="G44" s="64"/>
    </row>
    <row r="45" spans="1:10" ht="38.25">
      <c r="A45" s="48" t="s">
        <v>744</v>
      </c>
      <c r="B45" s="328" t="str">
        <f>B13</f>
        <v>Provisionals</v>
      </c>
      <c r="C45" s="65" t="str">
        <f>IF($B$7&lt;&gt;"",CONCATENATE("31/03/",$B$7),"31/03/2020")</f>
        <v>31/03/2023</v>
      </c>
      <c r="D45" s="65" t="str">
        <f>IF($B$7&lt;&gt;"",CONCATENATE("31/03/",$B$7-1),"31/03/2019")</f>
        <v>31/03/2022</v>
      </c>
      <c r="E45" s="66" t="str">
        <f>IF($B$7&lt;&gt;"",CONCATENATE("31/03/",$B$7-2),"31/03/2018")</f>
        <v>31/03/2021</v>
      </c>
      <c r="F45" s="52" t="s">
        <v>712</v>
      </c>
      <c r="G45" s="52" t="s">
        <v>713</v>
      </c>
    </row>
    <row r="46" spans="1:10">
      <c r="A46" s="150" t="s">
        <v>745</v>
      </c>
      <c r="B46" s="516"/>
      <c r="C46" s="517"/>
      <c r="D46" s="517"/>
      <c r="E46" s="518"/>
      <c r="F46" s="151"/>
      <c r="G46" s="151"/>
      <c r="H46" s="1"/>
      <c r="I46" s="1"/>
      <c r="J46" s="1"/>
    </row>
    <row r="47" spans="1:10">
      <c r="A47" s="60" t="s">
        <v>746</v>
      </c>
      <c r="B47" s="54"/>
      <c r="C47" s="55">
        <f>'CSV2'!I25+'CSV2'!J25+'CSV2'!I31+'CSV2'!J31+'CSV2'!H19+'CSV2'!H13+'CSV2'!H36+SUM('CSV2'!O36:U36)-SUM('CSV2'!H36:M36)</f>
        <v>0</v>
      </c>
      <c r="D47" s="55">
        <f>'CSV2'!I24+'CSV2'!J24+'CSV2'!H18+'CSV2'!H12+'CSV2'!H35+SUM('CSV2'!O35:U35)-SUM('CSV2'!H35:M35)</f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747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748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749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750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751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752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753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0" t="s">
        <v>754</v>
      </c>
      <c r="B55" s="516"/>
      <c r="C55" s="517"/>
      <c r="D55" s="517"/>
      <c r="E55" s="518"/>
      <c r="F55" s="151"/>
      <c r="G55" s="151"/>
      <c r="H55" s="1"/>
      <c r="I55" s="1"/>
      <c r="J55" s="1"/>
    </row>
    <row r="56" spans="1:10">
      <c r="A56" s="60" t="s">
        <v>755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756</v>
      </c>
      <c r="B57" s="54"/>
      <c r="C57" s="55">
        <f>'CSV2'!AL25+'CSV2'!BD25+SUM('CSV2'!U19:X19)+SUM('CSV2'!T13:U13)+'CSV2'!J36</f>
        <v>0</v>
      </c>
      <c r="D57" s="55">
        <f>'CSV2'!AL24+'CSV2'!BD24+SUM('CSV2'!U18:X18)+SUM('CSV2'!T12:U12)+'CSV2'!J35</f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757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758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759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0" t="s">
        <v>760</v>
      </c>
      <c r="B61" s="516"/>
      <c r="C61" s="517"/>
      <c r="D61" s="517"/>
      <c r="E61" s="518"/>
      <c r="F61" s="151"/>
      <c r="G61" s="151"/>
      <c r="H61" s="1"/>
      <c r="I61" s="1"/>
      <c r="J61" s="1"/>
    </row>
    <row r="62" spans="1:10">
      <c r="A62" s="60" t="s">
        <v>761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762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763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764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765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766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767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768</v>
      </c>
      <c r="B69" s="113">
        <f>B54+B68</f>
        <v>0</v>
      </c>
      <c r="C69" s="113">
        <f t="shared" ref="C69:E69" si="20">C54+C68</f>
        <v>0</v>
      </c>
      <c r="D69" s="113">
        <f t="shared" si="20"/>
        <v>0</v>
      </c>
      <c r="E69" s="113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769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770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771</v>
      </c>
      <c r="B73" s="55"/>
      <c r="C73" s="55">
        <f>'CSV2'!CF25+'CSV2'!CJ25+'CSV2'!AI19+'CSV2'!AB13+SUM('CSV2'!CK25:CL25)+'CSV2'!AC13+'CSV2'!AJ19+'CSV2'!O36+'CSV2'!BY31+'CSV2'!BZ31+'CSV2'!CG31+'CSV2'!CL31+'CSV2'!CM31+'CSV2'!CP31</f>
        <v>0</v>
      </c>
      <c r="D73" s="55">
        <f>'CSV2'!CF24+'CSV2'!CJ24+'CSV2'!AI18+'CSV2'!AB12+SUM('CSV2'!CK24:CL24)+'CSV2'!AC12+'CSV2'!AJ18+'CSV2'!O35</f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772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773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774</v>
      </c>
      <c r="B76" s="55"/>
      <c r="C76" s="55">
        <f>'CSV2'!CN25+'CSV2'!CO25+'CSV2'!CP25+SUM('CSV2'!CR25:CW25)+'CSV2'!DA25+SUM('CSV2'!DP25:DQ25)+SUM('CSV2'!DS25:DX25)+SUM('CSV2'!AL19:AN19)+SUM('CSV2'!AP19:AT19)+SUM('CSV2'!AV19:AW19)+SUM('CSV2'!AY19:BC19)+'CSV2'!BX19+SUM('CSV2'!AE13:AF13)+SUM('CSV2'!AH13:AJ13)+'CSV2'!AY13+SUM('CSV2'!CR31:CS31)+SUM('CSV2'!CU31:CZ31)+'CSV2'!DF31+SUM('CSV2'!EG31:EH31)+SUM('CSV2'!EJ31:EO31)+'CSV2'!CD31</f>
        <v>0</v>
      </c>
      <c r="D76" s="55">
        <f>'CSV2'!CN24+'CSV2'!CO24+'CSV2'!CP24+SUM('CSV2'!CR24:CW24)+'CSV2'!DA24+SUM('CSV2'!DP24:DQ24)+SUM('CSV2'!DS24:DX24)+SUM('CSV2'!AL18:AN18)+SUM('CSV2'!AP18:AT18)+SUM('CSV2'!AV18:AW18)+SUM('CSV2'!AY18:BC18)+'CSV2'!BX18+SUM('CSV2'!AE12:AF12)+SUM('CSV2'!AH12:AJ12)+'CSV2'!AY12</f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775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776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9" t="s">
        <v>777</v>
      </c>
      <c r="B79" s="54"/>
      <c r="C79" s="55">
        <f>'CSV2'!DZ25+'CSV2'!BF19+'CSV2'!AN13+'CSV2'!DX31+SUM('CSV2'!ED25:EE25)+SUM('CSV2'!BJ19:BK19)+'CSV2'!AM13+SUM('CSV2'!EB31:EC31)+'CSV2'!EA25+'CSV2'!BG19+'CSV2'!AO13+'CSV2'!DY31+SUM('CSV2'!EB25:EC25)+'CSV2'!EF25+SUM('CSV2'!BH19:BI19)+'CSV2'!BL19+'CSV2'!AP13+'CSV2'!P36+SUM('CSV2'!DZ31:EA31)+'CSV2'!EE31</f>
        <v>0</v>
      </c>
      <c r="D79" s="55">
        <f>'CSV2'!DZ24+'CSV2'!BF18+'CSV2'!AN12+SUM('CSV2'!ED24:EE24)+SUM('CSV2'!BJ18:BK18)+'CSV2'!AM12+'CSV2'!EA24+'CSV2'!BG18+'CSV2'!AO12+SUM('CSV2'!EB24:EC24)+'CSV2'!EF24+SUM('CSV2'!BH18:BI18)+'CSV2'!BL18+'CSV2'!AP12+'CSV2'!P35</f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778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29" t="s">
        <v>779</v>
      </c>
      <c r="B81" s="54"/>
      <c r="C81" s="55">
        <f>'CSV2'!DJ25+'CSV2'!DL25+'CSV2'!EH25+'CSV2'!BN19+'CSV2'!DD31+'CSV2'!ES31</f>
        <v>0</v>
      </c>
      <c r="D81" s="55">
        <f>'CSV2'!DJ24+'CSV2'!DL24+'CSV2'!EH24+'CSV2'!BN18</f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9" t="s">
        <v>780</v>
      </c>
      <c r="B82" s="54"/>
      <c r="C82" s="55">
        <f>SUM('CSV2'!DH25:DI25)+'CSV2'!EI25+'CSV2'!BO19+'CSV2'!AR13+'CSV2'!Q36+SUM('CSV2'!DB31:DC31)+SUM('CSV2'!DM31:DN31)+SUM('CSV2'!EQ31:ER31)</f>
        <v>0</v>
      </c>
      <c r="D82" s="55">
        <f>SUM('CSV2'!DH24:DI24)+'CSV2'!EI24+'CSV2'!BO18+'CSV2'!AR12+'CSV2'!Q35</f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781</v>
      </c>
      <c r="B83" s="54"/>
      <c r="C83" s="55">
        <f>SUM('CSV2'!EK25:EN25)+SUM('CSV2'!BQ19:BS19)+SUM('CSV2'!AS13:AT13)+'CSV2'!BW13+'CSV2'!S36+'CSV2'!R36+SUM('CSV2'!EV31:EY31)+'CSV2'!FA31</f>
        <v>0</v>
      </c>
      <c r="D83" s="55">
        <f>SUM('CSV2'!EK24:EN24)+SUM('CSV2'!BQ18:BS18)+SUM('CSV2'!AS12:AT12)+'CSV2'!BW12+'CSV2'!S35+'CSV2'!R35</f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782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783</v>
      </c>
      <c r="B85" s="54"/>
      <c r="C85" s="55">
        <f>'CSV2'!CZ25+'CSV2'!DC25+'CSV2'!EQ25+'CSV2'!EV25+'CSV2'!BU19+'CSV2'!BW19+'CSV2'!AV13+'CSV2'!AX13+'CSV2'!T36+'CSV2'!U36+'CSV2'!DH31+SUM('CSV2'!DQ31:DS31)+SUM('CSV2'!FB31:FD31)+'CSV2'!FI31+SUM('CSV2'!FL31:FM31)+'CSV2'!FK31</f>
        <v>0</v>
      </c>
      <c r="D85" s="55">
        <f>'CSV2'!CZ24+'CSV2'!DC24+'CSV2'!EQ24+'CSV2'!EV24+'CSV2'!BU18+'CSV2'!BW18+'CSV2'!AV12+'CSV2'!AX12+'CSV2'!T35+'CSV2'!U35</f>
        <v>0</v>
      </c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784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768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785</v>
      </c>
      <c r="B89" s="50" t="str">
        <f>B45</f>
        <v>Provisionals</v>
      </c>
      <c r="C89" s="50" t="str">
        <f>C45</f>
        <v>31/03/2023</v>
      </c>
      <c r="D89" s="50" t="str">
        <f>D45</f>
        <v>31/03/2022</v>
      </c>
      <c r="E89" s="50" t="str">
        <f>E45</f>
        <v>31/03/2021</v>
      </c>
      <c r="F89" s="75"/>
      <c r="G89" s="75"/>
    </row>
    <row r="90" spans="1:7">
      <c r="A90" s="76" t="s">
        <v>786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787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788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789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790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791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792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793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794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795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796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797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798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799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800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801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802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803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804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805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806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807</v>
      </c>
      <c r="B112" s="165" t="str">
        <f>B89</f>
        <v>Provisionals</v>
      </c>
      <c r="C112" s="165" t="str">
        <f t="shared" ref="C112:E112" si="27">C89</f>
        <v>31/03/2023</v>
      </c>
      <c r="D112" s="165" t="str">
        <f t="shared" si="27"/>
        <v>31/03/2022</v>
      </c>
      <c r="E112" s="165" t="str">
        <f t="shared" si="27"/>
        <v>31/03/2021</v>
      </c>
    </row>
    <row r="113" spans="1:5">
      <c r="A113" s="3" t="s">
        <v>808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809</v>
      </c>
      <c r="B114" s="3"/>
      <c r="C114" s="3"/>
      <c r="D114" s="3"/>
      <c r="E114" s="3"/>
    </row>
    <row r="115" spans="1:5">
      <c r="A115" s="3" t="s">
        <v>570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810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811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812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813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814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815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816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817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777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782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818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39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819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820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821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2000000}">
      <formula1>INDIRECT(B5,1)</formula1>
    </dataValidation>
    <dataValidation type="whole" allowBlank="1" showInputMessage="1" showErrorMessage="1" sqref="B7" xr:uid="{00000000-0002-0000-1300-000003000000}">
      <formula1>YEAR(TODAY())-3</formula1>
      <formula2>YEAR(TODAY())</formula2>
    </dataValidation>
    <dataValidation type="list" allowBlank="1" showInputMessage="1" showErrorMessage="1" sqref="B8" xr:uid="{00000000-0002-0000-1300-000004000000}">
      <formula1>"Y,N"</formula1>
    </dataValidation>
    <dataValidation type="decimal" allowBlank="1" showInputMessage="1" showErrorMessage="1" sqref="B9" xr:uid="{00000000-0002-0000-13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topLeftCell="A7" workbookViewId="0">
      <selection activeCell="A18" sqref="A18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482"/>
      <c r="C1" s="482"/>
      <c r="D1" s="482"/>
      <c r="E1" s="482"/>
      <c r="F1" s="482"/>
      <c r="G1" s="482"/>
    </row>
    <row r="2" spans="1:10">
      <c r="A2" s="45" t="s">
        <v>585</v>
      </c>
      <c r="B2" s="484"/>
      <c r="C2" s="484"/>
      <c r="D2" s="484"/>
      <c r="E2" s="484"/>
      <c r="F2" s="484"/>
      <c r="G2" s="484"/>
    </row>
    <row r="3" spans="1:10">
      <c r="A3" s="45" t="s">
        <v>589</v>
      </c>
      <c r="B3" s="482"/>
      <c r="C3" s="482"/>
      <c r="D3" s="482"/>
      <c r="E3" s="482"/>
      <c r="F3" s="482"/>
      <c r="G3" s="482"/>
    </row>
    <row r="4" spans="1:10">
      <c r="A4" s="45" t="s">
        <v>591</v>
      </c>
      <c r="B4" s="482"/>
      <c r="C4" s="482"/>
      <c r="D4" s="482"/>
      <c r="E4" s="482"/>
      <c r="F4" s="482"/>
      <c r="G4" s="482"/>
    </row>
    <row r="5" spans="1:10">
      <c r="A5" s="45" t="s">
        <v>593</v>
      </c>
      <c r="B5" s="482"/>
      <c r="C5" s="482"/>
      <c r="D5" s="482"/>
      <c r="E5" s="482"/>
      <c r="F5" s="482"/>
      <c r="G5" s="482"/>
    </row>
    <row r="6" spans="1:10">
      <c r="A6" s="45" t="s">
        <v>595</v>
      </c>
      <c r="B6" s="482"/>
      <c r="C6" s="482"/>
      <c r="D6" s="482"/>
      <c r="E6" s="482"/>
      <c r="F6" s="482"/>
      <c r="G6" s="482"/>
    </row>
    <row r="7" spans="1:10" ht="25.5">
      <c r="A7" s="45" t="s">
        <v>597</v>
      </c>
      <c r="B7" s="487"/>
      <c r="C7" s="487"/>
      <c r="D7" s="487"/>
      <c r="E7" s="487"/>
      <c r="F7" s="487"/>
      <c r="G7" s="487"/>
    </row>
    <row r="8" spans="1:10">
      <c r="A8" s="45" t="s">
        <v>824</v>
      </c>
      <c r="B8" s="482"/>
      <c r="C8" s="482"/>
      <c r="D8" s="482"/>
      <c r="E8" s="482"/>
      <c r="F8" s="482"/>
      <c r="G8" s="482"/>
    </row>
    <row r="9" spans="1:10">
      <c r="A9" s="45" t="s">
        <v>825</v>
      </c>
      <c r="B9" s="488"/>
      <c r="C9" s="488"/>
      <c r="D9" s="488"/>
      <c r="E9" s="488"/>
      <c r="F9" s="488"/>
      <c r="G9" s="488"/>
    </row>
    <row r="11" spans="1:10">
      <c r="A11" s="514" t="str">
        <f>CONCATENATE("Financial Details: ",B1)</f>
        <v xml:space="preserve">Financial Details: </v>
      </c>
      <c r="B11" s="514"/>
      <c r="C11" s="514"/>
      <c r="D11" s="514"/>
      <c r="E11" s="514"/>
      <c r="F11" s="514"/>
      <c r="G11" s="514"/>
    </row>
    <row r="12" spans="1:10">
      <c r="A12" s="1"/>
      <c r="B12" s="515" t="s">
        <v>826</v>
      </c>
      <c r="C12" s="515"/>
      <c r="D12" s="515"/>
      <c r="E12" s="515"/>
      <c r="F12" s="1"/>
      <c r="G12" s="1"/>
    </row>
    <row r="13" spans="1:10" ht="38.25">
      <c r="A13" s="48" t="s">
        <v>711</v>
      </c>
      <c r="B13" s="147" t="s">
        <v>827</v>
      </c>
      <c r="C13" s="148" t="str">
        <f>IF($B$7&lt;&gt;"",CONCATENATE("FY ",$B$7-1,"-",$B$7-2000),"FY 2019-20")</f>
        <v>FY 2019-20</v>
      </c>
      <c r="D13" s="148" t="str">
        <f>IF($B$7&lt;&gt;"",CONCATENATE("FY ",$B$7-2,"-",$B$7-2001),"FY 2018-19")</f>
        <v>FY 2018-19</v>
      </c>
      <c r="E13" s="149" t="str">
        <f>IF($B$7&lt;&gt;"",CONCATENATE("FY ",$B$7-3,"-",$B$7-2002),"FY 2017-18")</f>
        <v>FY 2017-18</v>
      </c>
      <c r="F13" s="52" t="s">
        <v>712</v>
      </c>
      <c r="G13" s="52" t="s">
        <v>713</v>
      </c>
      <c r="H13" s="1"/>
      <c r="I13" s="1"/>
      <c r="J13" s="1"/>
    </row>
    <row r="14" spans="1:10">
      <c r="A14" s="150" t="s">
        <v>714</v>
      </c>
      <c r="B14" s="516"/>
      <c r="C14" s="517"/>
      <c r="D14" s="517"/>
      <c r="E14" s="518"/>
      <c r="F14" s="151"/>
      <c r="G14" s="151"/>
      <c r="H14" s="1"/>
      <c r="I14" s="1"/>
      <c r="J14" s="1"/>
    </row>
    <row r="15" spans="1:10" ht="15">
      <c r="A15" s="152" t="s">
        <v>715</v>
      </c>
      <c r="B15" s="153"/>
      <c r="C15" s="154">
        <f>'CSV3'!H6+'CSV3'!O6+'CSV3'!Q6+SUM('CSV3'!EM6:EN6)+SUM('CSV3'!GE6:GG6)+'CSV3'!V6+'CSV3'!ED6++'CSV3'!N6+'CSV3'!EH6+'CSV3'!EO6+'CSV3'!I6+'CSV3'!P6+'CSV3'!R6+'CSV3'!GH6</f>
        <v>0</v>
      </c>
      <c r="D15" s="154">
        <f>'CSV3'!H5+'CSV3'!O5+'CSV3'!Q5+SUM('CSV3'!EM5:EN5)+SUM('CSV3'!GE5:GG5)+'CSV3'!V5+'CSV3'!ED5+'CSV3'!N5+'CSV3'!EH5+'CSV3'!EO5+'CSV3'!I5+'CSV3'!P5+'CSV3'!R5+'CSV3'!GH5</f>
        <v>0</v>
      </c>
      <c r="E15" s="154">
        <f>'CSV3'!H4+'CSV3'!O4+'CSV3'!Q4+SUM('CSV3'!EM4:EN4)+SUM('CSV3'!GE4:GG4)+'CSV3'!V4+'CSV3'!ED4+'CSV3'!N4+'CSV3'!EH4+'CSV3'!EO4+'CSV3'!I4+'CSV3'!P4+'CSV3'!R4+'CSV3'!GH4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716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717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58" t="s">
        <v>718</v>
      </c>
      <c r="B18" s="159"/>
      <c r="C18" s="159">
        <f>'CSV3'!U6+'CSV3'!K6+'CSV3'!L6+'CSV3'!W6+'CSV3'!X6+'CSV3'!Z6+'CSV3'!AA6+'CSV3'!AB6+'CSV3'!J6</f>
        <v>0</v>
      </c>
      <c r="D18" s="159">
        <f>'CSV3'!U5+'CSV3'!K5+'CSV3'!L5+'CSV3'!W5+'CSV3'!X5+'CSV3'!Z5+'CSV3'!AA5+'CSV3'!AB5+'CSV3'!J5</f>
        <v>0</v>
      </c>
      <c r="E18" s="159">
        <f>'CSV3'!U4+'CSV3'!K4+'CSV3'!L4+'CSV3'!W4+'CSV3'!X4+'CSV3'!Z4+'CSV3'!AA4+'CSV3'!AB4+'CSV3'!J4</f>
        <v>0</v>
      </c>
      <c r="F18" s="160" t="str">
        <f t="shared" si="1"/>
        <v>-</v>
      </c>
      <c r="G18" s="160" t="str">
        <f t="shared" si="1"/>
        <v>-</v>
      </c>
    </row>
    <row r="19" spans="1:7">
      <c r="A19" s="48" t="s">
        <v>719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0" t="s">
        <v>720</v>
      </c>
      <c r="B20" s="516"/>
      <c r="C20" s="517"/>
      <c r="D20" s="517"/>
      <c r="E20" s="518"/>
      <c r="F20" s="151"/>
      <c r="G20" s="151"/>
    </row>
    <row r="21" spans="1:7">
      <c r="A21" s="60" t="s">
        <v>721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722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723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0" t="s">
        <v>724</v>
      </c>
      <c r="B24" s="516"/>
      <c r="C24" s="517"/>
      <c r="D24" s="517"/>
      <c r="E24" s="518"/>
      <c r="F24" s="151"/>
      <c r="G24" s="151"/>
    </row>
    <row r="25" spans="1:7">
      <c r="A25" s="60" t="s">
        <v>725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726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727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728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729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730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731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732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733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734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735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736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737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738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739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740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741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742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743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15" t="s">
        <v>826</v>
      </c>
      <c r="C44" s="515"/>
      <c r="D44" s="515"/>
      <c r="E44" s="515"/>
      <c r="F44" s="64"/>
      <c r="G44" s="64"/>
    </row>
    <row r="45" spans="1:10" ht="38.25">
      <c r="A45" s="48" t="s">
        <v>744</v>
      </c>
      <c r="B45" s="328" t="str">
        <f>B13</f>
        <v>Provisionals</v>
      </c>
      <c r="C45" s="330" t="str">
        <f>IF($B$7&lt;&gt;"",CONCATENATE("31/03/",$B$7),"31/03/2020")</f>
        <v>31/03/2020</v>
      </c>
      <c r="D45" s="330" t="str">
        <f>IF($B$7&lt;&gt;"",CONCATENATE("31/03/",$B$7-1),"31/03/2019")</f>
        <v>31/03/2019</v>
      </c>
      <c r="E45" s="331" t="str">
        <f>IF($B$7&lt;&gt;"",CONCATENATE("31/03/",$B$7-2),"31/03/2018")</f>
        <v>31/03/2018</v>
      </c>
      <c r="F45" s="52" t="s">
        <v>712</v>
      </c>
      <c r="G45" s="52" t="s">
        <v>713</v>
      </c>
    </row>
    <row r="46" spans="1:10">
      <c r="A46" s="150" t="s">
        <v>745</v>
      </c>
      <c r="B46" s="516"/>
      <c r="C46" s="517"/>
      <c r="D46" s="517"/>
      <c r="E46" s="518"/>
      <c r="F46" s="151"/>
      <c r="G46" s="151"/>
      <c r="H46" s="1"/>
      <c r="I46" s="1"/>
      <c r="J46" s="1"/>
    </row>
    <row r="47" spans="1:10">
      <c r="A47" s="60" t="s">
        <v>746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747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748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749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750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751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752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753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0" t="s">
        <v>754</v>
      </c>
      <c r="B55" s="516"/>
      <c r="C55" s="517"/>
      <c r="D55" s="517"/>
      <c r="E55" s="518"/>
      <c r="F55" s="151"/>
      <c r="G55" s="151"/>
      <c r="H55" s="1"/>
      <c r="I55" s="1"/>
      <c r="J55" s="1"/>
    </row>
    <row r="56" spans="1:10">
      <c r="A56" s="60" t="s">
        <v>755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756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757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758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759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0" t="s">
        <v>760</v>
      </c>
      <c r="B61" s="516"/>
      <c r="C61" s="517"/>
      <c r="D61" s="517"/>
      <c r="E61" s="518"/>
      <c r="F61" s="151"/>
      <c r="G61" s="151"/>
      <c r="H61" s="1"/>
      <c r="I61" s="1"/>
      <c r="J61" s="1"/>
    </row>
    <row r="62" spans="1:10">
      <c r="A62" s="60" t="s">
        <v>761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762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763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764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765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766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767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768</v>
      </c>
      <c r="B69" s="113">
        <f>B54+B68</f>
        <v>0</v>
      </c>
      <c r="C69" s="113">
        <f t="shared" ref="C69:E69" si="20">C54+C68</f>
        <v>0</v>
      </c>
      <c r="D69" s="113">
        <f t="shared" si="20"/>
        <v>0</v>
      </c>
      <c r="E69" s="113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769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770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771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772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773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774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775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776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9" t="s">
        <v>777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778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29" t="s">
        <v>779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9" t="s">
        <v>780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781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782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783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784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768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785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786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787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788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789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790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791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792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793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794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795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796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797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798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799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800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801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802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803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804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805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806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807</v>
      </c>
      <c r="B112" s="165" t="str">
        <f>B89</f>
        <v>Provisionals</v>
      </c>
      <c r="C112" s="165" t="str">
        <f t="shared" ref="C112:E112" si="27">C89</f>
        <v>31/03/2020</v>
      </c>
      <c r="D112" s="165" t="str">
        <f t="shared" si="27"/>
        <v>31/03/2019</v>
      </c>
      <c r="E112" s="165" t="str">
        <f t="shared" si="27"/>
        <v>31/03/2018</v>
      </c>
    </row>
    <row r="113" spans="1:5">
      <c r="A113" s="3" t="s">
        <v>808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809</v>
      </c>
      <c r="B114" s="3"/>
      <c r="C114" s="3"/>
      <c r="D114" s="3"/>
      <c r="E114" s="3"/>
    </row>
    <row r="115" spans="1:5">
      <c r="A115" s="3" t="s">
        <v>570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810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811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812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813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814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815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816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817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777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782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818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39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819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820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821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2000000}">
      <formula1>INDIRECT(B5,1)</formula1>
    </dataValidation>
    <dataValidation type="whole" allowBlank="1" showInputMessage="1" showErrorMessage="1" sqref="B7" xr:uid="{00000000-0002-0000-1400-000003000000}">
      <formula1>YEAR(TODAY())-3</formula1>
      <formula2>YEAR(TODAY())</formula2>
    </dataValidation>
    <dataValidation type="list" allowBlank="1" showInputMessage="1" showErrorMessage="1" sqref="B8" xr:uid="{00000000-0002-0000-1400-000004000000}">
      <formula1>"Y,N"</formula1>
    </dataValidation>
    <dataValidation type="decimal" allowBlank="1" showInputMessage="1" showErrorMessage="1" sqref="B9" xr:uid="{00000000-0002-0000-14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482"/>
      <c r="C1" s="482"/>
      <c r="D1" s="482"/>
      <c r="E1" s="482"/>
      <c r="F1" s="482"/>
      <c r="G1" s="482"/>
    </row>
    <row r="2" spans="1:10">
      <c r="A2" s="45" t="s">
        <v>585</v>
      </c>
      <c r="B2" s="484"/>
      <c r="C2" s="484"/>
      <c r="D2" s="484"/>
      <c r="E2" s="484"/>
      <c r="F2" s="484"/>
      <c r="G2" s="484"/>
    </row>
    <row r="3" spans="1:10">
      <c r="A3" s="45" t="s">
        <v>589</v>
      </c>
      <c r="B3" s="482"/>
      <c r="C3" s="482"/>
      <c r="D3" s="482"/>
      <c r="E3" s="482"/>
      <c r="F3" s="482"/>
      <c r="G3" s="482"/>
    </row>
    <row r="4" spans="1:10">
      <c r="A4" s="45" t="s">
        <v>591</v>
      </c>
      <c r="B4" s="482"/>
      <c r="C4" s="482"/>
      <c r="D4" s="482"/>
      <c r="E4" s="482"/>
      <c r="F4" s="482"/>
      <c r="G4" s="482"/>
    </row>
    <row r="5" spans="1:10">
      <c r="A5" s="45" t="s">
        <v>593</v>
      </c>
      <c r="B5" s="482"/>
      <c r="C5" s="482"/>
      <c r="D5" s="482"/>
      <c r="E5" s="482"/>
      <c r="F5" s="482"/>
      <c r="G5" s="482"/>
    </row>
    <row r="6" spans="1:10">
      <c r="A6" s="45" t="s">
        <v>595</v>
      </c>
      <c r="B6" s="482"/>
      <c r="C6" s="482"/>
      <c r="D6" s="482"/>
      <c r="E6" s="482"/>
      <c r="F6" s="482"/>
      <c r="G6" s="482"/>
    </row>
    <row r="7" spans="1:10" ht="25.5">
      <c r="A7" s="45" t="s">
        <v>597</v>
      </c>
      <c r="B7" s="487"/>
      <c r="C7" s="487"/>
      <c r="D7" s="487"/>
      <c r="E7" s="487"/>
      <c r="F7" s="487"/>
      <c r="G7" s="487"/>
    </row>
    <row r="8" spans="1:10">
      <c r="A8" s="45" t="s">
        <v>824</v>
      </c>
      <c r="B8" s="482"/>
      <c r="C8" s="482"/>
      <c r="D8" s="482"/>
      <c r="E8" s="482"/>
      <c r="F8" s="482"/>
      <c r="G8" s="482"/>
    </row>
    <row r="9" spans="1:10">
      <c r="A9" s="45" t="s">
        <v>825</v>
      </c>
      <c r="B9" s="488"/>
      <c r="C9" s="488"/>
      <c r="D9" s="488"/>
      <c r="E9" s="488"/>
      <c r="F9" s="488"/>
      <c r="G9" s="488"/>
    </row>
    <row r="11" spans="1:10">
      <c r="A11" s="514" t="str">
        <f>CONCATENATE("Financial Details: ",B1)</f>
        <v xml:space="preserve">Financial Details: </v>
      </c>
      <c r="B11" s="514"/>
      <c r="C11" s="514"/>
      <c r="D11" s="514"/>
      <c r="E11" s="514"/>
      <c r="F11" s="514"/>
      <c r="G11" s="514"/>
    </row>
    <row r="12" spans="1:10">
      <c r="A12" s="1"/>
      <c r="B12" s="515" t="s">
        <v>826</v>
      </c>
      <c r="C12" s="515"/>
      <c r="D12" s="515"/>
      <c r="E12" s="515"/>
      <c r="F12" s="1"/>
      <c r="G12" s="1"/>
    </row>
    <row r="13" spans="1:10" ht="38.25">
      <c r="A13" s="48" t="s">
        <v>711</v>
      </c>
      <c r="B13" s="147" t="s">
        <v>827</v>
      </c>
      <c r="C13" s="148" t="str">
        <f>IF($B$7&lt;&gt;"",CONCATENATE("FY ",$B$7-1,"-",$B$7-2000),"FY 2019-20")</f>
        <v>FY 2019-20</v>
      </c>
      <c r="D13" s="148" t="str">
        <f>IF($B$7&lt;&gt;"",CONCATENATE("FY ",$B$7-2,"-",$B$7-2001),"FY 2018-19")</f>
        <v>FY 2018-19</v>
      </c>
      <c r="E13" s="149" t="str">
        <f>IF($B$7&lt;&gt;"",CONCATENATE("FY ",$B$7-3,"-",$B$7-2002),"FY 2017-18")</f>
        <v>FY 2017-18</v>
      </c>
      <c r="F13" s="52" t="s">
        <v>712</v>
      </c>
      <c r="G13" s="52" t="s">
        <v>713</v>
      </c>
      <c r="H13" s="1"/>
      <c r="I13" s="1"/>
      <c r="J13" s="1"/>
    </row>
    <row r="14" spans="1:10">
      <c r="A14" s="150" t="s">
        <v>714</v>
      </c>
      <c r="B14" s="516"/>
      <c r="C14" s="517"/>
      <c r="D14" s="517"/>
      <c r="E14" s="518"/>
      <c r="F14" s="151"/>
      <c r="G14" s="151"/>
      <c r="H14" s="1"/>
      <c r="I14" s="1"/>
      <c r="J14" s="1"/>
    </row>
    <row r="15" spans="1:10" ht="15">
      <c r="A15" s="152" t="s">
        <v>715</v>
      </c>
      <c r="B15" s="153"/>
      <c r="C15" s="154">
        <f>'CSV4'!H6+'CSV4'!O6+'CSV4'!Q6+SUM('CSV4'!EM6:EN6)+SUM('CSV4'!GE6:GG6)+'CSV4'!V6+'CSV4'!ED6++'CSV4'!N6+'CSV4'!EH6+'CSV4'!EO6+'CSV4'!I6+'CSV4'!P6+'CSV4'!R6+'CSV4'!GH6</f>
        <v>0</v>
      </c>
      <c r="D15" s="154">
        <f>'CSV4'!H5+'CSV4'!O5+'CSV4'!Q5+SUM('CSV4'!EM5:EN5)+SUM('CSV4'!GE5:GG5)+'CSV4'!V5+'CSV4'!ED5+'CSV4'!N5+'CSV4'!EH5+'CSV4'!EO5+'CSV4'!I5+'CSV4'!P5+'CSV4'!R5+'CSV4'!GH5</f>
        <v>0</v>
      </c>
      <c r="E15" s="154">
        <f>'CSV4'!H4+'CSV4'!O4+'CSV4'!Q4+SUM('CSV4'!EM4:EN4)+SUM('CSV4'!GE4:GG4)+'CSV4'!V4+'CSV4'!ED4+'CSV4'!N4+'CSV4'!EH4+'CSV4'!EO4+'CSV4'!I4+'CSV4'!P4+'CSV4'!R4+'CSV4'!GH4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716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717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58" t="s">
        <v>718</v>
      </c>
      <c r="B18" s="159"/>
      <c r="C18" s="159">
        <f>'CSV4'!U6+'CSV4'!K6+'CSV4'!L6+'CSV4'!W6+'CSV4'!X6+'CSV4'!Z6+'CSV4'!AA6+'CSV4'!AB6+'CSV4'!J6</f>
        <v>0</v>
      </c>
      <c r="D18" s="159">
        <f>'CSV4'!U5+'CSV4'!K5+'CSV4'!L5+'CSV4'!W5+'CSV4'!X5+'CSV4'!Z5+'CSV4'!AA5+'CSV4'!AB5+'CSV4'!J5</f>
        <v>0</v>
      </c>
      <c r="E18" s="159">
        <f>'CSV4'!U4+'CSV4'!K4+'CSV4'!L4+'CSV4'!W4+'CSV4'!X4+'CSV4'!Z4+'CSV4'!AA4+'CSV4'!AB4+'CSV4'!J4</f>
        <v>0</v>
      </c>
      <c r="F18" s="160" t="str">
        <f t="shared" si="1"/>
        <v>-</v>
      </c>
      <c r="G18" s="160" t="str">
        <f t="shared" si="1"/>
        <v>-</v>
      </c>
    </row>
    <row r="19" spans="1:7">
      <c r="A19" s="48" t="s">
        <v>719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0" t="s">
        <v>720</v>
      </c>
      <c r="B20" s="516"/>
      <c r="C20" s="517"/>
      <c r="D20" s="517"/>
      <c r="E20" s="518"/>
      <c r="F20" s="151"/>
      <c r="G20" s="151"/>
    </row>
    <row r="21" spans="1:7">
      <c r="A21" s="60" t="s">
        <v>721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722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723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0" t="s">
        <v>724</v>
      </c>
      <c r="B24" s="516"/>
      <c r="C24" s="517"/>
      <c r="D24" s="517"/>
      <c r="E24" s="518"/>
      <c r="F24" s="151"/>
      <c r="G24" s="151"/>
    </row>
    <row r="25" spans="1:7">
      <c r="A25" s="60" t="s">
        <v>725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726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727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728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729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730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731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732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733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734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735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736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737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738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739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740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741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742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743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15" t="s">
        <v>826</v>
      </c>
      <c r="C44" s="515"/>
      <c r="D44" s="515"/>
      <c r="E44" s="515"/>
      <c r="F44" s="64"/>
      <c r="G44" s="64"/>
    </row>
    <row r="45" spans="1:10" ht="38.25">
      <c r="A45" s="48" t="s">
        <v>744</v>
      </c>
      <c r="B45" s="328" t="str">
        <f>B13</f>
        <v>Provisionals</v>
      </c>
      <c r="C45" s="330" t="str">
        <f>IF($B$7&lt;&gt;"",CONCATENATE("31/03/",$B$7),"31/03/2020")</f>
        <v>31/03/2020</v>
      </c>
      <c r="D45" s="330" t="str">
        <f>IF($B$7&lt;&gt;"",CONCATENATE("31/03/",$B$7-1),"31/03/2019")</f>
        <v>31/03/2019</v>
      </c>
      <c r="E45" s="331" t="str">
        <f>IF($B$7&lt;&gt;"",CONCATENATE("31/03/",$B$7-2),"31/03/2018")</f>
        <v>31/03/2018</v>
      </c>
      <c r="F45" s="52" t="s">
        <v>712</v>
      </c>
      <c r="G45" s="52" t="s">
        <v>713</v>
      </c>
    </row>
    <row r="46" spans="1:10">
      <c r="A46" s="150" t="s">
        <v>745</v>
      </c>
      <c r="B46" s="516"/>
      <c r="C46" s="517"/>
      <c r="D46" s="517"/>
      <c r="E46" s="518"/>
      <c r="F46" s="151"/>
      <c r="G46" s="151"/>
      <c r="H46" s="1"/>
      <c r="I46" s="1"/>
      <c r="J46" s="1"/>
    </row>
    <row r="47" spans="1:10">
      <c r="A47" s="60" t="s">
        <v>746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747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748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749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750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751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752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753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0" t="s">
        <v>754</v>
      </c>
      <c r="B55" s="516"/>
      <c r="C55" s="517"/>
      <c r="D55" s="517"/>
      <c r="E55" s="518"/>
      <c r="F55" s="151"/>
      <c r="G55" s="151"/>
      <c r="H55" s="1"/>
      <c r="I55" s="1"/>
      <c r="J55" s="1"/>
    </row>
    <row r="56" spans="1:10">
      <c r="A56" s="60" t="s">
        <v>755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756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757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758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759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0" t="s">
        <v>760</v>
      </c>
      <c r="B61" s="516"/>
      <c r="C61" s="517"/>
      <c r="D61" s="517"/>
      <c r="E61" s="518"/>
      <c r="F61" s="151"/>
      <c r="G61" s="151"/>
      <c r="H61" s="1"/>
      <c r="I61" s="1"/>
      <c r="J61" s="1"/>
    </row>
    <row r="62" spans="1:10">
      <c r="A62" s="60" t="s">
        <v>761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762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763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764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765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766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767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768</v>
      </c>
      <c r="B69" s="113">
        <f>B54+B68</f>
        <v>0</v>
      </c>
      <c r="C69" s="113">
        <f t="shared" ref="C69:E69" si="20">C54+C68</f>
        <v>0</v>
      </c>
      <c r="D69" s="113">
        <f t="shared" si="20"/>
        <v>0</v>
      </c>
      <c r="E69" s="113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769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770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771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772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773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774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775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776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9" t="s">
        <v>777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778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29" t="s">
        <v>779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9" t="s">
        <v>780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781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782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783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784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768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785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786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787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788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789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790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791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792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793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794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795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796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797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798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799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800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801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802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803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804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805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806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807</v>
      </c>
      <c r="B112" s="165" t="str">
        <f>B89</f>
        <v>Provisionals</v>
      </c>
      <c r="C112" s="165" t="str">
        <f t="shared" ref="C112:E112" si="27">C89</f>
        <v>31/03/2020</v>
      </c>
      <c r="D112" s="165" t="str">
        <f t="shared" si="27"/>
        <v>31/03/2019</v>
      </c>
      <c r="E112" s="165" t="str">
        <f t="shared" si="27"/>
        <v>31/03/2018</v>
      </c>
    </row>
    <row r="113" spans="1:5">
      <c r="A113" s="3" t="s">
        <v>808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809</v>
      </c>
      <c r="B114" s="3"/>
      <c r="C114" s="3"/>
      <c r="D114" s="3"/>
      <c r="E114" s="3"/>
    </row>
    <row r="115" spans="1:5">
      <c r="A115" s="3" t="s">
        <v>570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810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811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812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813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814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815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816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817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777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782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818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39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819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820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821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2000000}">
      <formula1>INDIRECT(B5,1)</formula1>
    </dataValidation>
    <dataValidation type="whole" allowBlank="1" showInputMessage="1" showErrorMessage="1" sqref="B7" xr:uid="{00000000-0002-0000-1500-000003000000}">
      <formula1>YEAR(TODAY())-3</formula1>
      <formula2>YEAR(TODAY())</formula2>
    </dataValidation>
    <dataValidation type="list" allowBlank="1" showInputMessage="1" showErrorMessage="1" sqref="B8" xr:uid="{00000000-0002-0000-1500-000004000000}">
      <formula1>"Y,N"</formula1>
    </dataValidation>
    <dataValidation type="decimal" allowBlank="1" showInputMessage="1" showErrorMessage="1" sqref="B9" xr:uid="{00000000-0002-0000-15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482"/>
      <c r="C1" s="482"/>
      <c r="D1" s="482"/>
      <c r="E1" s="482"/>
      <c r="F1" s="482"/>
      <c r="G1" s="482"/>
    </row>
    <row r="2" spans="1:10">
      <c r="A2" s="45" t="s">
        <v>585</v>
      </c>
      <c r="B2" s="484"/>
      <c r="C2" s="484"/>
      <c r="D2" s="484"/>
      <c r="E2" s="484"/>
      <c r="F2" s="484"/>
      <c r="G2" s="484"/>
    </row>
    <row r="3" spans="1:10">
      <c r="A3" s="45" t="s">
        <v>589</v>
      </c>
      <c r="B3" s="482"/>
      <c r="C3" s="482"/>
      <c r="D3" s="482"/>
      <c r="E3" s="482"/>
      <c r="F3" s="482"/>
      <c r="G3" s="482"/>
    </row>
    <row r="4" spans="1:10">
      <c r="A4" s="45" t="s">
        <v>591</v>
      </c>
      <c r="B4" s="482"/>
      <c r="C4" s="482"/>
      <c r="D4" s="482"/>
      <c r="E4" s="482"/>
      <c r="F4" s="482"/>
      <c r="G4" s="482"/>
    </row>
    <row r="5" spans="1:10">
      <c r="A5" s="45" t="s">
        <v>593</v>
      </c>
      <c r="B5" s="482"/>
      <c r="C5" s="482"/>
      <c r="D5" s="482"/>
      <c r="E5" s="482"/>
      <c r="F5" s="482"/>
      <c r="G5" s="482"/>
    </row>
    <row r="6" spans="1:10">
      <c r="A6" s="45" t="s">
        <v>595</v>
      </c>
      <c r="B6" s="482"/>
      <c r="C6" s="482"/>
      <c r="D6" s="482"/>
      <c r="E6" s="482"/>
      <c r="F6" s="482"/>
      <c r="G6" s="482"/>
    </row>
    <row r="7" spans="1:10" ht="25.5">
      <c r="A7" s="45" t="s">
        <v>597</v>
      </c>
      <c r="B7" s="487"/>
      <c r="C7" s="487"/>
      <c r="D7" s="487"/>
      <c r="E7" s="487"/>
      <c r="F7" s="487"/>
      <c r="G7" s="487"/>
    </row>
    <row r="8" spans="1:10">
      <c r="A8" s="45" t="s">
        <v>824</v>
      </c>
      <c r="B8" s="482"/>
      <c r="C8" s="482"/>
      <c r="D8" s="482"/>
      <c r="E8" s="482"/>
      <c r="F8" s="482"/>
      <c r="G8" s="482"/>
    </row>
    <row r="9" spans="1:10">
      <c r="A9" s="45" t="s">
        <v>825</v>
      </c>
      <c r="B9" s="488"/>
      <c r="C9" s="488"/>
      <c r="D9" s="488"/>
      <c r="E9" s="488"/>
      <c r="F9" s="488"/>
      <c r="G9" s="488"/>
    </row>
    <row r="11" spans="1:10">
      <c r="A11" s="514" t="str">
        <f>CONCATENATE("Financial Details: ",B1)</f>
        <v xml:space="preserve">Financial Details: </v>
      </c>
      <c r="B11" s="514"/>
      <c r="C11" s="514"/>
      <c r="D11" s="514"/>
      <c r="E11" s="514"/>
      <c r="F11" s="514"/>
      <c r="G11" s="514"/>
    </row>
    <row r="12" spans="1:10">
      <c r="A12" s="1"/>
      <c r="B12" s="515" t="s">
        <v>826</v>
      </c>
      <c r="C12" s="515"/>
      <c r="D12" s="515"/>
      <c r="E12" s="515"/>
      <c r="F12" s="1"/>
      <c r="G12" s="1"/>
    </row>
    <row r="13" spans="1:10" ht="38.25">
      <c r="A13" s="48" t="s">
        <v>711</v>
      </c>
      <c r="B13" s="147" t="s">
        <v>827</v>
      </c>
      <c r="C13" s="148" t="str">
        <f>IF($B$7&lt;&gt;"",CONCATENATE("FY ",$B$7-1,"-",$B$7-2000),"FY 2019-20")</f>
        <v>FY 2019-20</v>
      </c>
      <c r="D13" s="148" t="str">
        <f>IF($B$7&lt;&gt;"",CONCATENATE("FY ",$B$7-2,"-",$B$7-2001),"FY 2018-19")</f>
        <v>FY 2018-19</v>
      </c>
      <c r="E13" s="149" t="str">
        <f>IF($B$7&lt;&gt;"",CONCATENATE("FY ",$B$7-3,"-",$B$7-2002),"FY 2017-18")</f>
        <v>FY 2017-18</v>
      </c>
      <c r="F13" s="52" t="s">
        <v>712</v>
      </c>
      <c r="G13" s="52" t="s">
        <v>713</v>
      </c>
      <c r="H13" s="1"/>
      <c r="I13" s="1"/>
      <c r="J13" s="1"/>
    </row>
    <row r="14" spans="1:10">
      <c r="A14" s="150" t="s">
        <v>714</v>
      </c>
      <c r="B14" s="516"/>
      <c r="C14" s="517"/>
      <c r="D14" s="517"/>
      <c r="E14" s="518"/>
      <c r="F14" s="151"/>
      <c r="G14" s="151"/>
      <c r="H14" s="1"/>
      <c r="I14" s="1"/>
      <c r="J14" s="1"/>
    </row>
    <row r="15" spans="1:10" ht="15">
      <c r="A15" s="152" t="s">
        <v>715</v>
      </c>
      <c r="B15" s="153"/>
      <c r="C15" s="154">
        <f>'CSV5'!H6+'CSV5'!O6+'CSV5'!Q6+SUM('CSV5'!EM6:EN6)+SUM('CSV5'!GE6:GG6)+'CSV5'!V6+'CSV5'!ED6++'CSV5'!N6+'CSV5'!EH6+'CSV5'!EO6+'CSV5'!I6+'CSV5'!P6+'CSV5'!R6+'CSV5'!GH6</f>
        <v>0</v>
      </c>
      <c r="D15" s="154">
        <f>'CSV5'!H5+'CSV5'!O5+'CSV5'!Q5+SUM('CSV5'!EM5:EN5)+SUM('CSV5'!GE5:GG5)+'CSV5'!V5+'CSV5'!ED5+'CSV5'!N5+'CSV5'!EH5+'CSV5'!EO5+'CSV5'!I5+'CSV5'!P5+'CSV5'!R5+'CSV5'!GH5</f>
        <v>0</v>
      </c>
      <c r="E15" s="154">
        <f>'CSV5'!H4+'CSV5'!O4+'CSV5'!Q4+SUM('CSV5'!EM4:EN4)+SUM('CSV5'!GE4:GG4)+'CSV5'!V4+'CSV5'!ED4+'CSV5'!N4+'CSV5'!EH4+'CSV5'!EO4+'CSV5'!I4+'CSV5'!P4+'CSV5'!R4+'CSV5'!GH4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716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717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58" t="s">
        <v>718</v>
      </c>
      <c r="B18" s="159"/>
      <c r="C18" s="159">
        <f>'CSV5'!U6+'CSV5'!K6+'CSV5'!L6+'CSV5'!W6+'CSV5'!X6+'CSV5'!Z6+'CSV5'!AA6+'CSV5'!AB6+'CSV5'!J6</f>
        <v>0</v>
      </c>
      <c r="D18" s="159">
        <f>'CSV5'!U5+'CSV5'!K5+'CSV5'!L5+'CSV5'!W5+'CSV5'!X5+'CSV5'!Z5+'CSV5'!AA5+'CSV5'!AB5+'CSV5'!J5</f>
        <v>0</v>
      </c>
      <c r="E18" s="159">
        <f>'CSV5'!U4+'CSV5'!K4+'CSV5'!L4+'CSV5'!W4+'CSV5'!X4+'CSV5'!Z4+'CSV5'!AA4+'CSV5'!AB4+'CSV5'!J4</f>
        <v>0</v>
      </c>
      <c r="F18" s="160" t="str">
        <f t="shared" si="1"/>
        <v>-</v>
      </c>
      <c r="G18" s="160" t="str">
        <f t="shared" si="1"/>
        <v>-</v>
      </c>
    </row>
    <row r="19" spans="1:7">
      <c r="A19" s="48" t="s">
        <v>719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0" t="s">
        <v>720</v>
      </c>
      <c r="B20" s="516"/>
      <c r="C20" s="517"/>
      <c r="D20" s="517"/>
      <c r="E20" s="518"/>
      <c r="F20" s="151"/>
      <c r="G20" s="151"/>
    </row>
    <row r="21" spans="1:7">
      <c r="A21" s="60" t="s">
        <v>721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722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723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0" t="s">
        <v>724</v>
      </c>
      <c r="B24" s="516"/>
      <c r="C24" s="517"/>
      <c r="D24" s="517"/>
      <c r="E24" s="518"/>
      <c r="F24" s="151"/>
      <c r="G24" s="151"/>
    </row>
    <row r="25" spans="1:7">
      <c r="A25" s="60" t="s">
        <v>725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726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727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728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729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730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731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732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733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734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735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736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737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738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739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740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741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742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743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15" t="s">
        <v>826</v>
      </c>
      <c r="C44" s="515"/>
      <c r="D44" s="515"/>
      <c r="E44" s="515"/>
      <c r="F44" s="64"/>
      <c r="G44" s="64"/>
    </row>
    <row r="45" spans="1:10" ht="38.25">
      <c r="A45" s="48" t="s">
        <v>744</v>
      </c>
      <c r="B45" s="328" t="str">
        <f>B13</f>
        <v>Provisionals</v>
      </c>
      <c r="C45" s="330" t="str">
        <f>IF($B$7&lt;&gt;"",CONCATENATE("31/03/",$B$7),"31/03/2020")</f>
        <v>31/03/2020</v>
      </c>
      <c r="D45" s="330" t="str">
        <f>IF($B$7&lt;&gt;"",CONCATENATE("31/03/",$B$7-1),"31/03/2019")</f>
        <v>31/03/2019</v>
      </c>
      <c r="E45" s="331" t="str">
        <f>IF($B$7&lt;&gt;"",CONCATENATE("31/03/",$B$7-2),"31/03/2018")</f>
        <v>31/03/2018</v>
      </c>
      <c r="F45" s="52" t="s">
        <v>712</v>
      </c>
      <c r="G45" s="52" t="s">
        <v>713</v>
      </c>
    </row>
    <row r="46" spans="1:10">
      <c r="A46" s="150" t="s">
        <v>745</v>
      </c>
      <c r="B46" s="516"/>
      <c r="C46" s="517"/>
      <c r="D46" s="517"/>
      <c r="E46" s="518"/>
      <c r="F46" s="151"/>
      <c r="G46" s="151"/>
      <c r="H46" s="1"/>
      <c r="I46" s="1"/>
      <c r="J46" s="1"/>
    </row>
    <row r="47" spans="1:10">
      <c r="A47" s="60" t="s">
        <v>746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747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748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749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750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751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752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753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0" t="s">
        <v>754</v>
      </c>
      <c r="B55" s="516"/>
      <c r="C55" s="517"/>
      <c r="D55" s="517"/>
      <c r="E55" s="518"/>
      <c r="F55" s="151"/>
      <c r="G55" s="151"/>
      <c r="H55" s="1"/>
      <c r="I55" s="1"/>
      <c r="J55" s="1"/>
    </row>
    <row r="56" spans="1:10">
      <c r="A56" s="60" t="s">
        <v>755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756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757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758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759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0" t="s">
        <v>760</v>
      </c>
      <c r="B61" s="516"/>
      <c r="C61" s="517"/>
      <c r="D61" s="517"/>
      <c r="E61" s="518"/>
      <c r="F61" s="151"/>
      <c r="G61" s="151"/>
      <c r="H61" s="1"/>
      <c r="I61" s="1"/>
      <c r="J61" s="1"/>
    </row>
    <row r="62" spans="1:10">
      <c r="A62" s="60" t="s">
        <v>761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762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763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764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765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766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767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768</v>
      </c>
      <c r="B69" s="113">
        <f>B54+B68</f>
        <v>0</v>
      </c>
      <c r="C69" s="113">
        <f t="shared" ref="C69:E69" si="20">C54+C68</f>
        <v>0</v>
      </c>
      <c r="D69" s="113">
        <f t="shared" si="20"/>
        <v>0</v>
      </c>
      <c r="E69" s="113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769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770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771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772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773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774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775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776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9" t="s">
        <v>777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778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29" t="s">
        <v>779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9" t="s">
        <v>780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781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782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783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784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768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785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786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787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788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789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790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791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792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793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794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795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796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797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798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799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800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801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802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803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804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805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806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807</v>
      </c>
      <c r="B112" s="165" t="str">
        <f>B89</f>
        <v>Provisionals</v>
      </c>
      <c r="C112" s="165" t="str">
        <f t="shared" ref="C112:E112" si="27">C89</f>
        <v>31/03/2020</v>
      </c>
      <c r="D112" s="165" t="str">
        <f t="shared" si="27"/>
        <v>31/03/2019</v>
      </c>
      <c r="E112" s="165" t="str">
        <f t="shared" si="27"/>
        <v>31/03/2018</v>
      </c>
    </row>
    <row r="113" spans="1:5">
      <c r="A113" s="3" t="s">
        <v>808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809</v>
      </c>
      <c r="B114" s="3"/>
      <c r="C114" s="3"/>
      <c r="D114" s="3"/>
      <c r="E114" s="3"/>
    </row>
    <row r="115" spans="1:5">
      <c r="A115" s="3" t="s">
        <v>570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810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811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812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813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814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815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816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817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777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782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818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39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819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820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821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2000000}">
      <formula1>INDIRECT(B5,1)</formula1>
    </dataValidation>
    <dataValidation type="whole" allowBlank="1" showInputMessage="1" showErrorMessage="1" sqref="B7" xr:uid="{00000000-0002-0000-1600-000003000000}">
      <formula1>YEAR(TODAY())-3</formula1>
      <formula2>YEAR(TODAY())</formula2>
    </dataValidation>
    <dataValidation type="list" allowBlank="1" showInputMessage="1" showErrorMessage="1" sqref="B8" xr:uid="{00000000-0002-0000-1600-000004000000}">
      <formula1>"Y,N"</formula1>
    </dataValidation>
    <dataValidation type="decimal" allowBlank="1" showInputMessage="1" showErrorMessage="1" sqref="B9" xr:uid="{00000000-0002-0000-16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01" t="s">
        <v>828</v>
      </c>
      <c r="B1" s="501"/>
      <c r="C1" s="501"/>
      <c r="D1" s="137" t="str">
        <f>CONCATENATE(Validation!$A$41,"_",BasicInput!$H$28,"_",BasicInput!$F$40)</f>
        <v>Cash Profit Method_HL_Self-occupation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>
      <c r="B2" s="349" t="s">
        <v>59</v>
      </c>
      <c r="C2" s="349"/>
      <c r="D2" s="137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6">
      <c r="A3" s="10" t="s">
        <v>60</v>
      </c>
      <c r="B3" s="10" t="str">
        <f>PrimeConsolidated!$C$7</f>
        <v>FY 2022-23</v>
      </c>
      <c r="C3" s="10" t="str">
        <f>PrimeConsolidated!$D$7</f>
        <v>FY 2021-22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</row>
    <row r="4" spans="1:16" ht="25.5">
      <c r="A4" s="139" t="s">
        <v>829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</row>
    <row r="5" spans="1:16">
      <c r="A5" s="139" t="s">
        <v>570</v>
      </c>
      <c r="B5" s="12">
        <f>PrimeConsolidated!$C$32*100000</f>
        <v>0</v>
      </c>
      <c r="C5" s="12">
        <f>PrimeConsolidated!$D$32*100000</f>
        <v>0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</row>
    <row r="6" spans="1:16">
      <c r="A6" s="139" t="s">
        <v>830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</row>
    <row r="7" spans="1:16">
      <c r="A7" s="139" t="s">
        <v>831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16" ht="25.5">
      <c r="A8" s="139" t="s">
        <v>832</v>
      </c>
      <c r="B8" s="12">
        <f>BasicInput!$D$46</f>
        <v>0</v>
      </c>
      <c r="C8" s="12">
        <f>BasicInput!$E$46</f>
        <v>0</v>
      </c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16" ht="25.5">
      <c r="A9" s="139" t="s">
        <v>833</v>
      </c>
      <c r="B9" s="12">
        <f>BasicInput!$D$47</f>
        <v>0</v>
      </c>
      <c r="C9" s="12">
        <f>BasicInput!$E$47</f>
        <v>0</v>
      </c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</row>
    <row r="10" spans="1:16">
      <c r="A10" s="140" t="s">
        <v>568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</row>
    <row r="11" spans="1:16">
      <c r="A11" s="3" t="s">
        <v>834</v>
      </c>
      <c r="B11" s="12">
        <f>BasicInput!$D$48</f>
        <v>0</v>
      </c>
      <c r="C11" s="12">
        <f>BasicInput!$E$48</f>
        <v>0</v>
      </c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</row>
    <row r="12" spans="1:16">
      <c r="A12" s="140" t="s">
        <v>835</v>
      </c>
      <c r="B12" s="13">
        <f>IF(AND((B10/IF(C10=0,0.001,C10))&lt;=150%,(B10/IF(C10=0,0.001,C10))&gt;0),B10,MAX((B10+C10)/2,C10*150%))+B11</f>
        <v>0</v>
      </c>
      <c r="C12" s="13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</row>
    <row r="13" spans="1:16" ht="38.25">
      <c r="A13" s="3" t="s">
        <v>836</v>
      </c>
      <c r="B13" s="12">
        <f>BasicInput!$D$49</f>
        <v>0</v>
      </c>
      <c r="C13" s="350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</row>
    <row r="14" spans="1:16">
      <c r="A14" s="326" t="s">
        <v>65</v>
      </c>
      <c r="B14" s="12">
        <f>BasicInput!$D$50</f>
        <v>0</v>
      </c>
      <c r="C14" s="350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</row>
    <row r="15" spans="1:16" ht="25.5">
      <c r="A15" s="3" t="s">
        <v>66</v>
      </c>
      <c r="B15" s="12">
        <f>BasicInput!$D$51</f>
        <v>0</v>
      </c>
      <c r="C15" s="350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</row>
    <row r="16" spans="1:16" ht="25.5">
      <c r="A16" s="3" t="s">
        <v>837</v>
      </c>
      <c r="B16" s="12">
        <f>BasicInput!$D$52</f>
        <v>0</v>
      </c>
      <c r="C16" s="350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</row>
    <row r="17" spans="1:16">
      <c r="A17" s="140" t="s">
        <v>109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</row>
    <row r="18" spans="1:16" ht="51.75" customHeight="1">
      <c r="A18" s="3" t="s">
        <v>68</v>
      </c>
      <c r="B18" s="12">
        <f>BasicInput!$D$53</f>
        <v>0</v>
      </c>
      <c r="C18" s="3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</row>
    <row r="19" spans="1:16">
      <c r="A19" s="140" t="s">
        <v>685</v>
      </c>
      <c r="B19" s="13">
        <f>B12+B17+B18</f>
        <v>0</v>
      </c>
      <c r="C19" s="519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</row>
    <row r="20" spans="1:16">
      <c r="A20" s="140" t="s">
        <v>121</v>
      </c>
      <c r="B20" s="13">
        <f>B19/12</f>
        <v>0</v>
      </c>
      <c r="C20" s="520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</row>
    <row r="21" spans="1:16">
      <c r="A21" s="140" t="s">
        <v>686</v>
      </c>
      <c r="B21" s="13">
        <f>BasicInput!$D$27</f>
        <v>1500000</v>
      </c>
      <c r="C21" s="142"/>
      <c r="D21" s="138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</row>
    <row r="22" spans="1:16">
      <c r="A22" s="3" t="s">
        <v>687</v>
      </c>
      <c r="B22" s="12">
        <f>'ExistingLoans&amp;Facilities&amp;RTR'!$N$103</f>
        <v>0</v>
      </c>
      <c r="C22" s="521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</row>
    <row r="23" spans="1:16">
      <c r="A23" s="3" t="s">
        <v>688</v>
      </c>
      <c r="B23" s="12">
        <f>BasicInput!$G$28</f>
        <v>14976</v>
      </c>
      <c r="C23" s="522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</row>
    <row r="24" spans="1:16">
      <c r="A24" s="3" t="s">
        <v>838</v>
      </c>
      <c r="B24" s="12">
        <f>SUMIF(BasicInput!$B$22:$B$26,Validation!$A$37,BasicInput!$G$22:$G$26)</f>
        <v>0</v>
      </c>
      <c r="C24" s="522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</row>
    <row r="25" spans="1:16">
      <c r="A25" s="3" t="s">
        <v>689</v>
      </c>
      <c r="B25" s="12">
        <f>SUMIF(BasicInput!$B$22:$B$26,Validation!$A$38,BasicInput!$G$22:$G$26)</f>
        <v>0</v>
      </c>
      <c r="C25" s="523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</row>
    <row r="26" spans="1:16">
      <c r="A26" s="140" t="s">
        <v>690</v>
      </c>
      <c r="B26" s="16">
        <f>IF(SUM(B22:B23)=0,0,IFERROR(SUM(B22:B23)/B20,100000%))</f>
        <v>1000</v>
      </c>
      <c r="C26" s="524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>FOIR Deviation Approval required</v>
      </c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  <row r="27" spans="1:16">
      <c r="A27" s="140" t="s">
        <v>691</v>
      </c>
      <c r="B27" s="16">
        <f>IF(SUM(B22:B25)=0,0,IFERROR(SUM(B22:B25)/B20,100000%))</f>
        <v>1000</v>
      </c>
      <c r="C27" s="525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>FOIR Deviation Approval required</v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</row>
    <row r="28" spans="1:16">
      <c r="A28" s="140" t="s">
        <v>692</v>
      </c>
      <c r="B28" s="16">
        <f>IFERROR(SUMIF(BasicInput!$B$22:$B$26,Validation!$A$38,BasicInput!$G$22:$G$26)/B20,0)</f>
        <v>0</v>
      </c>
      <c r="C28" s="526"/>
      <c r="D28" s="17" t="str">
        <f>IF(B28&lt;=5%,"","NCC Level FOIR Deviation for Insurance")</f>
        <v/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</row>
    <row r="29" spans="1:16">
      <c r="A29" s="140" t="s">
        <v>693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3"/>
      <c r="D29" s="17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</row>
    <row r="30" spans="1:16">
      <c r="A30" s="140" t="s">
        <v>694</v>
      </c>
      <c r="B30" s="16">
        <f>IFERROR((BasicInput!$D$28+$G$43)/$M$43,0)</f>
        <v>0</v>
      </c>
      <c r="C30" s="524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</row>
    <row r="31" spans="1:16">
      <c r="A31" s="140" t="s">
        <v>695</v>
      </c>
      <c r="B31" s="16">
        <f>IFERROR((BasicInput!$D$27+$G$43)/$M$43,0)</f>
        <v>0</v>
      </c>
      <c r="C31" s="525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</row>
    <row r="32" spans="1:16">
      <c r="A32" s="140" t="s">
        <v>696</v>
      </c>
      <c r="B32" s="16">
        <f>IFERROR(SUMIF(BasicInput!$B$22:$B$26,Validation!$A$38,BasicInput!$D$22:$D$26)/$M$43,0)</f>
        <v>0</v>
      </c>
      <c r="C32" s="526"/>
      <c r="D32" s="17" t="str">
        <f>IF(B32&lt;=5%,"","NCC Level FOIR Deviation for Insurance")</f>
        <v/>
      </c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</row>
    <row r="33" spans="1:16">
      <c r="A33" s="140" t="s">
        <v>697</v>
      </c>
      <c r="B33" s="13">
        <f>MAX($O$43,0)</f>
        <v>0</v>
      </c>
      <c r="C33" s="144"/>
      <c r="D33" s="17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</row>
    <row r="34" spans="1:16">
      <c r="A34" s="145" t="s">
        <v>698</v>
      </c>
      <c r="B34" s="18">
        <f>MIN(B21,B29,B33)</f>
        <v>0</v>
      </c>
      <c r="C34" s="146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0.8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</row>
    <row r="36" spans="1:16"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</row>
    <row r="37" spans="1:16" ht="63.75">
      <c r="A37" s="10" t="s">
        <v>42</v>
      </c>
      <c r="B37" s="10" t="s">
        <v>43</v>
      </c>
      <c r="C37" s="10" t="s">
        <v>44</v>
      </c>
      <c r="D37" s="10" t="s">
        <v>45</v>
      </c>
      <c r="E37" s="10" t="s">
        <v>46</v>
      </c>
      <c r="F37" s="10" t="s">
        <v>47</v>
      </c>
      <c r="G37" s="10" t="s">
        <v>48</v>
      </c>
      <c r="H37" s="10" t="s">
        <v>49</v>
      </c>
      <c r="I37" s="10" t="s">
        <v>50</v>
      </c>
      <c r="J37" s="10" t="s">
        <v>51</v>
      </c>
      <c r="K37" s="10" t="s">
        <v>52</v>
      </c>
      <c r="L37" s="10" t="s">
        <v>53</v>
      </c>
      <c r="M37" s="10" t="s">
        <v>54</v>
      </c>
      <c r="N37" s="10" t="s">
        <v>699</v>
      </c>
      <c r="O37" s="10" t="s">
        <v>700</v>
      </c>
    </row>
    <row r="38" spans="1:16">
      <c r="A38" s="3" t="str">
        <f>IF(BasicInput!$B$34="","",BasicInput!$B$34)</f>
        <v>B-54,KEDAR NAGAR, Shahganj,Agra,KEDAR NAGAR,Agra,Agra,Uttar Pradesh,282010</v>
      </c>
      <c r="B38" s="3" t="str">
        <f>IF(BasicInput!$C$34="","",BasicInput!$C$34)</f>
        <v>Residential House</v>
      </c>
      <c r="C38" s="3" t="str">
        <f>IF(BasicInput!$D$34="","",BasicInput!$D$34)</f>
        <v>SONA NAVANI</v>
      </c>
      <c r="D38" s="3">
        <f>IF(BasicInput!$E$34="","",BasicInput!$E$34)</f>
        <v>360</v>
      </c>
      <c r="E38" s="3" t="str">
        <f>IF(BasicInput!$F$34="","",BasicInput!$F$34)</f>
        <v>Self-occupation</v>
      </c>
      <c r="F38" s="7" t="str">
        <f>IF(BasicInput!$G$34="","",BasicInput!$G$34)</f>
        <v>N</v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1900000</v>
      </c>
      <c r="K38" s="11">
        <f>IF(BasicInput!$L$34="","",BasicInput!$L$34)</f>
        <v>1</v>
      </c>
      <c r="L38" s="11" t="e">
        <f>IF(BasicInput!$M$34="","",BasicInput!$M$34)</f>
        <v>#DIV/0!</v>
      </c>
      <c r="M38" s="12">
        <f>IF(BasicInput!$N$34="",0,BasicInput!$N$34)</f>
        <v>0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0.9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0.9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05" t="s">
        <v>39</v>
      </c>
      <c r="B43" s="511"/>
      <c r="C43" s="511"/>
      <c r="D43" s="511"/>
      <c r="E43" s="511"/>
      <c r="F43" s="511"/>
      <c r="G43" s="13">
        <f>SUM(G38:G42)</f>
        <v>0</v>
      </c>
      <c r="H43" s="505"/>
      <c r="I43" s="511"/>
      <c r="J43" s="511"/>
      <c r="K43" s="511"/>
      <c r="L43" s="506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69930555555555596" right="0.69930555555555596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workbookViewId="0">
      <selection activeCell="D8" sqref="D8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27" t="s">
        <v>707</v>
      </c>
      <c r="B1" s="527"/>
      <c r="C1" s="527"/>
      <c r="D1" s="527"/>
      <c r="E1" s="527"/>
      <c r="F1" s="527"/>
      <c r="G1" s="527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708</v>
      </c>
      <c r="B3" s="513" t="str">
        <f>IF(Prime1!B1="","",CONCATENATE(Prime1!B1," &amp; Group"))</f>
        <v>SONA NAVANI &amp; Group</v>
      </c>
      <c r="C3" s="513"/>
      <c r="D3" s="513"/>
      <c r="E3" s="513"/>
      <c r="F3" s="513"/>
      <c r="G3" s="513"/>
    </row>
    <row r="4" spans="1:11"/>
    <row r="5" spans="1:11">
      <c r="A5" s="514" t="s">
        <v>709</v>
      </c>
      <c r="B5" s="514"/>
      <c r="C5" s="514"/>
      <c r="D5" s="514"/>
      <c r="E5" s="514"/>
      <c r="F5" s="514"/>
      <c r="G5" s="514"/>
    </row>
    <row r="6" spans="1:11">
      <c r="B6" s="515" t="s">
        <v>710</v>
      </c>
      <c r="C6" s="515"/>
      <c r="D6" s="515"/>
      <c r="E6" s="515"/>
    </row>
    <row r="7" spans="1:11" ht="38.25">
      <c r="A7" s="48" t="s">
        <v>711</v>
      </c>
      <c r="B7" s="49" t="str">
        <f>Prime1!B14</f>
        <v>Provisionals</v>
      </c>
      <c r="C7" s="50" t="str">
        <f>Prime1!C14</f>
        <v>FY 2022-23</v>
      </c>
      <c r="D7" s="50" t="str">
        <f>Prime1!D14</f>
        <v>FY 2021-22</v>
      </c>
      <c r="E7" s="51" t="str">
        <f>Prime1!E14</f>
        <v>FY 2020-21</v>
      </c>
      <c r="F7" s="52" t="s">
        <v>712</v>
      </c>
      <c r="G7" s="52" t="s">
        <v>713</v>
      </c>
      <c r="I7" s="118"/>
      <c r="J7" s="118"/>
    </row>
    <row r="8" spans="1:11">
      <c r="A8" s="53" t="s">
        <v>839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0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840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0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841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0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842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0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843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0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844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0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1"/>
      <c r="I13" s="119"/>
      <c r="J13" s="119"/>
      <c r="K13" s="119"/>
    </row>
    <row r="14" spans="1:11">
      <c r="A14" s="53" t="s">
        <v>845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0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2"/>
      <c r="I14" s="120"/>
      <c r="J14" s="121"/>
      <c r="K14" s="121"/>
    </row>
    <row r="15" spans="1:11">
      <c r="A15" s="53" t="s">
        <v>846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0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0"/>
      <c r="J15" s="121"/>
      <c r="K15" s="121"/>
    </row>
    <row r="16" spans="1:11" ht="25.5">
      <c r="A16" s="79" t="s">
        <v>847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0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2"/>
      <c r="J16" s="123"/>
      <c r="K16" s="123"/>
    </row>
    <row r="17" spans="1:12">
      <c r="A17" s="79" t="s">
        <v>848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0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849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0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850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0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4" t="s">
        <v>851</v>
      </c>
      <c r="J19" s="124" t="str">
        <f>B7</f>
        <v>Provisionals</v>
      </c>
      <c r="K19" s="124" t="str">
        <f>C7</f>
        <v>FY 2022-23</v>
      </c>
      <c r="L19" s="124" t="str">
        <f>D7</f>
        <v>FY 2021-22</v>
      </c>
    </row>
    <row r="20" spans="1:12">
      <c r="A20" s="48" t="s">
        <v>852</v>
      </c>
      <c r="B20" s="58">
        <f>SUM(B8:B19)</f>
        <v>0</v>
      </c>
      <c r="C20" s="58">
        <f>SUM(C8:C19)</f>
        <v>0</v>
      </c>
      <c r="D20" s="58">
        <f>SUM(D8:D19)</f>
        <v>0</v>
      </c>
      <c r="E20" s="113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5" t="s">
        <v>60</v>
      </c>
      <c r="J20" s="125" t="s">
        <v>853</v>
      </c>
      <c r="K20" s="125" t="s">
        <v>853</v>
      </c>
      <c r="L20" s="125" t="s">
        <v>853</v>
      </c>
    </row>
    <row r="21" spans="1:12">
      <c r="A21" s="60" t="s">
        <v>720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6" t="s">
        <v>854</v>
      </c>
      <c r="J21" s="127">
        <f>$B$31</f>
        <v>0</v>
      </c>
      <c r="K21" s="127">
        <f>$C$31</f>
        <v>0</v>
      </c>
      <c r="L21" s="127">
        <f>$D$31</f>
        <v>0</v>
      </c>
    </row>
    <row r="22" spans="1:12">
      <c r="A22" s="60" t="s">
        <v>855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0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6" t="s">
        <v>856</v>
      </c>
      <c r="J22" s="127">
        <f>$B$43</f>
        <v>0</v>
      </c>
      <c r="K22" s="127">
        <f>$C$43</f>
        <v>0</v>
      </c>
      <c r="L22" s="127">
        <f>$D$43</f>
        <v>0</v>
      </c>
    </row>
    <row r="23" spans="1:12" ht="25.5">
      <c r="A23" s="60" t="s">
        <v>857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0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6" t="s">
        <v>858</v>
      </c>
      <c r="J23" s="127">
        <f>$B$37</f>
        <v>0</v>
      </c>
      <c r="K23" s="127">
        <f>$C$37</f>
        <v>0</v>
      </c>
      <c r="L23" s="127">
        <f>$D$37</f>
        <v>0</v>
      </c>
    </row>
    <row r="24" spans="1:12" ht="25.5">
      <c r="A24" s="60" t="s">
        <v>859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0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6" t="s">
        <v>860</v>
      </c>
      <c r="J24" s="127">
        <f>'ExistingLoans&amp;Facilities&amp;RTR'!$N$103*12/100000</f>
        <v>0</v>
      </c>
      <c r="K24" s="127">
        <f>'ExistingLoans&amp;Facilities&amp;RTR'!$N$103*12/100000</f>
        <v>0</v>
      </c>
      <c r="L24" s="127">
        <f>'ExistingLoans&amp;Facilities&amp;RTR'!$N$103*12/100000</f>
        <v>0</v>
      </c>
    </row>
    <row r="25" spans="1:12">
      <c r="A25" s="60" t="s">
        <v>861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0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28" t="s">
        <v>862</v>
      </c>
      <c r="J25" s="129">
        <f>IFERROR((J21-J22)/(J23+J24),0)</f>
        <v>0</v>
      </c>
      <c r="K25" s="129">
        <f>IFERROR((K21-K22)/(K23+K24),0)</f>
        <v>0</v>
      </c>
      <c r="L25" s="129">
        <f>IFERROR((L21-L22)/(L23+L24),0)</f>
        <v>0</v>
      </c>
    </row>
    <row r="26" spans="1:12">
      <c r="A26" s="48" t="s">
        <v>863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3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28"/>
      <c r="J26" s="529"/>
      <c r="K26" s="529"/>
      <c r="L26" s="530"/>
    </row>
    <row r="27" spans="1:12">
      <c r="A27" s="60" t="s">
        <v>109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0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0" t="s">
        <v>864</v>
      </c>
      <c r="J27" s="130" t="str">
        <f>J19</f>
        <v>Provisionals</v>
      </c>
      <c r="K27" s="130" t="str">
        <f>K19</f>
        <v>FY 2022-23</v>
      </c>
      <c r="L27" s="130" t="str">
        <f>L19</f>
        <v>FY 2021-22</v>
      </c>
    </row>
    <row r="28" spans="1:12">
      <c r="A28" s="60" t="s">
        <v>865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0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6" t="s">
        <v>854</v>
      </c>
      <c r="J28" s="127">
        <f>$B$31</f>
        <v>0</v>
      </c>
      <c r="K28" s="127">
        <f>$C$31</f>
        <v>0</v>
      </c>
      <c r="L28" s="127">
        <f>$D$31</f>
        <v>0</v>
      </c>
    </row>
    <row r="29" spans="1:12">
      <c r="A29" s="60" t="s">
        <v>866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0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6" t="s">
        <v>856</v>
      </c>
      <c r="J29" s="127">
        <f>$B$43</f>
        <v>0</v>
      </c>
      <c r="K29" s="127">
        <f>$C$43</f>
        <v>0</v>
      </c>
      <c r="L29" s="127">
        <f>$D$43</f>
        <v>0</v>
      </c>
    </row>
    <row r="30" spans="1:12" ht="25.5">
      <c r="A30" s="60" t="s">
        <v>867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0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6" t="s">
        <v>858</v>
      </c>
      <c r="J30" s="127">
        <f>$B$37</f>
        <v>0</v>
      </c>
      <c r="K30" s="127">
        <f>$C$37</f>
        <v>0</v>
      </c>
      <c r="L30" s="127">
        <f>$D$37</f>
        <v>0</v>
      </c>
    </row>
    <row r="31" spans="1:12" ht="38.25">
      <c r="A31" s="48" t="s">
        <v>854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3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6" t="s">
        <v>868</v>
      </c>
      <c r="J31" s="127">
        <f>('ExistingLoans&amp;Facilities&amp;RTR'!$N$103+BasicInput!$G$27)*12/100000</f>
        <v>1.7971200000000001</v>
      </c>
      <c r="K31" s="127">
        <f>('ExistingLoans&amp;Facilities&amp;RTR'!$N$103+BasicInput!$G$27)*12/100000</f>
        <v>1.7971200000000001</v>
      </c>
      <c r="L31" s="127">
        <f>('ExistingLoans&amp;Facilities&amp;RTR'!$N$103+BasicInput!$G$27)*12/100000</f>
        <v>1.7971200000000001</v>
      </c>
    </row>
    <row r="32" spans="1:12">
      <c r="A32" s="60" t="s">
        <v>869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0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28" t="s">
        <v>862</v>
      </c>
      <c r="J32" s="129">
        <f>IFERROR((J28-J29)/(J30+J31),0)</f>
        <v>0</v>
      </c>
      <c r="K32" s="129">
        <f>IFERROR((K28-K29)/(K30+K31),0)</f>
        <v>0</v>
      </c>
      <c r="L32" s="129">
        <f>IFERROR((L28-L29)/(L30+L31),0)</f>
        <v>0</v>
      </c>
    </row>
    <row r="33" spans="1:7">
      <c r="A33" s="60" t="s">
        <v>870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0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871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0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185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0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872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3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873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0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874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0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875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0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876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0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877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0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735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3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736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0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737</v>
      </c>
      <c r="B44" s="58">
        <f>+B42-B43</f>
        <v>0</v>
      </c>
      <c r="C44" s="58">
        <f>+C42-C43</f>
        <v>0</v>
      </c>
      <c r="D44" s="58">
        <f>+D42-D43</f>
        <v>0</v>
      </c>
      <c r="E44" s="113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878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0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879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0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743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3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880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3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881</v>
      </c>
      <c r="B49" s="58">
        <f>B31-B43</f>
        <v>0</v>
      </c>
      <c r="C49" s="58">
        <f>C31-C43</f>
        <v>0</v>
      </c>
      <c r="D49" s="58">
        <f>D31-D43</f>
        <v>0</v>
      </c>
      <c r="E49" s="113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710</v>
      </c>
      <c r="C50" s="47"/>
      <c r="D50" s="47"/>
      <c r="E50" s="47"/>
      <c r="F50" s="64"/>
      <c r="G50" s="64"/>
    </row>
    <row r="51" spans="1:7" ht="38.25">
      <c r="A51" s="48" t="s">
        <v>744</v>
      </c>
      <c r="B51" s="114" t="str">
        <f>Prime1!B58</f>
        <v>Provisionals</v>
      </c>
      <c r="C51" s="65" t="str">
        <f>Prime1!C58</f>
        <v>31/03/2023</v>
      </c>
      <c r="D51" s="65" t="str">
        <f>Prime1!D58</f>
        <v>31/03/2022</v>
      </c>
      <c r="E51" s="66" t="str">
        <f>Prime1!E58</f>
        <v>31/03/2021</v>
      </c>
      <c r="F51" s="52" t="s">
        <v>712</v>
      </c>
      <c r="G51" s="52" t="s">
        <v>713</v>
      </c>
    </row>
    <row r="52" spans="1:7">
      <c r="A52" s="60" t="s">
        <v>882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0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883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0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884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0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885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0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886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3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887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0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888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0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889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3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890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0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891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0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892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3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5"/>
      <c r="C63" s="116"/>
      <c r="D63" s="116"/>
      <c r="E63" s="117"/>
      <c r="F63" s="56"/>
      <c r="G63" s="56"/>
    </row>
    <row r="64" spans="1:7">
      <c r="A64" s="62" t="s">
        <v>893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0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894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0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895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0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775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896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897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0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898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0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899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0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900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0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901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902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0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903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0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904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0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379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0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905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0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906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3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907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0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908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0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909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0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910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0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911</v>
      </c>
      <c r="B84" s="58">
        <f>+B67-B79</f>
        <v>0</v>
      </c>
      <c r="C84" s="58">
        <f>+C67-C79</f>
        <v>0</v>
      </c>
      <c r="D84" s="58">
        <f>+D67-D79</f>
        <v>0</v>
      </c>
      <c r="E84" s="113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912</v>
      </c>
      <c r="B85" s="116"/>
      <c r="C85" s="131"/>
      <c r="D85" s="131"/>
      <c r="E85" s="132"/>
      <c r="F85" s="56" t="str">
        <f t="shared" si="9"/>
        <v>-</v>
      </c>
      <c r="G85" s="56" t="str">
        <f t="shared" si="9"/>
        <v>-</v>
      </c>
    </row>
    <row r="86" spans="1:7">
      <c r="A86" s="60" t="s">
        <v>913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0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914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0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915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0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916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3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917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0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918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3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3"/>
      <c r="C92" s="134"/>
      <c r="D92" s="134"/>
      <c r="E92" s="134"/>
      <c r="F92" s="135"/>
      <c r="G92" s="135"/>
    </row>
    <row r="93" spans="1:7">
      <c r="A93" s="76" t="s">
        <v>785</v>
      </c>
      <c r="B93" s="65" t="str">
        <f>B51</f>
        <v>Provisionals</v>
      </c>
      <c r="C93" s="65" t="str">
        <f>C51</f>
        <v>31/03/2023</v>
      </c>
      <c r="D93" s="65" t="str">
        <f>D51</f>
        <v>31/03/2022</v>
      </c>
      <c r="E93" s="65" t="str">
        <f>E51</f>
        <v>31/03/2021</v>
      </c>
      <c r="F93" s="135"/>
      <c r="G93" s="135"/>
    </row>
    <row r="94" spans="1:7">
      <c r="A94" s="76" t="s">
        <v>919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6"/>
      <c r="G94" s="136"/>
    </row>
    <row r="95" spans="1:7">
      <c r="A95" s="76" t="s">
        <v>920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6"/>
      <c r="G95" s="136"/>
    </row>
    <row r="96" spans="1:7">
      <c r="A96" s="76" t="s">
        <v>921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6"/>
      <c r="G96" s="136"/>
    </row>
    <row r="97" spans="1:7">
      <c r="A97" s="76" t="s">
        <v>922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6"/>
      <c r="G97" s="136"/>
    </row>
    <row r="98" spans="1:7">
      <c r="A98" s="76" t="s">
        <v>799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6"/>
      <c r="G98" s="136"/>
    </row>
    <row r="99" spans="1:7">
      <c r="A99" s="76" t="s">
        <v>923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6"/>
      <c r="G99" s="136"/>
    </row>
    <row r="100" spans="1:7">
      <c r="A100" s="76" t="s">
        <v>924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6"/>
      <c r="G100" s="136"/>
    </row>
    <row r="101" spans="1:7">
      <c r="A101" s="76" t="s">
        <v>925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6"/>
      <c r="G101" s="136"/>
    </row>
    <row r="102" spans="1:7">
      <c r="A102" s="76" t="s">
        <v>926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6"/>
      <c r="G102" s="136"/>
    </row>
    <row r="103" spans="1:7">
      <c r="A103" s="76" t="s">
        <v>927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6"/>
      <c r="G103" s="136"/>
    </row>
    <row r="104" spans="1:7">
      <c r="A104" s="76" t="s">
        <v>928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6"/>
      <c r="G104" s="136"/>
    </row>
    <row r="105" spans="1:7">
      <c r="A105" s="76" t="s">
        <v>929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6"/>
      <c r="G105" s="136"/>
    </row>
    <row r="106" spans="1:7">
      <c r="A106" s="76" t="s">
        <v>930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6"/>
      <c r="G106" s="136"/>
    </row>
    <row r="107" spans="1:7">
      <c r="A107" s="76" t="s">
        <v>931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6"/>
      <c r="G107" s="136"/>
    </row>
    <row r="108" spans="1:7">
      <c r="A108" s="76" t="s">
        <v>932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6"/>
      <c r="G108" s="136"/>
    </row>
    <row r="109" spans="1:7">
      <c r="A109" s="76" t="s">
        <v>933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6"/>
      <c r="G109" s="136"/>
    </row>
    <row r="110" spans="1:7">
      <c r="A110" s="76" t="s">
        <v>934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6"/>
      <c r="G110" s="136"/>
    </row>
    <row r="111" spans="1:7">
      <c r="A111" s="76" t="s">
        <v>935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6"/>
      <c r="G111" s="136"/>
    </row>
    <row r="112" spans="1:7">
      <c r="A112" s="76" t="s">
        <v>936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6"/>
      <c r="G112" s="136"/>
    </row>
    <row r="113" spans="1:7">
      <c r="A113" s="76" t="s">
        <v>937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6"/>
      <c r="G113" s="136"/>
    </row>
    <row r="114" spans="1:7">
      <c r="A114" s="76" t="s">
        <v>800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6"/>
      <c r="G114" s="136"/>
    </row>
    <row r="115" spans="1:7">
      <c r="A115" s="76" t="s">
        <v>938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6"/>
      <c r="G115" s="136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69930555555555596" right="0.69930555555555596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31" t="s">
        <v>939</v>
      </c>
      <c r="B1" s="531"/>
      <c r="C1" s="531"/>
      <c r="D1" s="531"/>
      <c r="F1" s="531" t="s">
        <v>940</v>
      </c>
      <c r="G1" s="531"/>
      <c r="H1" s="531"/>
      <c r="I1" s="531"/>
      <c r="J1" s="531"/>
      <c r="K1" s="531"/>
      <c r="L1" s="531"/>
      <c r="M1" s="531"/>
    </row>
    <row r="2" spans="1:13">
      <c r="A2" s="97" t="s">
        <v>60</v>
      </c>
      <c r="B2" s="97" t="str">
        <f>PrimeConsolidated!C7</f>
        <v>FY 2022-23</v>
      </c>
      <c r="C2" s="97" t="str">
        <f>PrimeConsolidated!D7</f>
        <v>FY 2021-22</v>
      </c>
      <c r="D2" s="97" t="str">
        <f>PrimeConsolidated!E7</f>
        <v>FY 2020-21</v>
      </c>
      <c r="F2" s="98" t="s">
        <v>941</v>
      </c>
      <c r="G2" s="98" t="str">
        <f>B2</f>
        <v>FY 2022-23</v>
      </c>
      <c r="H2" s="98" t="str">
        <f t="shared" ref="H2:I2" si="0">C2</f>
        <v>FY 2021-22</v>
      </c>
      <c r="I2" s="98" t="str">
        <f t="shared" si="0"/>
        <v>FY 2020-21</v>
      </c>
      <c r="J2" s="98" t="s">
        <v>942</v>
      </c>
      <c r="K2" s="98" t="str">
        <f>B2</f>
        <v>FY 2022-23</v>
      </c>
      <c r="L2" s="98" t="str">
        <f t="shared" ref="L2:M2" si="1">C2</f>
        <v>FY 2021-22</v>
      </c>
      <c r="M2" s="98" t="str">
        <f t="shared" si="1"/>
        <v>FY 2020-21</v>
      </c>
    </row>
    <row r="3" spans="1:13" ht="25.5">
      <c r="A3" s="97" t="s">
        <v>943</v>
      </c>
      <c r="B3" s="97"/>
      <c r="C3" s="97"/>
      <c r="D3" s="97"/>
      <c r="F3" s="99" t="s">
        <v>944</v>
      </c>
      <c r="G3" s="100">
        <f>B5</f>
        <v>0</v>
      </c>
      <c r="H3" s="100">
        <f t="shared" ref="H3:I3" si="2">C5</f>
        <v>0</v>
      </c>
      <c r="I3" s="100">
        <f t="shared" si="2"/>
        <v>0</v>
      </c>
      <c r="J3" s="99" t="s">
        <v>945</v>
      </c>
      <c r="K3" s="109">
        <f>B19</f>
        <v>0</v>
      </c>
      <c r="L3" s="109">
        <f t="shared" ref="L3:M3" si="3">C19</f>
        <v>0</v>
      </c>
      <c r="M3" s="109">
        <f t="shared" si="3"/>
        <v>0</v>
      </c>
    </row>
    <row r="4" spans="1:13" ht="25.5">
      <c r="A4" s="101" t="s">
        <v>946</v>
      </c>
      <c r="B4" s="102">
        <v>12</v>
      </c>
      <c r="C4" s="102">
        <v>12</v>
      </c>
      <c r="D4" s="102">
        <v>12</v>
      </c>
      <c r="F4" s="99" t="s">
        <v>947</v>
      </c>
      <c r="G4" s="103" t="str">
        <f>PrimeConsolidated!C94</f>
        <v>-</v>
      </c>
      <c r="H4" s="103" t="str">
        <f>PrimeConsolidated!D94</f>
        <v>-</v>
      </c>
      <c r="I4" s="103" t="str">
        <f>PrimeConsolidated!E94</f>
        <v>-</v>
      </c>
      <c r="J4" s="99" t="s">
        <v>935</v>
      </c>
      <c r="K4" s="100">
        <f>B27</f>
        <v>0</v>
      </c>
      <c r="L4" s="100">
        <f t="shared" ref="L4:M4" si="4">C27</f>
        <v>0</v>
      </c>
      <c r="M4" s="100">
        <f t="shared" si="4"/>
        <v>0</v>
      </c>
    </row>
    <row r="5" spans="1:13" ht="27.75" customHeight="1">
      <c r="A5" s="101" t="s">
        <v>948</v>
      </c>
      <c r="B5" s="104">
        <f>(SUM(PrimeConsolidated!C8:C15)-PrimeConsolidated!C11)/100</f>
        <v>0</v>
      </c>
      <c r="C5" s="104">
        <f>(SUM(PrimeConsolidated!D8:D15)-PrimeConsolidated!D11)/100</f>
        <v>0</v>
      </c>
      <c r="D5" s="104">
        <f>(SUM(PrimeConsolidated!E8:E15)-PrimeConsolidated!E11)/100</f>
        <v>0</v>
      </c>
      <c r="F5" s="99" t="s">
        <v>949</v>
      </c>
      <c r="G5" s="103" t="str">
        <f>PrimeConsolidated!C96</f>
        <v>-</v>
      </c>
      <c r="H5" s="103" t="str">
        <f>PrimeConsolidated!D96</f>
        <v>-</v>
      </c>
      <c r="I5" s="103" t="str">
        <f>PrimeConsolidated!E96</f>
        <v>-</v>
      </c>
      <c r="J5" s="99" t="s">
        <v>950</v>
      </c>
      <c r="K5" s="100" t="str">
        <f>PrimeConsolidated!C112</f>
        <v>-</v>
      </c>
      <c r="L5" s="100" t="str">
        <f>PrimeConsolidated!D112</f>
        <v>-</v>
      </c>
      <c r="M5" s="100" t="str">
        <f>PrimeConsolidated!E112</f>
        <v>-</v>
      </c>
    </row>
    <row r="6" spans="1:13">
      <c r="A6" s="101" t="s">
        <v>854</v>
      </c>
      <c r="B6" s="104">
        <f>PrimeConsolidated!C31/100</f>
        <v>0</v>
      </c>
      <c r="C6" s="104">
        <f>PrimeConsolidated!D31/100</f>
        <v>0</v>
      </c>
      <c r="D6" s="104">
        <f>PrimeConsolidated!E31/100</f>
        <v>0</v>
      </c>
      <c r="F6" s="99" t="s">
        <v>951</v>
      </c>
      <c r="G6" s="103" t="str">
        <f>PrimeConsolidated!C97</f>
        <v>-</v>
      </c>
      <c r="H6" s="103" t="str">
        <f>PrimeConsolidated!D97</f>
        <v>-</v>
      </c>
      <c r="I6" s="103" t="str">
        <f>PrimeConsolidated!E97</f>
        <v>-</v>
      </c>
      <c r="J6" s="99" t="s">
        <v>952</v>
      </c>
      <c r="K6" s="100">
        <f>B28</f>
        <v>0</v>
      </c>
      <c r="L6" s="100">
        <f t="shared" ref="L6:M6" si="5">C28</f>
        <v>0</v>
      </c>
      <c r="M6" s="100">
        <f t="shared" si="5"/>
        <v>0</v>
      </c>
    </row>
    <row r="7" spans="1:13">
      <c r="A7" s="101" t="s">
        <v>953</v>
      </c>
      <c r="B7" s="105">
        <f>IFERROR(PrimeConsolidated!C31/PrimeConsolidated!C20,0)</f>
        <v>0</v>
      </c>
      <c r="C7" s="105">
        <f>IFERROR(PrimeConsolidated!D31/PrimeConsolidated!D20,0)</f>
        <v>0</v>
      </c>
      <c r="D7" s="105">
        <f>IFERROR(PrimeConsolidated!E31/PrimeConsolidated!E20,0)</f>
        <v>0</v>
      </c>
      <c r="F7" s="99" t="s">
        <v>954</v>
      </c>
      <c r="G7" s="100" t="str">
        <f>PrimeConsolidated!C98</f>
        <v>-</v>
      </c>
      <c r="H7" s="100" t="str">
        <f>PrimeConsolidated!D98</f>
        <v>-</v>
      </c>
      <c r="I7" s="100" t="str">
        <f>PrimeConsolidated!E98</f>
        <v>-</v>
      </c>
      <c r="J7" s="99" t="s">
        <v>800</v>
      </c>
      <c r="K7" s="100">
        <f>B32</f>
        <v>0</v>
      </c>
      <c r="L7" s="100">
        <f t="shared" ref="L7:M7" si="6">C32</f>
        <v>0</v>
      </c>
      <c r="M7" s="100">
        <f t="shared" si="6"/>
        <v>0</v>
      </c>
    </row>
    <row r="8" spans="1:13">
      <c r="A8" s="101" t="s">
        <v>955</v>
      </c>
      <c r="B8" s="104">
        <f>(PrimeConsolidated!C37+PrimeConsolidated!C38)/100</f>
        <v>0</v>
      </c>
      <c r="C8" s="104">
        <f>(PrimeConsolidated!D37+PrimeConsolidated!D38)/100</f>
        <v>0</v>
      </c>
      <c r="D8" s="104">
        <f>(PrimeConsolidated!E37+PrimeConsolidated!E38)/100</f>
        <v>0</v>
      </c>
    </row>
    <row r="9" spans="1:13">
      <c r="A9" s="101" t="s">
        <v>570</v>
      </c>
      <c r="B9" s="104">
        <f>PrimeConsolidated!C32/100</f>
        <v>0</v>
      </c>
      <c r="C9" s="104">
        <f>PrimeConsolidated!D32/100</f>
        <v>0</v>
      </c>
      <c r="D9" s="104">
        <f>PrimeConsolidated!E32/100</f>
        <v>0</v>
      </c>
    </row>
    <row r="10" spans="1:13">
      <c r="A10" s="101" t="s">
        <v>956</v>
      </c>
      <c r="B10" s="104">
        <f>(PrimeConsolidated!C42-PrimeConsolidated!C27)/100</f>
        <v>0</v>
      </c>
      <c r="C10" s="104">
        <f>(PrimeConsolidated!D42-PrimeConsolidated!D27)/100</f>
        <v>0</v>
      </c>
      <c r="D10" s="104">
        <f>(PrimeConsolidated!E42-PrimeConsolidated!E27)/100</f>
        <v>0</v>
      </c>
    </row>
    <row r="11" spans="1:13">
      <c r="A11" s="101" t="s">
        <v>957</v>
      </c>
      <c r="B11" s="104">
        <f>PrimeConsolidated!C27/100</f>
        <v>0</v>
      </c>
      <c r="C11" s="104">
        <f>PrimeConsolidated!D27/100</f>
        <v>0</v>
      </c>
      <c r="D11" s="104">
        <f>PrimeConsolidated!E27/100</f>
        <v>0</v>
      </c>
    </row>
    <row r="12" spans="1:13">
      <c r="A12" s="101" t="s">
        <v>737</v>
      </c>
      <c r="B12" s="104">
        <f>PrimeConsolidated!C44/100</f>
        <v>0</v>
      </c>
      <c r="C12" s="104">
        <f>PrimeConsolidated!D44/100</f>
        <v>0</v>
      </c>
      <c r="D12" s="104">
        <f>PrimeConsolidated!E44/100</f>
        <v>0</v>
      </c>
    </row>
    <row r="13" spans="1:13">
      <c r="A13" s="101" t="s">
        <v>958</v>
      </c>
      <c r="B13" s="105">
        <f>IFERROR((PrimeConsolidated!C44-PrimeConsolidated!C27)/PrimeConsolidated!C20,0)</f>
        <v>0</v>
      </c>
      <c r="C13" s="105">
        <f>IFERROR((PrimeConsolidated!D44-PrimeConsolidated!D27)/PrimeConsolidated!D20,0)</f>
        <v>0</v>
      </c>
      <c r="D13" s="105">
        <f>IFERROR((PrimeConsolidated!E44-PrimeConsolidated!E27)/PrimeConsolidated!E20,0)</f>
        <v>0</v>
      </c>
    </row>
    <row r="14" spans="1:13">
      <c r="A14" s="101" t="s">
        <v>959</v>
      </c>
      <c r="B14" s="104">
        <f>(PrimeConsolidated!C48-PrimeConsolidated!C45)/100</f>
        <v>0</v>
      </c>
      <c r="C14" s="104">
        <f>(PrimeConsolidated!D48-PrimeConsolidated!D45)/100</f>
        <v>0</v>
      </c>
      <c r="D14" s="104">
        <f>(PrimeConsolidated!E48-PrimeConsolidated!E45)/100</f>
        <v>0</v>
      </c>
    </row>
    <row r="15" spans="1:13">
      <c r="A15" s="101" t="s">
        <v>960</v>
      </c>
      <c r="B15" s="104">
        <f>PrimeConsolidated!C48/100</f>
        <v>0</v>
      </c>
      <c r="C15" s="104">
        <f>PrimeConsolidated!D48/100</f>
        <v>0</v>
      </c>
      <c r="D15" s="104">
        <f>PrimeConsolidated!E48/100</f>
        <v>0</v>
      </c>
    </row>
    <row r="16" spans="1:13">
      <c r="A16" s="101" t="s">
        <v>961</v>
      </c>
      <c r="B16" s="104">
        <f>PrimeConsolidated!C65/100</f>
        <v>0</v>
      </c>
      <c r="C16" s="104">
        <f>PrimeConsolidated!D65/100</f>
        <v>0</v>
      </c>
      <c r="D16" s="104">
        <f>PrimeConsolidated!E65/100</f>
        <v>0</v>
      </c>
    </row>
    <row r="17" spans="1:4">
      <c r="A17" s="106" t="s">
        <v>749</v>
      </c>
      <c r="B17" s="104"/>
      <c r="C17" s="104"/>
      <c r="D17" s="104"/>
    </row>
    <row r="18" spans="1:4">
      <c r="A18" s="107" t="s">
        <v>962</v>
      </c>
      <c r="B18" s="108">
        <f>PrimeConsolidated!C56/100</f>
        <v>0</v>
      </c>
      <c r="C18" s="108">
        <f>PrimeConsolidated!D56/100</f>
        <v>0</v>
      </c>
      <c r="D18" s="108">
        <f>PrimeConsolidated!E56/100</f>
        <v>0</v>
      </c>
    </row>
    <row r="19" spans="1:4">
      <c r="A19" s="107" t="s">
        <v>963</v>
      </c>
      <c r="B19" s="108">
        <f>PrimeConsolidated!C59/100</f>
        <v>0</v>
      </c>
      <c r="C19" s="108">
        <f>PrimeConsolidated!D59/100</f>
        <v>0</v>
      </c>
      <c r="D19" s="108">
        <f>PrimeConsolidated!E59/100</f>
        <v>0</v>
      </c>
    </row>
    <row r="20" spans="1:4">
      <c r="A20" s="107" t="s">
        <v>964</v>
      </c>
      <c r="B20" s="108">
        <f>PrimeConsolidated!C60/100</f>
        <v>0</v>
      </c>
      <c r="C20" s="108">
        <f>PrimeConsolidated!D60/100</f>
        <v>0</v>
      </c>
      <c r="D20" s="108">
        <f>PrimeConsolidated!E60/100</f>
        <v>0</v>
      </c>
    </row>
    <row r="21" spans="1:4">
      <c r="A21" s="107" t="s">
        <v>965</v>
      </c>
      <c r="B21" s="108">
        <f>PrimeConsolidated!C61/100</f>
        <v>0</v>
      </c>
      <c r="C21" s="108">
        <f>PrimeConsolidated!D61/100</f>
        <v>0</v>
      </c>
      <c r="D21" s="108">
        <f>PrimeConsolidated!E61/100</f>
        <v>0</v>
      </c>
    </row>
    <row r="22" spans="1:4">
      <c r="A22" s="107" t="s">
        <v>966</v>
      </c>
      <c r="B22" s="108">
        <f>SUM(PrimeConsolidated!C86:C88)/100</f>
        <v>0</v>
      </c>
      <c r="C22" s="108">
        <f>SUM(PrimeConsolidated!D86:D88)/100</f>
        <v>0</v>
      </c>
      <c r="D22" s="108">
        <f>SUM(PrimeConsolidated!E86:E88)/100</f>
        <v>0</v>
      </c>
    </row>
    <row r="23" spans="1:4">
      <c r="A23" s="107" t="s">
        <v>967</v>
      </c>
      <c r="B23" s="108">
        <f>SUM(B20:B22)</f>
        <v>0</v>
      </c>
      <c r="C23" s="108">
        <f>SUM(C20:C22)</f>
        <v>0</v>
      </c>
      <c r="D23" s="108">
        <f>SUM(D20:D22)</f>
        <v>0</v>
      </c>
    </row>
    <row r="24" spans="1:4">
      <c r="A24" s="107" t="s">
        <v>968</v>
      </c>
      <c r="B24" s="108">
        <f>PrimeConsolidated!C110/100</f>
        <v>0</v>
      </c>
      <c r="C24" s="108">
        <f>PrimeConsolidated!D110/100</f>
        <v>0</v>
      </c>
      <c r="D24" s="108">
        <f>PrimeConsolidated!E110/100</f>
        <v>0</v>
      </c>
    </row>
    <row r="25" spans="1:4">
      <c r="A25" s="107" t="s">
        <v>969</v>
      </c>
      <c r="B25" s="108">
        <f>IFERROR(B24/B18,0)</f>
        <v>0</v>
      </c>
      <c r="C25" s="108">
        <f t="shared" ref="C25:D25" si="7">IFERROR(C24/C18,0)</f>
        <v>0</v>
      </c>
      <c r="D25" s="108">
        <f t="shared" si="7"/>
        <v>0</v>
      </c>
    </row>
    <row r="26" spans="1:4">
      <c r="A26" s="101" t="s">
        <v>970</v>
      </c>
      <c r="B26" s="104">
        <f>IFERROR(B23/B18,0)</f>
        <v>0</v>
      </c>
      <c r="C26" s="104">
        <f t="shared" ref="C26:D26" si="8">IFERROR(C23/C18,0)</f>
        <v>0</v>
      </c>
      <c r="D26" s="104">
        <f t="shared" si="8"/>
        <v>0</v>
      </c>
    </row>
    <row r="27" spans="1:4">
      <c r="A27" s="101" t="s">
        <v>971</v>
      </c>
      <c r="B27" s="104">
        <f>IFERROR(B23/B19,0)</f>
        <v>0</v>
      </c>
      <c r="C27" s="104">
        <f t="shared" ref="C27:D27" si="9">IFERROR(C23/C19,0)</f>
        <v>0</v>
      </c>
      <c r="D27" s="104">
        <f t="shared" si="9"/>
        <v>0</v>
      </c>
    </row>
    <row r="28" spans="1:4">
      <c r="A28" s="101" t="s">
        <v>972</v>
      </c>
      <c r="B28" s="104">
        <f>IFERROR(B24/B19,0)</f>
        <v>0</v>
      </c>
      <c r="C28" s="104">
        <f t="shared" ref="C28:D28" si="10">IFERROR(C24/C19,0)</f>
        <v>0</v>
      </c>
      <c r="D28" s="104">
        <f t="shared" si="10"/>
        <v>0</v>
      </c>
    </row>
    <row r="29" spans="1:4">
      <c r="A29" s="101" t="s">
        <v>973</v>
      </c>
      <c r="B29" s="104">
        <f>PrimeConsolidated!C67/100</f>
        <v>0</v>
      </c>
      <c r="C29" s="104">
        <f>PrimeConsolidated!D67/100</f>
        <v>0</v>
      </c>
      <c r="D29" s="104">
        <f>PrimeConsolidated!E67/100</f>
        <v>0</v>
      </c>
    </row>
    <row r="30" spans="1:4">
      <c r="A30" s="101" t="s">
        <v>974</v>
      </c>
      <c r="B30" s="104">
        <f>PrimeConsolidated!C79/100</f>
        <v>0</v>
      </c>
      <c r="C30" s="104">
        <f>PrimeConsolidated!D79/100</f>
        <v>0</v>
      </c>
      <c r="D30" s="104">
        <f>PrimeConsolidated!E79/100</f>
        <v>0</v>
      </c>
    </row>
    <row r="31" spans="1:4">
      <c r="A31" s="101" t="s">
        <v>796</v>
      </c>
      <c r="B31" s="104">
        <f>IFERROR(B29/B30,0)</f>
        <v>0</v>
      </c>
      <c r="C31" s="104">
        <f t="shared" ref="C31:D31" si="11">IFERROR(C29/C30,0)</f>
        <v>0</v>
      </c>
      <c r="D31" s="104">
        <f t="shared" si="11"/>
        <v>0</v>
      </c>
    </row>
    <row r="32" spans="1:4">
      <c r="A32" s="101" t="s">
        <v>800</v>
      </c>
      <c r="B32" s="104">
        <f>PrimeConsolidated!C114</f>
        <v>0</v>
      </c>
      <c r="C32" s="104">
        <f>PrimeConsolidated!D114</f>
        <v>0</v>
      </c>
      <c r="D32" s="104">
        <f>PrimeConsolidated!E114</f>
        <v>0</v>
      </c>
    </row>
    <row r="33" spans="1:4">
      <c r="A33" s="101" t="s">
        <v>938</v>
      </c>
      <c r="B33" s="104">
        <f>PrimeConsolidated!C115</f>
        <v>0</v>
      </c>
      <c r="C33" s="104">
        <f>PrimeConsolidated!D115</f>
        <v>0</v>
      </c>
      <c r="D33" s="104">
        <f>PrimeConsolidated!E115</f>
        <v>0</v>
      </c>
    </row>
    <row r="34" spans="1:4">
      <c r="A34" s="101" t="s">
        <v>975</v>
      </c>
      <c r="B34" s="104" t="str">
        <f>PrimeConsolidated!C98</f>
        <v>-</v>
      </c>
      <c r="C34" s="104" t="str">
        <f>PrimeConsolidated!D98</f>
        <v>-</v>
      </c>
      <c r="D34" s="104" t="str">
        <f>PrimeConsolidated!E98</f>
        <v>-</v>
      </c>
    </row>
    <row r="35" spans="1:4">
      <c r="A35" s="101" t="s">
        <v>976</v>
      </c>
      <c r="B35" s="104">
        <f>IFERROR(B23/B6,0)</f>
        <v>0</v>
      </c>
      <c r="C35" s="104">
        <f t="shared" ref="C35:D35" si="12">IFERROR(C23/C6,0)</f>
        <v>0</v>
      </c>
      <c r="D35" s="104">
        <f t="shared" si="12"/>
        <v>0</v>
      </c>
    </row>
    <row r="36" spans="1:4">
      <c r="A36" s="101" t="s">
        <v>977</v>
      </c>
      <c r="B36" s="104">
        <f>IFERROR(B23/B14,0)</f>
        <v>0</v>
      </c>
      <c r="C36" s="104">
        <f t="shared" ref="C36:D36" si="13">IFERROR(C23/C14,0)</f>
        <v>0</v>
      </c>
      <c r="D36" s="104">
        <f t="shared" si="13"/>
        <v>0</v>
      </c>
    </row>
    <row r="37" spans="1:4">
      <c r="A37" s="101" t="s">
        <v>978</v>
      </c>
      <c r="B37" s="104" t="str">
        <f>PrimeConsolidated!C105</f>
        <v>-</v>
      </c>
      <c r="C37" s="104" t="str">
        <f>PrimeConsolidated!D105</f>
        <v>-</v>
      </c>
      <c r="D37" s="104" t="str">
        <f>PrimeConsolidated!E105</f>
        <v>-</v>
      </c>
    </row>
    <row r="38" spans="1:4">
      <c r="A38" s="101" t="s">
        <v>979</v>
      </c>
      <c r="B38" s="104" t="str">
        <f>PrimeConsolidated!C104</f>
        <v>-</v>
      </c>
      <c r="C38" s="104" t="str">
        <f>PrimeConsolidated!D104</f>
        <v>-</v>
      </c>
      <c r="D38" s="104" t="str">
        <f>PrimeConsolidated!E104</f>
        <v>-</v>
      </c>
    </row>
    <row r="39" spans="1:4">
      <c r="A39" s="101" t="s">
        <v>980</v>
      </c>
      <c r="B39" s="104" t="str">
        <f>PrimeConsolidated!C106</f>
        <v>-</v>
      </c>
      <c r="C39" s="104" t="str">
        <f>PrimeConsolidated!D106</f>
        <v>-</v>
      </c>
      <c r="D39" s="104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69930555555555596" right="0.69930555555555596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2" customWidth="1"/>
    <col min="2" max="2" width="46.28515625" style="83" customWidth="1"/>
    <col min="3" max="3" width="10.140625" style="83" customWidth="1"/>
    <col min="4" max="4" width="11.5703125" style="83" customWidth="1"/>
    <col min="5" max="5" width="10.140625" style="83" customWidth="1"/>
    <col min="6" max="16384" width="9.140625" style="83" hidden="1"/>
  </cols>
  <sheetData>
    <row r="1" spans="1:5">
      <c r="A1" s="84"/>
      <c r="B1" s="85" t="s">
        <v>981</v>
      </c>
      <c r="C1" s="86" t="str">
        <f>PrimeConsolidated!C7</f>
        <v>FY 2022-23</v>
      </c>
      <c r="D1" s="86" t="str">
        <f>PrimeConsolidated!D7</f>
        <v>FY 2021-22</v>
      </c>
      <c r="E1" s="86" t="str">
        <f>PrimeConsolidated!B7</f>
        <v>Provisionals</v>
      </c>
    </row>
    <row r="2" spans="1:5">
      <c r="A2" s="87"/>
      <c r="B2" s="87"/>
      <c r="C2" s="532" t="s">
        <v>710</v>
      </c>
      <c r="D2" s="533"/>
      <c r="E2" s="534"/>
    </row>
    <row r="3" spans="1:5">
      <c r="A3" s="84" t="s">
        <v>982</v>
      </c>
      <c r="B3" s="88" t="s">
        <v>983</v>
      </c>
      <c r="C3" s="89"/>
      <c r="D3" s="87"/>
      <c r="E3" s="89"/>
    </row>
    <row r="4" spans="1:5">
      <c r="A4" s="84"/>
      <c r="B4" s="87" t="s">
        <v>984</v>
      </c>
      <c r="C4" s="90">
        <f>PrimeConsolidated!C42</f>
        <v>0</v>
      </c>
      <c r="D4" s="90">
        <f>PrimeConsolidated!D42</f>
        <v>0</v>
      </c>
      <c r="E4" s="90">
        <f>PrimeConsolidated!B42</f>
        <v>0</v>
      </c>
    </row>
    <row r="5" spans="1:5">
      <c r="A5" s="84"/>
      <c r="B5" s="87" t="s">
        <v>985</v>
      </c>
      <c r="C5" s="90">
        <f>PrimeConsolidated!C32</f>
        <v>0</v>
      </c>
      <c r="D5" s="90">
        <f>PrimeConsolidated!D32</f>
        <v>0</v>
      </c>
      <c r="E5" s="90">
        <f>PrimeConsolidated!B32</f>
        <v>0</v>
      </c>
    </row>
    <row r="6" spans="1:5">
      <c r="A6" s="84"/>
      <c r="B6" s="87" t="s">
        <v>986</v>
      </c>
      <c r="C6" s="90">
        <f>SUM(PrimeConsolidated!C37:C38)</f>
        <v>0</v>
      </c>
      <c r="D6" s="90">
        <f>SUM(PrimeConsolidated!D37:D38)</f>
        <v>0</v>
      </c>
      <c r="E6" s="90">
        <f>SUM(PrimeConsolidated!B37:B38)</f>
        <v>0</v>
      </c>
    </row>
    <row r="7" spans="1:5">
      <c r="A7" s="84"/>
      <c r="B7" s="87" t="s">
        <v>987</v>
      </c>
      <c r="C7" s="90">
        <f>-PrimeConsolidated!C17</f>
        <v>0</v>
      </c>
      <c r="D7" s="90">
        <f>-PrimeConsolidated!D17</f>
        <v>0</v>
      </c>
      <c r="E7" s="90">
        <f>-PrimeConsolidated!B17</f>
        <v>0</v>
      </c>
    </row>
    <row r="8" spans="1:5">
      <c r="A8" s="84"/>
      <c r="B8" s="84" t="s">
        <v>988</v>
      </c>
      <c r="C8" s="91">
        <f t="shared" ref="C8:E8" si="0">SUM(C4:C7)</f>
        <v>0</v>
      </c>
      <c r="D8" s="91">
        <f t="shared" si="0"/>
        <v>0</v>
      </c>
      <c r="E8" s="91">
        <f t="shared" si="0"/>
        <v>0</v>
      </c>
    </row>
    <row r="9" spans="1:5">
      <c r="A9" s="84"/>
      <c r="B9" s="87"/>
      <c r="C9" s="90"/>
      <c r="D9" s="87"/>
      <c r="E9" s="90"/>
    </row>
    <row r="10" spans="1:5">
      <c r="A10" s="84"/>
      <c r="B10" s="87" t="s">
        <v>989</v>
      </c>
      <c r="C10" s="90">
        <f>PrimeConsolidated!C79-PrimeConsolidated!D79</f>
        <v>0</v>
      </c>
      <c r="D10" s="90">
        <f>PrimeConsolidated!D79-PrimeConsolidated!E79</f>
        <v>0</v>
      </c>
      <c r="E10" s="90">
        <f>PrimeConsolidated!B79-PrimeConsolidated!C79</f>
        <v>0</v>
      </c>
    </row>
    <row r="11" spans="1:5">
      <c r="A11" s="84"/>
      <c r="B11" s="87" t="s">
        <v>990</v>
      </c>
      <c r="C11" s="90">
        <f>-PrimeConsolidated!C68+PrimeConsolidated!D68</f>
        <v>0</v>
      </c>
      <c r="D11" s="90">
        <f>-PrimeConsolidated!D68+PrimeConsolidated!E68</f>
        <v>0</v>
      </c>
      <c r="E11" s="90">
        <f>-PrimeConsolidated!B68+PrimeConsolidated!C68</f>
        <v>0</v>
      </c>
    </row>
    <row r="12" spans="1:5">
      <c r="A12" s="84"/>
      <c r="B12" s="87" t="s">
        <v>991</v>
      </c>
      <c r="C12" s="90">
        <f>-PrimeConsolidated!C73+PrimeConsolidated!D73</f>
        <v>0</v>
      </c>
      <c r="D12" s="90">
        <f>-PrimeConsolidated!D73+PrimeConsolidated!E73</f>
        <v>0</v>
      </c>
      <c r="E12" s="90">
        <f>-PrimeConsolidated!B73+PrimeConsolidated!C73</f>
        <v>0</v>
      </c>
    </row>
    <row r="13" spans="1:5">
      <c r="A13" s="84"/>
      <c r="B13" s="87" t="s">
        <v>992</v>
      </c>
      <c r="C13" s="90">
        <f>-SUM(PrimeConsolidated!C76,PrimeConsolidated!C78)+SUM(PrimeConsolidated!D76,PrimeConsolidated!D78)</f>
        <v>0</v>
      </c>
      <c r="D13" s="90">
        <f>-SUM(PrimeConsolidated!D76,PrimeConsolidated!D78)+SUM(PrimeConsolidated!E76,PrimeConsolidated!E78)</f>
        <v>0</v>
      </c>
      <c r="E13" s="90">
        <f>-SUM(PrimeConsolidated!B76,PrimeConsolidated!B78)+SUM(PrimeConsolidated!C76,PrimeConsolidated!C78)</f>
        <v>0</v>
      </c>
    </row>
    <row r="14" spans="1:5">
      <c r="A14" s="84"/>
      <c r="B14" s="87" t="s">
        <v>993</v>
      </c>
      <c r="C14" s="92">
        <f>-SUM(PrimeConsolidated!C55,PrimeConsolidated!C90)+SUM(PrimeConsolidated!D55,PrimeConsolidated!D90)</f>
        <v>0</v>
      </c>
      <c r="D14" s="92">
        <f>-SUM(PrimeConsolidated!D55,PrimeConsolidated!D90)+SUM(PrimeConsolidated!E55,PrimeConsolidated!E90)</f>
        <v>0</v>
      </c>
      <c r="E14" s="92">
        <f>-SUM(PrimeConsolidated!B55,PrimeConsolidated!B90)+SUM(PrimeConsolidated!C55,PrimeConsolidated!C90)</f>
        <v>0</v>
      </c>
    </row>
    <row r="15" spans="1:5">
      <c r="A15" s="84"/>
      <c r="B15" s="87" t="s">
        <v>994</v>
      </c>
      <c r="C15" s="92">
        <f>-PrimeConsolidated!C43</f>
        <v>0</v>
      </c>
      <c r="D15" s="92">
        <f>-PrimeConsolidated!D43</f>
        <v>0</v>
      </c>
      <c r="E15" s="92">
        <f>-PrimeConsolidated!B43</f>
        <v>0</v>
      </c>
    </row>
    <row r="16" spans="1:5">
      <c r="A16" s="84"/>
      <c r="B16" s="87"/>
      <c r="C16" s="90"/>
      <c r="D16" s="87"/>
      <c r="E16" s="90"/>
    </row>
    <row r="17" spans="1:5">
      <c r="A17" s="84"/>
      <c r="B17" s="93" t="s">
        <v>983</v>
      </c>
      <c r="C17" s="94">
        <f t="shared" ref="C17:E17" si="1">SUM(C8:C15)</f>
        <v>0</v>
      </c>
      <c r="D17" s="94">
        <f t="shared" si="1"/>
        <v>0</v>
      </c>
      <c r="E17" s="94">
        <f t="shared" si="1"/>
        <v>0</v>
      </c>
    </row>
    <row r="18" spans="1:5">
      <c r="A18" s="84"/>
      <c r="B18" s="87"/>
      <c r="C18" s="90"/>
      <c r="D18" s="87"/>
      <c r="E18" s="90"/>
    </row>
    <row r="19" spans="1:5">
      <c r="A19" s="84" t="s">
        <v>995</v>
      </c>
      <c r="B19" s="88" t="s">
        <v>996</v>
      </c>
      <c r="C19" s="90"/>
      <c r="D19" s="87"/>
      <c r="E19" s="90"/>
    </row>
    <row r="20" spans="1:5">
      <c r="A20" s="84"/>
      <c r="B20" s="87" t="s">
        <v>997</v>
      </c>
      <c r="C20" s="90">
        <f>PrimeConsolidated!C17</f>
        <v>0</v>
      </c>
      <c r="D20" s="90">
        <f>PrimeConsolidated!D17</f>
        <v>0</v>
      </c>
      <c r="E20" s="90">
        <f>PrimeConsolidated!B17</f>
        <v>0</v>
      </c>
    </row>
    <row r="21" spans="1:5">
      <c r="A21" s="84"/>
      <c r="B21" s="87" t="s">
        <v>998</v>
      </c>
      <c r="C21" s="90">
        <f>-PrimeConsolidated!C66+PrimeConsolidated!D66</f>
        <v>0</v>
      </c>
      <c r="D21" s="90">
        <f>-PrimeConsolidated!D66+PrimeConsolidated!E66</f>
        <v>0</v>
      </c>
      <c r="E21" s="90">
        <f>-PrimeConsolidated!B66+PrimeConsolidated!C66</f>
        <v>0</v>
      </c>
    </row>
    <row r="22" spans="1:5">
      <c r="A22" s="84"/>
      <c r="B22" s="87" t="s">
        <v>999</v>
      </c>
      <c r="C22" s="90">
        <f>-SUM(PrimeConsolidated!C65,PrimeConsolidated!C32)+PrimeConsolidated!D65</f>
        <v>0</v>
      </c>
      <c r="D22" s="90">
        <f>-SUM(PrimeConsolidated!D65,PrimeConsolidated!D32)+PrimeConsolidated!E65</f>
        <v>0</v>
      </c>
      <c r="E22" s="90">
        <f>-SUM(PrimeConsolidated!B65,PrimeConsolidated!B32)+PrimeConsolidated!C65</f>
        <v>0</v>
      </c>
    </row>
    <row r="23" spans="1:5">
      <c r="A23" s="84"/>
      <c r="B23" s="87"/>
      <c r="C23" s="90"/>
      <c r="D23" s="87"/>
      <c r="E23" s="90"/>
    </row>
    <row r="24" spans="1:5">
      <c r="A24" s="84"/>
      <c r="B24" s="93" t="s">
        <v>996</v>
      </c>
      <c r="C24" s="94">
        <f t="shared" ref="C24:E24" si="2">SUM(C20:C22)</f>
        <v>0</v>
      </c>
      <c r="D24" s="94">
        <f t="shared" si="2"/>
        <v>0</v>
      </c>
      <c r="E24" s="94">
        <f t="shared" si="2"/>
        <v>0</v>
      </c>
    </row>
    <row r="25" spans="1:5">
      <c r="A25" s="84"/>
      <c r="B25" s="87"/>
      <c r="C25" s="90"/>
      <c r="D25" s="87"/>
      <c r="E25" s="90"/>
    </row>
    <row r="26" spans="1:5">
      <c r="A26" s="84" t="s">
        <v>1000</v>
      </c>
      <c r="B26" s="88" t="s">
        <v>1001</v>
      </c>
      <c r="C26" s="90"/>
      <c r="D26" s="87"/>
      <c r="E26" s="90"/>
    </row>
    <row r="27" spans="1:5">
      <c r="A27" s="84"/>
      <c r="B27" s="87" t="s">
        <v>1002</v>
      </c>
      <c r="C27" s="90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0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0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4"/>
      <c r="B28" s="87" t="s">
        <v>1003</v>
      </c>
      <c r="C28" s="90">
        <f>SUM(PrimeConsolidated!C86:C88)-SUM(PrimeConsolidated!D86:D88)</f>
        <v>0</v>
      </c>
      <c r="D28" s="90">
        <f>SUM(PrimeConsolidated!D86:D88)-SUM(PrimeConsolidated!E86:E88)</f>
        <v>0</v>
      </c>
      <c r="E28" s="90">
        <f>SUM(PrimeConsolidated!B86:B88)-SUM(PrimeConsolidated!C86:C88)</f>
        <v>0</v>
      </c>
    </row>
    <row r="29" spans="1:5">
      <c r="A29" s="84"/>
      <c r="B29" s="87" t="s">
        <v>1004</v>
      </c>
      <c r="C29" s="90">
        <f>PrimeConsolidated!C60-PrimeConsolidated!D60</f>
        <v>0</v>
      </c>
      <c r="D29" s="90">
        <f>PrimeConsolidated!D60-PrimeConsolidated!E60</f>
        <v>0</v>
      </c>
      <c r="E29" s="90">
        <f>PrimeConsolidated!B60-PrimeConsolidated!C60</f>
        <v>0</v>
      </c>
    </row>
    <row r="30" spans="1:5">
      <c r="A30" s="84"/>
      <c r="B30" s="87" t="s">
        <v>1005</v>
      </c>
      <c r="C30" s="90">
        <f t="shared" ref="C30:E30" si="3">-C6</f>
        <v>0</v>
      </c>
      <c r="D30" s="90">
        <f t="shared" si="3"/>
        <v>0</v>
      </c>
      <c r="E30" s="90">
        <f t="shared" si="3"/>
        <v>0</v>
      </c>
    </row>
    <row r="31" spans="1:5">
      <c r="A31" s="84"/>
      <c r="B31" s="87" t="s">
        <v>1006</v>
      </c>
      <c r="C31" s="90">
        <f>PrimeConsolidated!C61-PrimeConsolidated!D61</f>
        <v>0</v>
      </c>
      <c r="D31" s="90">
        <f>PrimeConsolidated!D61-PrimeConsolidated!E61</f>
        <v>0</v>
      </c>
      <c r="E31" s="90">
        <f>PrimeConsolidated!B61-PrimeConsolidated!C61</f>
        <v>0</v>
      </c>
    </row>
    <row r="32" spans="1:5">
      <c r="A32" s="84"/>
      <c r="B32" s="87"/>
      <c r="C32" s="90"/>
      <c r="D32" s="87"/>
      <c r="E32" s="90"/>
    </row>
    <row r="33" spans="1:5">
      <c r="A33" s="84"/>
      <c r="B33" s="93" t="s">
        <v>1001</v>
      </c>
      <c r="C33" s="94">
        <f t="shared" ref="C33:E33" si="4">SUM(C27:C31)</f>
        <v>0</v>
      </c>
      <c r="D33" s="94">
        <f t="shared" si="4"/>
        <v>0</v>
      </c>
      <c r="E33" s="94">
        <f t="shared" si="4"/>
        <v>0</v>
      </c>
    </row>
    <row r="34" spans="1:5">
      <c r="A34" s="84"/>
      <c r="B34" s="87"/>
      <c r="C34" s="90"/>
      <c r="D34" s="87"/>
      <c r="E34" s="90"/>
    </row>
    <row r="35" spans="1:5">
      <c r="A35" s="84" t="s">
        <v>1007</v>
      </c>
      <c r="B35" s="84" t="s">
        <v>1008</v>
      </c>
      <c r="C35" s="91">
        <f t="shared" ref="C35:E35" si="5">C17+C24+C33</f>
        <v>0</v>
      </c>
      <c r="D35" s="91">
        <f t="shared" si="5"/>
        <v>0</v>
      </c>
      <c r="E35" s="91">
        <f t="shared" si="5"/>
        <v>0</v>
      </c>
    </row>
    <row r="36" spans="1:5">
      <c r="A36" s="84"/>
      <c r="B36" s="87"/>
      <c r="C36" s="90"/>
      <c r="D36" s="87"/>
      <c r="E36" s="90"/>
    </row>
    <row r="37" spans="1:5">
      <c r="A37" s="84" t="s">
        <v>1009</v>
      </c>
      <c r="B37" s="84" t="s">
        <v>1010</v>
      </c>
      <c r="C37" s="91">
        <f>PrimeConsolidated!D77</f>
        <v>0</v>
      </c>
      <c r="D37" s="91">
        <f>PrimeConsolidated!E77</f>
        <v>0</v>
      </c>
      <c r="E37" s="91">
        <f>PrimeConsolidated!C77</f>
        <v>0</v>
      </c>
    </row>
    <row r="38" spans="1:5">
      <c r="A38" s="84"/>
      <c r="B38" s="87"/>
      <c r="C38" s="90"/>
      <c r="D38" s="87"/>
      <c r="E38" s="90"/>
    </row>
    <row r="39" spans="1:5">
      <c r="A39" s="84" t="s">
        <v>1011</v>
      </c>
      <c r="B39" s="84" t="s">
        <v>1012</v>
      </c>
      <c r="C39" s="91">
        <f>PrimeConsolidated!C77</f>
        <v>0</v>
      </c>
      <c r="D39" s="91">
        <f>PrimeConsolidated!D77</f>
        <v>0</v>
      </c>
      <c r="E39" s="91">
        <f>PrimeConsolidated!B77</f>
        <v>0</v>
      </c>
    </row>
    <row r="40" spans="1:5">
      <c r="A40" s="84"/>
      <c r="B40" s="84"/>
      <c r="C40" s="91"/>
      <c r="D40" s="87"/>
      <c r="E40" s="91"/>
    </row>
    <row r="41" spans="1:5" ht="25.5">
      <c r="A41" s="84" t="s">
        <v>1013</v>
      </c>
      <c r="B41" s="84" t="s">
        <v>1014</v>
      </c>
      <c r="C41" s="91">
        <f t="shared" ref="C41:E41" si="6">C35+C37</f>
        <v>0</v>
      </c>
      <c r="D41" s="91">
        <f t="shared" si="6"/>
        <v>0</v>
      </c>
      <c r="E41" s="91">
        <f t="shared" si="6"/>
        <v>0</v>
      </c>
    </row>
    <row r="42" spans="1:5">
      <c r="A42" s="84"/>
      <c r="B42" s="87"/>
      <c r="C42" s="87"/>
      <c r="D42" s="87"/>
      <c r="E42" s="87"/>
    </row>
    <row r="43" spans="1:5">
      <c r="A43" s="84" t="s">
        <v>1015</v>
      </c>
      <c r="B43" s="84" t="s">
        <v>1016</v>
      </c>
      <c r="C43" s="95">
        <f t="shared" ref="C43:E43" si="7">C41-C39</f>
        <v>0</v>
      </c>
      <c r="D43" s="95">
        <f t="shared" si="7"/>
        <v>0</v>
      </c>
      <c r="E43" s="95">
        <f t="shared" si="7"/>
        <v>0</v>
      </c>
    </row>
    <row r="48" spans="1:5" hidden="1">
      <c r="C48" s="96"/>
      <c r="E48" s="96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69930555555555596" right="0.69930555555555596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topLeftCell="A126" workbookViewId="0">
      <selection activeCell="C36" sqref="C35:E36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482" t="s">
        <v>16</v>
      </c>
      <c r="C1" s="482"/>
      <c r="D1" s="482"/>
      <c r="E1" s="482"/>
      <c r="F1" s="482"/>
      <c r="G1" s="482"/>
    </row>
    <row r="2" spans="1:10">
      <c r="A2" s="45" t="s">
        <v>585</v>
      </c>
      <c r="B2" s="484">
        <v>28045</v>
      </c>
      <c r="C2" s="484"/>
      <c r="D2" s="484"/>
      <c r="E2" s="484"/>
      <c r="F2" s="484"/>
      <c r="G2" s="484"/>
    </row>
    <row r="3" spans="1:10">
      <c r="A3" s="45" t="s">
        <v>589</v>
      </c>
      <c r="B3" s="482" t="s">
        <v>17</v>
      </c>
      <c r="C3" s="482"/>
      <c r="D3" s="482"/>
      <c r="E3" s="482"/>
      <c r="F3" s="482"/>
      <c r="G3" s="482"/>
    </row>
    <row r="4" spans="1:10">
      <c r="A4" s="45" t="s">
        <v>591</v>
      </c>
      <c r="B4" s="482" t="s">
        <v>184</v>
      </c>
      <c r="C4" s="482"/>
      <c r="D4" s="482"/>
      <c r="E4" s="482"/>
      <c r="F4" s="482"/>
      <c r="G4" s="482"/>
    </row>
    <row r="5" spans="1:10">
      <c r="A5" s="45" t="s">
        <v>593</v>
      </c>
      <c r="B5" s="482" t="s">
        <v>1017</v>
      </c>
      <c r="C5" s="482"/>
      <c r="D5" s="482"/>
      <c r="E5" s="482"/>
      <c r="F5" s="482"/>
      <c r="G5" s="482"/>
    </row>
    <row r="6" spans="1:10">
      <c r="A6" s="45" t="s">
        <v>595</v>
      </c>
      <c r="B6" s="482" t="s">
        <v>823</v>
      </c>
      <c r="C6" s="482"/>
      <c r="D6" s="482"/>
      <c r="E6" s="482"/>
      <c r="F6" s="482"/>
      <c r="G6" s="482"/>
    </row>
    <row r="7" spans="1:10" ht="25.5">
      <c r="A7" s="45" t="s">
        <v>597</v>
      </c>
      <c r="B7" s="487">
        <v>2023</v>
      </c>
      <c r="C7" s="487"/>
      <c r="D7" s="487"/>
      <c r="E7" s="487"/>
      <c r="F7" s="487"/>
      <c r="G7" s="487"/>
    </row>
    <row r="8" spans="1:10">
      <c r="A8" s="45" t="s">
        <v>824</v>
      </c>
      <c r="B8" s="482" t="s">
        <v>20</v>
      </c>
      <c r="C8" s="482"/>
      <c r="D8" s="482"/>
      <c r="E8" s="482"/>
      <c r="F8" s="482"/>
      <c r="G8" s="482"/>
    </row>
    <row r="9" spans="1:10">
      <c r="A9" s="45" t="s">
        <v>825</v>
      </c>
      <c r="B9" s="488">
        <v>1</v>
      </c>
      <c r="C9" s="488"/>
      <c r="D9" s="488"/>
      <c r="E9" s="488"/>
      <c r="F9" s="488"/>
      <c r="G9" s="488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>Financial Details: SONA NAVANI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2022-23</v>
      </c>
      <c r="D14" s="50" t="str">
        <f>IF($B$7&lt;&gt;"",CONCATENATE("FY ",$B$7-2,"-",$B$7-2001),"FY 2018-19")</f>
        <v>FY 2021-22</v>
      </c>
      <c r="E14" s="51" t="str">
        <f>IF($B$7&lt;&gt;"",CONCATENATE("FY ",$B$7-3,"-",$B$7-2002),"FY 2017-18")</f>
        <v>FY 2020-21</v>
      </c>
      <c r="F14" s="52" t="s">
        <v>712</v>
      </c>
      <c r="G14" s="52" t="s">
        <v>713</v>
      </c>
      <c r="H14" s="1"/>
      <c r="I14" s="1"/>
      <c r="J14" s="1"/>
    </row>
    <row r="15" spans="1:10" ht="15">
      <c r="A15" s="79" t="s">
        <v>839</v>
      </c>
      <c r="B15" s="80"/>
      <c r="C15" s="57"/>
      <c r="D15" s="57"/>
      <c r="E15" s="57">
        <f>'CSV1'!H4+'CSV1'!O4+'CSV1'!Q4+SUM('CSV1'!EM4:EN4)+SUM('CSV1'!GE4:GG4)</f>
        <v>0</v>
      </c>
      <c r="F15" s="81" t="str">
        <f>IFERROR((C15-D15)/D15,"-")</f>
        <v>-</v>
      </c>
      <c r="G15" s="81" t="str">
        <f>IFERROR((D15-E15)/E15,"-")</f>
        <v>-</v>
      </c>
    </row>
    <row r="16" spans="1:10">
      <c r="A16" s="79" t="s">
        <v>840</v>
      </c>
      <c r="B16" s="57"/>
      <c r="C16" s="57"/>
      <c r="D16" s="57"/>
      <c r="E16" s="57"/>
      <c r="F16" s="81" t="str">
        <f t="shared" ref="F16:F56" si="0">IFERROR((C16-D16)/D16,"-")</f>
        <v>-</v>
      </c>
      <c r="G16" s="81" t="str">
        <f t="shared" ref="G16:G56" si="1">IFERROR((D16-E16)/E16,"-")</f>
        <v>-</v>
      </c>
    </row>
    <row r="17" spans="1:7">
      <c r="A17" s="79" t="s">
        <v>841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1" t="str">
        <f t="shared" si="0"/>
        <v>-</v>
      </c>
      <c r="G17" s="81" t="str">
        <f t="shared" si="1"/>
        <v>-</v>
      </c>
    </row>
    <row r="18" spans="1:7">
      <c r="A18" s="79" t="s">
        <v>842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1" t="str">
        <f t="shared" si="0"/>
        <v>-</v>
      </c>
      <c r="G18" s="81" t="str">
        <f t="shared" si="1"/>
        <v>-</v>
      </c>
    </row>
    <row r="19" spans="1:7">
      <c r="A19" s="79" t="s">
        <v>843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1" t="str">
        <f t="shared" si="0"/>
        <v>-</v>
      </c>
      <c r="G19" s="81" t="str">
        <f t="shared" si="1"/>
        <v>-</v>
      </c>
    </row>
    <row r="20" spans="1:7">
      <c r="A20" s="79" t="s">
        <v>844</v>
      </c>
      <c r="B20" s="57"/>
      <c r="C20" s="57"/>
      <c r="D20" s="57"/>
      <c r="E20" s="57"/>
      <c r="F20" s="81" t="str">
        <f t="shared" si="0"/>
        <v>-</v>
      </c>
      <c r="G20" s="81" t="str">
        <f t="shared" si="1"/>
        <v>-</v>
      </c>
    </row>
    <row r="21" spans="1:7">
      <c r="A21" s="79" t="s">
        <v>845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1" t="str">
        <f t="shared" si="0"/>
        <v>-</v>
      </c>
      <c r="G21" s="81" t="str">
        <f t="shared" si="1"/>
        <v>-</v>
      </c>
    </row>
    <row r="22" spans="1:7">
      <c r="A22" s="79" t="s">
        <v>846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1" t="str">
        <f t="shared" si="0"/>
        <v>-</v>
      </c>
      <c r="G22" s="81" t="str">
        <f t="shared" si="1"/>
        <v>-</v>
      </c>
    </row>
    <row r="23" spans="1:7" ht="25.5">
      <c r="A23" s="79" t="s">
        <v>847</v>
      </c>
      <c r="B23" s="57"/>
      <c r="C23" s="57"/>
      <c r="D23" s="57"/>
      <c r="E23" s="57"/>
      <c r="F23" s="81" t="str">
        <f t="shared" ref="F23" si="2">IFERROR((C23-D23)/D23,"-")</f>
        <v>-</v>
      </c>
      <c r="G23" s="81" t="str">
        <f t="shared" ref="G23" si="3">IFERROR((D23-E23)/E23,"-")</f>
        <v>-</v>
      </c>
    </row>
    <row r="24" spans="1:7">
      <c r="A24" s="79" t="s">
        <v>848</v>
      </c>
      <c r="B24" s="57"/>
      <c r="C24" s="57">
        <f>'CSV1'!K6+'CSV1'!L6+'CSV1'!W6+'CSV1'!X6</f>
        <v>0</v>
      </c>
      <c r="D24" s="57">
        <f>'CSV1'!K5+'CSV1'!L5+'CSV1'!W5+'CSV1'!X5</f>
        <v>0</v>
      </c>
      <c r="E24" s="57">
        <f>'CSV1'!K4+'CSV1'!L4+'CSV1'!W4+'CSV1'!X4</f>
        <v>0</v>
      </c>
      <c r="F24" s="81" t="str">
        <f t="shared" si="0"/>
        <v>-</v>
      </c>
      <c r="G24" s="81" t="str">
        <f t="shared" si="1"/>
        <v>-</v>
      </c>
    </row>
    <row r="25" spans="1:7">
      <c r="A25" s="79" t="s">
        <v>849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1" t="str">
        <f t="shared" si="0"/>
        <v>-</v>
      </c>
      <c r="G25" s="81" t="str">
        <f t="shared" si="1"/>
        <v>-</v>
      </c>
    </row>
    <row r="26" spans="1:7">
      <c r="A26" s="79" t="s">
        <v>850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1" t="str">
        <f t="shared" si="0"/>
        <v>-</v>
      </c>
      <c r="G26" s="81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'CSV1'!AK6+'CSV1'!AL6+'CSV1'!AM6</f>
        <v>0</v>
      </c>
      <c r="D29" s="55">
        <f>'CSV1'!AK5+'CSV1'!AL5+'CSV1'!AM5</f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857</v>
      </c>
      <c r="B30" s="55"/>
      <c r="C30" s="55">
        <f>'CSV1'!AO6+'CSV1'!AP6+'CSV1'!AQ6+'CSV1'!AR6+'CSV1'!AS6+'CSV1'!AT6+'CSV1'!AU6+'CSV1'!AV6</f>
        <v>0</v>
      </c>
      <c r="D30" s="55">
        <f>'CSV1'!AO5+'CSV1'!AP5+'CSV1'!AQ5+'CSV1'!AR5+'CSV1'!AS5+'CSV1'!AT5+'CSV1'!AU5+'CSV1'!AV5</f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859</v>
      </c>
      <c r="B31" s="55"/>
      <c r="C31" s="55">
        <f>'CSV1'!AF6+'CSV1'!AG6+'CSV1'!AH6</f>
        <v>0</v>
      </c>
      <c r="D31" s="55">
        <f>'CSV1'!AF5+'CSV1'!AG5+'CSV1'!AH5</f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861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5"/>
      <c r="C34" s="55">
        <f>'CSV1'!Y6+'CSV1'!AC6+'CSV1'!AD6</f>
        <v>0</v>
      </c>
      <c r="D34" s="55">
        <f>'CSV1'!Y5+'CSV1'!AC5+'CSV1'!AD5</f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5"/>
      <c r="C35" s="55"/>
      <c r="D35" s="55"/>
      <c r="E35" s="55"/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5"/>
      <c r="C36" s="55"/>
      <c r="D36" s="55"/>
      <c r="E36" s="55"/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5"/>
      <c r="C37" s="55">
        <f>SUM('CSV1'!BZ6:CA6)+SUM('CSV1'!CB6,'CSV1'!CC6,'CSV1'!CE6,'CSV1'!CF6)+SUM('CSV1'!CV6:CZ6)</f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5"/>
      <c r="C39" s="55">
        <f>'CSV1'!DQ6+'CSV1'!FX6</f>
        <v>0</v>
      </c>
      <c r="D39" s="55">
        <f>'CSV1'!DQ5</f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328" t="str">
        <f>B14</f>
        <v>Provisionals</v>
      </c>
      <c r="C58" s="65" t="str">
        <f>IF($B$7&lt;&gt;"",CONCATENATE("31/03/",$B$7),"31/03/2020")</f>
        <v>31/03/2023</v>
      </c>
      <c r="D58" s="65" t="str">
        <f>IF($B$7&lt;&gt;"",CONCATENATE("31/03/",$B$7-1),"31/03/2019")</f>
        <v>31/03/2022</v>
      </c>
      <c r="E58" s="66" t="str">
        <f>IF($B$7&lt;&gt;"",CONCATENATE("31/03/",$B$7-2),"31/03/2018")</f>
        <v>31/03/2021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'CSV1'!I25+'CSV1'!J25+'CSV1'!I31+'CSV1'!J31</f>
        <v>0</v>
      </c>
      <c r="D59" s="55">
        <f>'CSV1'!I24+'CSV1'!J24</f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883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884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f>SUM('CSV1'!I12:L12)-'CSV1'!BQ12+SUM('CSV1'!I18:M18)-'CSV1'!CU18+SUM('CSV1'!L24:S24)+'CSV1'!U24+SUM('CSV1'!W24:X24)</f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885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887</v>
      </c>
      <c r="B64" s="54"/>
      <c r="C64" s="55">
        <f>'CSV1'!AK25+'CSV1'!BC25+'CSV1'!AC19+'CSV1'!AC31+'CSV1'!AD31+'CSV1'!AF31+'CSV1'!AG31+'CSV1'!AO31+SUM('CSV1'!AV31:AX31)+'CSV1'!BM31</f>
        <v>0</v>
      </c>
      <c r="D64" s="55">
        <f>'CSV1'!AK24+'CSV1'!BC24+'CSV1'!AC18</f>
        <v>0</v>
      </c>
      <c r="E64" s="55">
        <f>'CSV1'!AK23+'CSV1'!BC23+'CSV1'!AC17</f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888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890</v>
      </c>
      <c r="B67" s="54"/>
      <c r="C67" s="55">
        <f>SUM('CSV1'!Z25:AA25)+SUM('CSV1'!AC25:AE25)+SUM('CSV1'!P19:R19)+SUM('CSV1'!O13:Q13)+'CSV1'!I36+SUM('CSV1'!T31:U31)+SUM('CSV1'!W31:Y31)</f>
        <v>0</v>
      </c>
      <c r="D67" s="55">
        <f>SUM('CSV1'!Z24:AA24)+SUM('CSV1'!AC24:AE24)+SUM('CSV1'!P18:R18)+SUM('CSV1'!O12:Q12)+'CSV1'!I35</f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891</v>
      </c>
      <c r="B68" s="54"/>
      <c r="C68" s="55">
        <f>'CSV1'!AL25+'CSV1'!BD25+SUM('CSV1'!U19:X19)+SUM('CSV1'!T13:U13)+'CSV1'!J36</f>
        <v>0</v>
      </c>
      <c r="D68" s="55">
        <f>'CSV1'!AL24+'CSV1'!BD24+SUM('CSV1'!U18:X18)+SUM('CSV1'!T12:U12)+'CSV1'!J35</f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893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894</v>
      </c>
      <c r="B72" s="55"/>
      <c r="C72" s="55">
        <f>'CSV1'!CF25+'CSV1'!CJ25+'CSV1'!AI19+'CSV1'!AB13+SUM('CSV1'!CK25:CL25)+'CSV1'!AC13+'CSV1'!AJ19+'CSV1'!O36+'CSV1'!BY31+'CSV1'!BZ31+'CSV1'!CG31+'CSV1'!CL31+'CSV1'!CM31+'CSV1'!CP31</f>
        <v>0</v>
      </c>
      <c r="D72" s="55">
        <f>'CSV1'!CF24+'CSV1'!CJ24+'CSV1'!AI18+'CSV1'!AB12+SUM('CSV1'!CK24:CL24)+'CSV1'!AC12+'CSV1'!AJ18+'CSV1'!O35</f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895</v>
      </c>
      <c r="B73" s="55"/>
      <c r="C73" s="55">
        <f>'CSV1'!CN25+'CSV1'!CO25+'CSV1'!CP25+SUM('CSV1'!CR25:CW25)+'CSV1'!DA25+SUM('CSV1'!DP25:DQ25)+SUM('CSV1'!DS25:DX25)+SUM('CSV1'!AL19:AN19)+SUM('CSV1'!AP19:AT19)+SUM('CSV1'!AV19:AW19)+SUM('CSV1'!AY19:BC19)+'CSV1'!BX19+SUM('CSV1'!AE13:AF13)+SUM('CSV1'!AH13:AJ13)+'CSV1'!AY13+SUM('CSV1'!CR31:CS31)+SUM('CSV1'!CU31:CZ31)+'CSV1'!DF31+SUM('CSV1'!EG31:EH31)+SUM('CSV1'!EJ31:EO31)+'CSV1'!CD31</f>
        <v>0</v>
      </c>
      <c r="D73" s="55">
        <f>'CSV1'!CN24+'CSV1'!CO24+'CSV1'!CP24+SUM('CSV1'!CR24:CW24)+'CSV1'!DA24+SUM('CSV1'!DP24:DQ24)+SUM('CSV1'!DS24:DX24)+SUM('CSV1'!AL18:AN18)+SUM('CSV1'!AP18:AT18)+SUM('CSV1'!AV18:AW18)+SUM('CSV1'!AY18:BC18)+'CSV1'!BX18+SUM('CSV1'!AE12:AF12)+SUM('CSV1'!AH12:AJ12)+'CSV1'!AY12</f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29" t="s">
        <v>897</v>
      </c>
      <c r="B76" s="54"/>
      <c r="C76" s="55">
        <f>'CSV1'!DZ25+'CSV1'!BF19+'CSV1'!AN13+'CSV1'!DX31</f>
        <v>0</v>
      </c>
      <c r="D76" s="55">
        <f>'CSV1'!DZ24+'CSV1'!BF18+'CSV1'!AN12</f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29" t="s">
        <v>898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29" t="s">
        <v>899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29" t="s">
        <v>900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29" t="s">
        <v>902</v>
      </c>
      <c r="B81" s="54"/>
      <c r="C81" s="55">
        <f>SUM('CSV1'!DH25:DI25)+'CSV1'!EI25+'CSV1'!BO19+'CSV1'!AR13+'CSV1'!Q36+SUM('CSV1'!DB31:DC31)+SUM('CSV1'!DM31:DN31)+SUM('CSV1'!EQ31:ER31)</f>
        <v>0</v>
      </c>
      <c r="D81" s="55">
        <f>SUM('CSV1'!DH24:DI24)+'CSV1'!EI24+'CSV1'!BO18+'CSV1'!AR12+'CSV1'!Q35</f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29" t="s">
        <v>903</v>
      </c>
      <c r="B82" s="54"/>
      <c r="C82" s="55">
        <f>'CSV1'!DJ25+'CSV1'!DL25+'CSV1'!EH25+'CSV1'!BN19+'CSV1'!DD31+'CSV1'!ES31</f>
        <v>0</v>
      </c>
      <c r="D82" s="55">
        <f>'CSV1'!DJ24+'CSV1'!DL24+'CSV1'!EH24+'CSV1'!BN18</f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904</v>
      </c>
      <c r="B83" s="54"/>
      <c r="C83" s="55">
        <f>'CSV1'!CZ25+'CSV1'!DC25+'CSV1'!EQ25+'CSV1'!EV25+'CSV1'!BU19+'CSV1'!BW19+'CSV1'!AV13+'CSV1'!AX13+'CSV1'!T36+'CSV1'!U36+'CSV1'!DH31+SUM('CSV1'!DQ31:DS31)+SUM('CSV1'!FB31:FD31)+'CSV1'!FI31+SUM('CSV1'!FL31:FM31)+'CSV1'!FK31</f>
        <v>0</v>
      </c>
      <c r="D83" s="55">
        <f>'CSV1'!CZ24+'CSV1'!DC24+'CSV1'!EQ24+'CSV1'!EV24+'CSV1'!BU18+'CSV1'!BW18+'CSV1'!AV12+'CSV1'!AX12+'CSV1'!T35+'CSV1'!U35</f>
        <v>0</v>
      </c>
      <c r="E83" s="55">
        <f>'CSV1'!CZ23+'CSV1'!DC23+'CSV1'!EQ23+'CSV1'!EV23+'CSV1'!BU17+'CSV1'!BW17+'CSV1'!AV11+'CSV1'!AX11+'CSV1'!T34+'CSV1'!U34</f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379</v>
      </c>
      <c r="B84" s="54"/>
      <c r="C84" s="55">
        <f>SUM('CSV1'!EK25:EN25)+SUM('CSV1'!BQ19:BS19)+SUM('CSV1'!AS13:AT13)+'CSV1'!BW13+'CSV1'!S36+'CSV1'!R36+SUM('CSV1'!EV31:EY31)+'CSV1'!FA31</f>
        <v>0</v>
      </c>
      <c r="D84" s="55">
        <f>SUM('CSV1'!EK24:EN24)+SUM('CSV1'!BQ18:BS18)+SUM('CSV1'!AS12:AT12)+'CSV1'!BW12+'CSV1'!S35+'CSV1'!R35</f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905</v>
      </c>
      <c r="B85" s="54"/>
      <c r="C85" s="55">
        <f>'CSV1'!BY19+'CSV1'!AZ13</f>
        <v>0</v>
      </c>
      <c r="D85" s="55">
        <f>'CSV1'!BY18+'CSV1'!AZ12</f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907</v>
      </c>
      <c r="B87" s="54"/>
      <c r="C87" s="55">
        <f>'CSV1'!AP25+SUM('CSV1'!BG25:BH25)+SUM('CSV1'!CD19:CE19)+'CSV1'!BC13+'CSV1'!BU13+'CSV1'!L36+'CSV1'!AI31+'CSV1'!AZ31</f>
        <v>0</v>
      </c>
      <c r="D87" s="55">
        <f>'CSV1'!AP24+SUM('CSV1'!BG24:BH24)+SUM('CSV1'!CD18:CE18)+'CSV1'!BC12+'CSV1'!BU12+'CSV1'!L35</f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908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909</v>
      </c>
      <c r="B89" s="54"/>
      <c r="C89" s="55">
        <f>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89" s="55">
        <f>SUM('CSV1'!AI24:AJ24)+'CSV1'!AM24+'CSV1'!BB24+'CSV1'!BE24+'CSV1'!BJ24+'CSV1'!BO24+'CSV1'!BP24+'CSV1'!BQ24+'CSV1'!BR24+'CSV1'!BS24+'CSV1'!CG18+'CSV1'!CK18+'CSV1'!BD12+'CSV1'!K35+'CSV1'!M35</f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910</v>
      </c>
      <c r="B90" s="54"/>
      <c r="C90" s="55">
        <f>SUM('CSV1'!AS25:AT25)+SUM('CSV1'!BK25:BM25)+SUM('CSV1'!BU25:BY25)+SUM('CSV1'!CH19:CI19)+SUM('CSV1'!CM19:CO19)+SUM('CSV1'!BE13:BF13)+SUM('CSV1'!BH13:BK13)+SUM('CSV1'!AK31:AL31)+SUM('CSV1'!BB31:BC31)+SUM('CSV1'!BP31:BQ31)</f>
        <v>0</v>
      </c>
      <c r="D90" s="55">
        <f>SUM('CSV1'!AS24:AT24)+SUM('CSV1'!BK24:BM24)+SUM('CSV1'!BU24:BY24)+SUM('CSV1'!CH18:CI18)+SUM('CSV1'!CM18:CO18)+SUM('CSV1'!BE12:BF12)+SUM('CSV1'!BH12:BK12)</f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913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915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917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13">D98-D69</f>
        <v>0</v>
      </c>
      <c r="E99" s="74">
        <f t="shared" si="13"/>
        <v>0</v>
      </c>
      <c r="F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31/03/2023</v>
      </c>
      <c r="D100" s="50" t="str">
        <f>D58</f>
        <v>31/03/2022</v>
      </c>
      <c r="E100" s="50" t="str">
        <f>E58</f>
        <v>31/03/2021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2000000}">
      <formula1>INDIRECT(B5,1)</formula1>
    </dataValidation>
    <dataValidation type="whole" allowBlank="1" showInputMessage="1" showErrorMessage="1" sqref="B7" xr:uid="{00000000-0002-0000-1B00-000003000000}">
      <formula1>YEAR(TODAY())-3</formula1>
      <formula2>YEAR(TODAY())</formula2>
    </dataValidation>
    <dataValidation type="list" allowBlank="1" showInputMessage="1" showErrorMessage="1" sqref="B8" xr:uid="{00000000-0002-0000-1B00-000004000000}">
      <formula1>"Y,N"</formula1>
    </dataValidation>
    <dataValidation type="decimal" allowBlank="1" showInputMessage="1" showErrorMessage="1" sqref="B9" xr:uid="{00000000-0002-0000-1B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2" sqref="B2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 t="s">
        <v>21</v>
      </c>
      <c r="C1" s="536"/>
      <c r="D1" s="536"/>
      <c r="E1" s="536"/>
      <c r="F1" s="536"/>
      <c r="G1" s="536"/>
    </row>
    <row r="2" spans="1:10">
      <c r="A2" s="45" t="s">
        <v>585</v>
      </c>
      <c r="B2" s="537">
        <v>27030</v>
      </c>
      <c r="C2" s="537"/>
      <c r="D2" s="537"/>
      <c r="E2" s="537"/>
      <c r="F2" s="537"/>
      <c r="G2" s="537"/>
    </row>
    <row r="3" spans="1:10">
      <c r="A3" s="45" t="s">
        <v>589</v>
      </c>
      <c r="B3" s="482" t="s">
        <v>17</v>
      </c>
      <c r="C3" s="482"/>
      <c r="D3" s="482"/>
      <c r="E3" s="482"/>
      <c r="F3" s="482"/>
      <c r="G3" s="482"/>
    </row>
    <row r="4" spans="1:10">
      <c r="A4" s="45" t="s">
        <v>591</v>
      </c>
      <c r="B4" s="482" t="s">
        <v>184</v>
      </c>
      <c r="C4" s="482"/>
      <c r="D4" s="482"/>
      <c r="E4" s="482"/>
      <c r="F4" s="482"/>
      <c r="G4" s="482"/>
    </row>
    <row r="5" spans="1:10">
      <c r="A5" s="45" t="s">
        <v>593</v>
      </c>
      <c r="B5" s="482" t="s">
        <v>1017</v>
      </c>
      <c r="C5" s="482"/>
      <c r="D5" s="482"/>
      <c r="E5" s="482"/>
      <c r="F5" s="482"/>
      <c r="G5" s="482"/>
    </row>
    <row r="6" spans="1:10">
      <c r="A6" s="45" t="s">
        <v>595</v>
      </c>
      <c r="B6" s="482" t="s">
        <v>823</v>
      </c>
      <c r="C6" s="482"/>
      <c r="D6" s="482"/>
      <c r="E6" s="482"/>
      <c r="F6" s="482"/>
      <c r="G6" s="482"/>
    </row>
    <row r="7" spans="1:10" ht="25.5">
      <c r="A7" s="45" t="s">
        <v>597</v>
      </c>
      <c r="B7" s="487">
        <v>2023</v>
      </c>
      <c r="C7" s="487"/>
      <c r="D7" s="487"/>
      <c r="E7" s="487"/>
      <c r="F7" s="487"/>
      <c r="G7" s="487"/>
    </row>
    <row r="8" spans="1:10">
      <c r="A8" s="45" t="s">
        <v>824</v>
      </c>
      <c r="B8" s="482" t="s">
        <v>24</v>
      </c>
      <c r="C8" s="482"/>
      <c r="D8" s="482"/>
      <c r="E8" s="482"/>
      <c r="F8" s="482"/>
      <c r="G8" s="482"/>
    </row>
    <row r="9" spans="1:10">
      <c r="A9" s="45" t="s">
        <v>825</v>
      </c>
      <c r="B9" s="488">
        <v>1</v>
      </c>
      <c r="C9" s="488"/>
      <c r="D9" s="488"/>
      <c r="E9" s="488"/>
      <c r="F9" s="488"/>
      <c r="G9" s="488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NITIN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2022-23</v>
      </c>
      <c r="D14" s="50" t="str">
        <f>IF($B$7&lt;&gt;"",CONCATENATE("FY ",$B$7-2,"-",$B$7-2001),"FY 2018-19")</f>
        <v>FY 2021-22</v>
      </c>
      <c r="E14" s="51" t="str">
        <f>IF($B$7&lt;&gt;"",CONCATENATE("FY ",$B$7-3,"-",$B$7-2002),"FY 2017-18")</f>
        <v>FY 2020-21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'CSV2'!H6+'CSV2'!O6+'CSV2'!Q6+SUM('CSV2'!EM6:EN6)+SUM('CSV2'!GE6:GG6)</f>
        <v>0</v>
      </c>
      <c r="D15" s="55">
        <f>'CSV2'!H5+'CSV2'!O5+'CSV2'!Q5+SUM('CSV2'!EM5:EN5)+SUM('CSV2'!GE5:GG5)</f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SUM('CSV2'!BA6:BB6)+'CSV2'!BQ6+'CSV2'!BR6+'CSV2'!BS6+'CSV2'!BT6+SUM('CSV2'!BW6:BY6)+SUM('CSV2'!CH6:CI6)+SUM('CSV2'!CK6:CU6)+'CSV2'!DB6+'CSV2'!DD6+'CSV2'!DJ6+'CSV2'!EF6+'CSV2'!EJ6+SUM('CSV2'!EM6:EO6)-'CSV2'!EP6+'CSV2'!GA6</f>
        <v>0</v>
      </c>
      <c r="D36" s="55">
        <f>SUM('CSV2'!BA5:BB5)+'CSV2'!BQ5+'CSV2'!BR5+'CSV2'!BS5+'CSV2'!BT5+SUM('CSV2'!BW5:BY5)+SUM('CSV2'!CH5:CI5)+SUM('CSV2'!CK5:CU5)+'CSV2'!DB5+'CSV2'!DD5+'CSV2'!DJ5+'CSV2'!EF5+'CSV2'!EJ5+SUM('CSV2'!EM5:EO5)-'CSV2'!EP5</f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'CSV2'!DQ6+'CSV2'!FX6</f>
        <v>0</v>
      </c>
      <c r="D39" s="55">
        <f>'CSV2'!DQ5</f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65" t="str">
        <f>IF($B$7&lt;&gt;"",CONCATENATE("31/03/",$B$7),"31/03/2020")</f>
        <v>31/03/2023</v>
      </c>
      <c r="D58" s="65" t="str">
        <f>IF($B$7&lt;&gt;"",CONCATENATE("31/03/",$B$7-1),"31/03/2019")</f>
        <v>31/03/2022</v>
      </c>
      <c r="E58" s="66" t="str">
        <f>IF($B$7&lt;&gt;"",CONCATENATE("31/03/",$B$7-2),"31/03/2018")</f>
        <v>31/03/2021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'CSV2'!I25+'CSV2'!J25+'CSV2'!I31+'CSV2'!J31</f>
        <v>0</v>
      </c>
      <c r="D59" s="55">
        <f>'CSV2'!I24+'CSV2'!J24</f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'CSV2'!CS19+'CSV2'!BO13</f>
        <v>0</v>
      </c>
      <c r="D62" s="55">
        <f>'CSV2'!CS18+'CSV2'!BO12</f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'CSV2'!CF25+'CSV2'!CJ25+'CSV2'!AI19+'CSV2'!AB13+SUM('CSV2'!CK25:CL25)+'CSV2'!AC13+'CSV2'!AJ19+'CSV2'!O36+'CSV2'!BY31+'CSV2'!BZ31+'CSV2'!CG31+'CSV2'!CL31+'CSV2'!CM31+'CSV2'!CP31</f>
        <v>0</v>
      </c>
      <c r="D72" s="55">
        <f>'CSV2'!CF24+'CSV2'!CJ24+'CSV2'!AI18+'CSV2'!AB12+SUM('CSV2'!CK24:CL24)+'CSV2'!AC12+'CSV2'!AJ18+'CSV2'!O35</f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2'!CN25+'CSV2'!CO25+'CSV2'!CP25+SUM('CSV2'!CR25:CW25)+'CSV2'!DA25+SUM('CSV2'!DP25:DQ25)+SUM('CSV2'!DS25:DX25)+SUM('CSV2'!AL19:AN19)+SUM('CSV2'!AP19:AT19)+SUM('CSV2'!AV19:AW19)+SUM('CSV2'!AY19:BC19)+'CSV2'!BX19+SUM('CSV2'!AE13:AF13)+SUM('CSV2'!AH13:AJ13)+'CSV2'!AY13+SUM('CSV2'!CR31:CS31)+SUM('CSV2'!CU31:CZ31)+'CSV2'!DF31+SUM('CSV2'!EG31:EH31)+SUM('CSV2'!EJ31:EO31)+'CSV2'!CD31</f>
        <v>0</v>
      </c>
      <c r="D73" s="55">
        <f>'CSV2'!CN24+'CSV2'!CO24+'CSV2'!CP24+SUM('CSV2'!CR24:CW24)+'CSV2'!DA24+SUM('CSV2'!DP24:DQ24)+SUM('CSV2'!DS24:DX24)+SUM('CSV2'!AL18:AN18)+SUM('CSV2'!AP18:AT18)+SUM('CSV2'!AV18:AW18)+SUM('CSV2'!AY18:BC18)+'CSV2'!BX18+SUM('CSV2'!AE12:AF12)+SUM('CSV2'!AH12:AJ12)+'CSV2'!AY12</f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SUM('CSV2'!DH25:DI25)+'CSV2'!EI25+'CSV2'!BO19+'CSV2'!AR13+'CSV2'!Q36+SUM('CSV2'!DB31:DC31)+SUM('CSV2'!DM31:DN31)+SUM('CSV2'!EQ31:ER31)</f>
        <v>0</v>
      </c>
      <c r="D81" s="55">
        <f>SUM('CSV2'!DH24:DI24)+'CSV2'!EI24+'CSV2'!BO18+'CSV2'!AR12+'CSV2'!Q35</f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'CSV2'!CZ25+'CSV2'!DC25+'CSV2'!EQ25+'CSV2'!EV25+'CSV2'!BU19+'CSV2'!BW19+'CSV2'!AV13+'CSV2'!AX13+'CSV2'!T36+'CSV2'!U36+'CSV2'!DH31+SUM('CSV2'!DQ31:DS31)+SUM('CSV2'!FB31:FD31)+'CSV2'!FI31+SUM('CSV2'!FL31:FM31)+'CSV2'!FK31</f>
        <v>0</v>
      </c>
      <c r="D83" s="55">
        <f>'CSV2'!CZ24+'CSV2'!DC24+'CSV2'!EQ24+'CSV2'!EV24+'CSV2'!BU18+'CSV2'!BW18+'CSV2'!AV12+'CSV2'!AX12+'CSV2'!T35+'CSV2'!U35</f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SUM('CSV2'!EK25:EN25)+SUM('CSV2'!BQ19:BS19)+SUM('CSV2'!AS13:AT13)+'CSV2'!BW13+'CSV2'!S36+'CSV2'!R36+SUM('CSV2'!EV31:EY31)+'CSV2'!FA31</f>
        <v>0</v>
      </c>
      <c r="D84" s="55">
        <f>SUM('CSV2'!EK24:EN24)+SUM('CSV2'!BQ18:BS18)+SUM('CSV2'!AS12:AT12)+'CSV2'!BW12+'CSV2'!S35+'CSV2'!R35</f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31/03/2023</v>
      </c>
      <c r="D100" s="50" t="str">
        <f>D58</f>
        <v>31/03/2022</v>
      </c>
      <c r="E100" s="50" t="str">
        <f>E58</f>
        <v>31/03/2021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2000000}">
      <formula1>INDIRECT(B5,1)</formula1>
    </dataValidation>
    <dataValidation type="whole" allowBlank="1" showInputMessage="1" showErrorMessage="1" sqref="B7" xr:uid="{00000000-0002-0000-1C00-000003000000}">
      <formula1>YEAR(TODAY())-3</formula1>
      <formula2>YEAR(TODAY())</formula2>
    </dataValidation>
    <dataValidation type="list" allowBlank="1" showInputMessage="1" showErrorMessage="1" sqref="B8" xr:uid="{00000000-0002-0000-1C00-000004000000}">
      <formula1>"Y,N"</formula1>
    </dataValidation>
    <dataValidation type="decimal" allowBlank="1" showInputMessage="1" showErrorMessage="1" sqref="B9" xr:uid="{00000000-0002-0000-1C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H14" sqref="H14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/>
      <c r="C1" s="536"/>
      <c r="D1" s="536"/>
      <c r="E1" s="536"/>
      <c r="F1" s="536"/>
      <c r="G1" s="536"/>
    </row>
    <row r="2" spans="1:10">
      <c r="A2" s="45" t="s">
        <v>585</v>
      </c>
      <c r="B2" s="537"/>
      <c r="C2" s="537"/>
      <c r="D2" s="537"/>
      <c r="E2" s="537"/>
      <c r="F2" s="537"/>
      <c r="G2" s="537"/>
    </row>
    <row r="3" spans="1:10">
      <c r="A3" s="45" t="s">
        <v>589</v>
      </c>
      <c r="B3" s="536"/>
      <c r="C3" s="536"/>
      <c r="D3" s="536"/>
      <c r="E3" s="536"/>
      <c r="F3" s="536"/>
      <c r="G3" s="536"/>
    </row>
    <row r="4" spans="1:10">
      <c r="A4" s="45" t="s">
        <v>591</v>
      </c>
      <c r="B4" s="536"/>
      <c r="C4" s="536"/>
      <c r="D4" s="536"/>
      <c r="E4" s="536"/>
      <c r="F4" s="536"/>
      <c r="G4" s="536"/>
    </row>
    <row r="5" spans="1:10">
      <c r="A5" s="45" t="s">
        <v>593</v>
      </c>
      <c r="B5" s="536"/>
      <c r="C5" s="536"/>
      <c r="D5" s="536"/>
      <c r="E5" s="536"/>
      <c r="F5" s="536"/>
      <c r="G5" s="536"/>
    </row>
    <row r="6" spans="1:10">
      <c r="A6" s="45" t="s">
        <v>595</v>
      </c>
      <c r="B6" s="536"/>
      <c r="C6" s="536"/>
      <c r="D6" s="536"/>
      <c r="E6" s="536"/>
      <c r="F6" s="536"/>
      <c r="G6" s="536"/>
    </row>
    <row r="7" spans="1:10" ht="25.5">
      <c r="A7" s="45" t="s">
        <v>597</v>
      </c>
      <c r="B7" s="538"/>
      <c r="C7" s="538"/>
      <c r="D7" s="538"/>
      <c r="E7" s="538"/>
      <c r="F7" s="538"/>
      <c r="G7" s="538"/>
    </row>
    <row r="8" spans="1:10">
      <c r="A8" s="45" t="s">
        <v>824</v>
      </c>
      <c r="B8" s="536"/>
      <c r="C8" s="536"/>
      <c r="D8" s="536"/>
      <c r="E8" s="536"/>
      <c r="F8" s="536"/>
      <c r="G8" s="536"/>
    </row>
    <row r="9" spans="1:10">
      <c r="A9" s="45" t="s">
        <v>825</v>
      </c>
      <c r="B9" s="539"/>
      <c r="C9" s="539"/>
      <c r="D9" s="539"/>
      <c r="E9" s="539"/>
      <c r="F9" s="539"/>
      <c r="G9" s="539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330" t="str">
        <f>IF($B$7&lt;&gt;"",CONCATENATE("31/03/",$B$7),"31/03/2020")</f>
        <v>31/03/2020</v>
      </c>
      <c r="D58" s="330" t="str">
        <f>IF($B$7&lt;&gt;"",CONCATENATE("31/03/",$B$7-1),"31/03/2019")</f>
        <v>31/03/2019</v>
      </c>
      <c r="E58" s="331" t="str">
        <f>IF($B$7&lt;&gt;"",CONCATENATE("31/03/",$B$7-2),"31/03/2018")</f>
        <v>31/03/2018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2000000}">
      <formula1>INDIRECT(B5,1)</formula1>
    </dataValidation>
    <dataValidation type="whole" allowBlank="1" showInputMessage="1" showErrorMessage="1" sqref="B7" xr:uid="{00000000-0002-0000-1D00-000003000000}">
      <formula1>YEAR(TODAY())-3</formula1>
      <formula2>YEAR(TODAY())</formula2>
    </dataValidation>
    <dataValidation type="list" allowBlank="1" showInputMessage="1" showErrorMessage="1" sqref="B8" xr:uid="{00000000-0002-0000-1D00-000004000000}">
      <formula1>"Y,N"</formula1>
    </dataValidation>
    <dataValidation type="decimal" allowBlank="1" showInputMessage="1" showErrorMessage="1" sqref="B9" xr:uid="{00000000-0002-0000-1D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/>
      <c r="C1" s="536"/>
      <c r="D1" s="536"/>
      <c r="E1" s="536"/>
      <c r="F1" s="536"/>
      <c r="G1" s="536"/>
    </row>
    <row r="2" spans="1:10">
      <c r="A2" s="45" t="s">
        <v>585</v>
      </c>
      <c r="B2" s="537"/>
      <c r="C2" s="537"/>
      <c r="D2" s="537"/>
      <c r="E2" s="537"/>
      <c r="F2" s="537"/>
      <c r="G2" s="537"/>
    </row>
    <row r="3" spans="1:10">
      <c r="A3" s="45" t="s">
        <v>589</v>
      </c>
      <c r="B3" s="536"/>
      <c r="C3" s="536"/>
      <c r="D3" s="536"/>
      <c r="E3" s="536"/>
      <c r="F3" s="536"/>
      <c r="G3" s="536"/>
    </row>
    <row r="4" spans="1:10">
      <c r="A4" s="45" t="s">
        <v>591</v>
      </c>
      <c r="B4" s="536"/>
      <c r="C4" s="536"/>
      <c r="D4" s="536"/>
      <c r="E4" s="536"/>
      <c r="F4" s="536"/>
      <c r="G4" s="536"/>
    </row>
    <row r="5" spans="1:10">
      <c r="A5" s="45" t="s">
        <v>593</v>
      </c>
      <c r="B5" s="536"/>
      <c r="C5" s="536"/>
      <c r="D5" s="536"/>
      <c r="E5" s="536"/>
      <c r="F5" s="536"/>
      <c r="G5" s="536"/>
    </row>
    <row r="6" spans="1:10">
      <c r="A6" s="45" t="s">
        <v>595</v>
      </c>
      <c r="B6" s="536"/>
      <c r="C6" s="536"/>
      <c r="D6" s="536"/>
      <c r="E6" s="536"/>
      <c r="F6" s="536"/>
      <c r="G6" s="536"/>
    </row>
    <row r="7" spans="1:10" ht="25.5">
      <c r="A7" s="45" t="s">
        <v>597</v>
      </c>
      <c r="B7" s="538"/>
      <c r="C7" s="538"/>
      <c r="D7" s="538"/>
      <c r="E7" s="538"/>
      <c r="F7" s="538"/>
      <c r="G7" s="538"/>
    </row>
    <row r="8" spans="1:10">
      <c r="A8" s="45" t="s">
        <v>824</v>
      </c>
      <c r="B8" s="536"/>
      <c r="C8" s="536"/>
      <c r="D8" s="536"/>
      <c r="E8" s="536"/>
      <c r="F8" s="536"/>
      <c r="G8" s="536"/>
    </row>
    <row r="9" spans="1:10">
      <c r="A9" s="45" t="s">
        <v>825</v>
      </c>
      <c r="B9" s="539"/>
      <c r="C9" s="539"/>
      <c r="D9" s="539"/>
      <c r="E9" s="539"/>
      <c r="F9" s="539"/>
      <c r="G9" s="539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330" t="str">
        <f>IF($B$7&lt;&gt;"",CONCATENATE("31/03/",$B$7),"31/03/2020")</f>
        <v>31/03/2020</v>
      </c>
      <c r="D58" s="330" t="str">
        <f>IF($B$7&lt;&gt;"",CONCATENATE("31/03/",$B$7-1),"31/03/2019")</f>
        <v>31/03/2019</v>
      </c>
      <c r="E58" s="331" t="str">
        <f>IF($B$7&lt;&gt;"",CONCATENATE("31/03/",$B$7-2),"31/03/2018")</f>
        <v>31/03/2018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2000000}">
      <formula1>INDIRECT(B5,1)</formula1>
    </dataValidation>
    <dataValidation type="whole" allowBlank="1" showInputMessage="1" showErrorMessage="1" sqref="B7" xr:uid="{00000000-0002-0000-1E00-000003000000}">
      <formula1>YEAR(TODAY())-3</formula1>
      <formula2>YEAR(TODAY())</formula2>
    </dataValidation>
    <dataValidation type="list" allowBlank="1" showInputMessage="1" showErrorMessage="1" sqref="B8" xr:uid="{00000000-0002-0000-1E00-000004000000}">
      <formula1>"Y,N"</formula1>
    </dataValidation>
    <dataValidation type="decimal" allowBlank="1" showInputMessage="1" showErrorMessage="1" sqref="B9" xr:uid="{00000000-0002-0000-1E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/>
      <c r="C1" s="536"/>
      <c r="D1" s="536"/>
      <c r="E1" s="536"/>
      <c r="F1" s="536"/>
      <c r="G1" s="536"/>
    </row>
    <row r="2" spans="1:10">
      <c r="A2" s="45" t="s">
        <v>585</v>
      </c>
      <c r="B2" s="537"/>
      <c r="C2" s="537"/>
      <c r="D2" s="537"/>
      <c r="E2" s="537"/>
      <c r="F2" s="537"/>
      <c r="G2" s="537"/>
    </row>
    <row r="3" spans="1:10">
      <c r="A3" s="45" t="s">
        <v>589</v>
      </c>
      <c r="B3" s="536"/>
      <c r="C3" s="536"/>
      <c r="D3" s="536"/>
      <c r="E3" s="536"/>
      <c r="F3" s="536"/>
      <c r="G3" s="536"/>
    </row>
    <row r="4" spans="1:10">
      <c r="A4" s="45" t="s">
        <v>591</v>
      </c>
      <c r="B4" s="536"/>
      <c r="C4" s="536"/>
      <c r="D4" s="536"/>
      <c r="E4" s="536"/>
      <c r="F4" s="536"/>
      <c r="G4" s="536"/>
    </row>
    <row r="5" spans="1:10">
      <c r="A5" s="45" t="s">
        <v>593</v>
      </c>
      <c r="B5" s="536"/>
      <c r="C5" s="536"/>
      <c r="D5" s="536"/>
      <c r="E5" s="536"/>
      <c r="F5" s="536"/>
      <c r="G5" s="536"/>
    </row>
    <row r="6" spans="1:10">
      <c r="A6" s="45" t="s">
        <v>595</v>
      </c>
      <c r="B6" s="536"/>
      <c r="C6" s="536"/>
      <c r="D6" s="536"/>
      <c r="E6" s="536"/>
      <c r="F6" s="536"/>
      <c r="G6" s="536"/>
    </row>
    <row r="7" spans="1:10" ht="25.5">
      <c r="A7" s="45" t="s">
        <v>597</v>
      </c>
      <c r="B7" s="538"/>
      <c r="C7" s="538"/>
      <c r="D7" s="538"/>
      <c r="E7" s="538"/>
      <c r="F7" s="538"/>
      <c r="G7" s="538"/>
    </row>
    <row r="8" spans="1:10">
      <c r="A8" s="45" t="s">
        <v>824</v>
      </c>
      <c r="B8" s="536"/>
      <c r="C8" s="536"/>
      <c r="D8" s="536"/>
      <c r="E8" s="536"/>
      <c r="F8" s="536"/>
      <c r="G8" s="536"/>
    </row>
    <row r="9" spans="1:10">
      <c r="A9" s="45" t="s">
        <v>825</v>
      </c>
      <c r="B9" s="539"/>
      <c r="C9" s="539"/>
      <c r="D9" s="539"/>
      <c r="E9" s="539"/>
      <c r="F9" s="539"/>
      <c r="G9" s="539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330" t="str">
        <f>IF($B$7&lt;&gt;"",CONCATENATE("31/03/",$B$7),"31/03/2020")</f>
        <v>31/03/2020</v>
      </c>
      <c r="D58" s="330" t="str">
        <f>IF($B$7&lt;&gt;"",CONCATENATE("31/03/",$B$7-1),"31/03/2019")</f>
        <v>31/03/2019</v>
      </c>
      <c r="E58" s="331" t="str">
        <f>IF($B$7&lt;&gt;"",CONCATENATE("31/03/",$B$7-2),"31/03/2018")</f>
        <v>31/03/2018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2000000}">
      <formula1>INDIRECT(B5,1)</formula1>
    </dataValidation>
    <dataValidation type="whole" allowBlank="1" showInputMessage="1" showErrorMessage="1" sqref="B7" xr:uid="{00000000-0002-0000-1F00-000003000000}">
      <formula1>YEAR(TODAY())-3</formula1>
      <formula2>YEAR(TODAY())</formula2>
    </dataValidation>
    <dataValidation type="list" allowBlank="1" showInputMessage="1" showErrorMessage="1" sqref="B8" xr:uid="{00000000-0002-0000-1F00-000004000000}">
      <formula1>"Y,N"</formula1>
    </dataValidation>
    <dataValidation type="decimal" allowBlank="1" showInputMessage="1" showErrorMessage="1" sqref="B9" xr:uid="{00000000-0002-0000-1F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/>
      <c r="C1" s="536"/>
      <c r="D1" s="536"/>
      <c r="E1" s="536"/>
      <c r="F1" s="536"/>
      <c r="G1" s="536"/>
    </row>
    <row r="2" spans="1:10">
      <c r="A2" s="45" t="s">
        <v>585</v>
      </c>
      <c r="B2" s="537"/>
      <c r="C2" s="537"/>
      <c r="D2" s="537"/>
      <c r="E2" s="537"/>
      <c r="F2" s="537"/>
      <c r="G2" s="537"/>
    </row>
    <row r="3" spans="1:10">
      <c r="A3" s="45" t="s">
        <v>589</v>
      </c>
      <c r="B3" s="536"/>
      <c r="C3" s="536"/>
      <c r="D3" s="536"/>
      <c r="E3" s="536"/>
      <c r="F3" s="536"/>
      <c r="G3" s="536"/>
    </row>
    <row r="4" spans="1:10">
      <c r="A4" s="45" t="s">
        <v>591</v>
      </c>
      <c r="B4" s="536"/>
      <c r="C4" s="536"/>
      <c r="D4" s="536"/>
      <c r="E4" s="536"/>
      <c r="F4" s="536"/>
      <c r="G4" s="536"/>
    </row>
    <row r="5" spans="1:10">
      <c r="A5" s="45" t="s">
        <v>593</v>
      </c>
      <c r="B5" s="536"/>
      <c r="C5" s="536"/>
      <c r="D5" s="536"/>
      <c r="E5" s="536"/>
      <c r="F5" s="536"/>
      <c r="G5" s="536"/>
    </row>
    <row r="6" spans="1:10">
      <c r="A6" s="45" t="s">
        <v>595</v>
      </c>
      <c r="B6" s="536"/>
      <c r="C6" s="536"/>
      <c r="D6" s="536"/>
      <c r="E6" s="536"/>
      <c r="F6" s="536"/>
      <c r="G6" s="536"/>
    </row>
    <row r="7" spans="1:10" ht="25.5">
      <c r="A7" s="45" t="s">
        <v>597</v>
      </c>
      <c r="B7" s="538"/>
      <c r="C7" s="538"/>
      <c r="D7" s="538"/>
      <c r="E7" s="538"/>
      <c r="F7" s="538"/>
      <c r="G7" s="538"/>
    </row>
    <row r="8" spans="1:10">
      <c r="A8" s="45" t="s">
        <v>824</v>
      </c>
      <c r="B8" s="536"/>
      <c r="C8" s="536"/>
      <c r="D8" s="536"/>
      <c r="E8" s="536"/>
      <c r="F8" s="536"/>
      <c r="G8" s="536"/>
    </row>
    <row r="9" spans="1:10">
      <c r="A9" s="45" t="s">
        <v>825</v>
      </c>
      <c r="B9" s="539"/>
      <c r="C9" s="539"/>
      <c r="D9" s="539"/>
      <c r="E9" s="539"/>
      <c r="F9" s="539"/>
      <c r="G9" s="539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330" t="str">
        <f>IF($B$7&lt;&gt;"",CONCATENATE("31/03/",$B$7),"31/03/2020")</f>
        <v>31/03/2020</v>
      </c>
      <c r="D58" s="330" t="str">
        <f>IF($B$7&lt;&gt;"",CONCATENATE("31/03/",$B$7-1),"31/03/2019")</f>
        <v>31/03/2019</v>
      </c>
      <c r="E58" s="331" t="str">
        <f>IF($B$7&lt;&gt;"",CONCATENATE("31/03/",$B$7-2),"31/03/2018")</f>
        <v>31/03/2018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2000000}">
      <formula1>INDIRECT(B5,1)</formula1>
    </dataValidation>
    <dataValidation type="whole" allowBlank="1" showInputMessage="1" showErrorMessage="1" sqref="B7" xr:uid="{00000000-0002-0000-2000-000003000000}">
      <formula1>YEAR(TODAY())-3</formula1>
      <formula2>YEAR(TODAY())</formula2>
    </dataValidation>
    <dataValidation type="list" allowBlank="1" showInputMessage="1" showErrorMessage="1" sqref="B8" xr:uid="{00000000-0002-0000-2000-000004000000}">
      <formula1>"Y,N"</formula1>
    </dataValidation>
    <dataValidation type="decimal" allowBlank="1" showInputMessage="1" showErrorMessage="1" sqref="B9" xr:uid="{00000000-0002-0000-20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/>
      <c r="C1" s="536"/>
      <c r="D1" s="536"/>
      <c r="E1" s="536"/>
      <c r="F1" s="536"/>
      <c r="G1" s="536"/>
    </row>
    <row r="2" spans="1:10">
      <c r="A2" s="45" t="s">
        <v>585</v>
      </c>
      <c r="B2" s="537"/>
      <c r="C2" s="537"/>
      <c r="D2" s="537"/>
      <c r="E2" s="537"/>
      <c r="F2" s="537"/>
      <c r="G2" s="537"/>
    </row>
    <row r="3" spans="1:10">
      <c r="A3" s="45" t="s">
        <v>589</v>
      </c>
      <c r="B3" s="536"/>
      <c r="C3" s="536"/>
      <c r="D3" s="536"/>
      <c r="E3" s="536"/>
      <c r="F3" s="536"/>
      <c r="G3" s="536"/>
    </row>
    <row r="4" spans="1:10">
      <c r="A4" s="45" t="s">
        <v>591</v>
      </c>
      <c r="B4" s="536"/>
      <c r="C4" s="536"/>
      <c r="D4" s="536"/>
      <c r="E4" s="536"/>
      <c r="F4" s="536"/>
      <c r="G4" s="536"/>
    </row>
    <row r="5" spans="1:10">
      <c r="A5" s="45" t="s">
        <v>593</v>
      </c>
      <c r="B5" s="536"/>
      <c r="C5" s="536"/>
      <c r="D5" s="536"/>
      <c r="E5" s="536"/>
      <c r="F5" s="536"/>
      <c r="G5" s="536"/>
    </row>
    <row r="6" spans="1:10">
      <c r="A6" s="45" t="s">
        <v>595</v>
      </c>
      <c r="B6" s="536"/>
      <c r="C6" s="536"/>
      <c r="D6" s="536"/>
      <c r="E6" s="536"/>
      <c r="F6" s="536"/>
      <c r="G6" s="536"/>
    </row>
    <row r="7" spans="1:10" ht="25.5">
      <c r="A7" s="45" t="s">
        <v>597</v>
      </c>
      <c r="B7" s="538"/>
      <c r="C7" s="538"/>
      <c r="D7" s="538"/>
      <c r="E7" s="538"/>
      <c r="F7" s="538"/>
      <c r="G7" s="538"/>
    </row>
    <row r="8" spans="1:10">
      <c r="A8" s="45" t="s">
        <v>824</v>
      </c>
      <c r="B8" s="536"/>
      <c r="C8" s="536"/>
      <c r="D8" s="536"/>
      <c r="E8" s="536"/>
      <c r="F8" s="536"/>
      <c r="G8" s="536"/>
    </row>
    <row r="9" spans="1:10">
      <c r="A9" s="45" t="s">
        <v>825</v>
      </c>
      <c r="B9" s="539"/>
      <c r="C9" s="539"/>
      <c r="D9" s="539"/>
      <c r="E9" s="539"/>
      <c r="F9" s="539"/>
      <c r="G9" s="539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330" t="str">
        <f>IF($B$7&lt;&gt;"",CONCATENATE("31/03/",$B$7),"31/03/2020")</f>
        <v>31/03/2020</v>
      </c>
      <c r="D58" s="330" t="str">
        <f>IF($B$7&lt;&gt;"",CONCATENATE("31/03/",$B$7-1),"31/03/2019")</f>
        <v>31/03/2019</v>
      </c>
      <c r="E58" s="331" t="str">
        <f>IF($B$7&lt;&gt;"",CONCATENATE("31/03/",$B$7-2),"31/03/2018")</f>
        <v>31/03/2018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2000000}">
      <formula1>INDIRECT(B5,1)</formula1>
    </dataValidation>
    <dataValidation type="whole" allowBlank="1" showInputMessage="1" showErrorMessage="1" sqref="B7" xr:uid="{00000000-0002-0000-2100-000003000000}">
      <formula1>YEAR(TODAY())-3</formula1>
      <formula2>YEAR(TODAY())</formula2>
    </dataValidation>
    <dataValidation type="list" allowBlank="1" showInputMessage="1" showErrorMessage="1" sqref="B8" xr:uid="{00000000-0002-0000-2100-000004000000}">
      <formula1>"Y,N"</formula1>
    </dataValidation>
    <dataValidation type="decimal" allowBlank="1" showInputMessage="1" showErrorMessage="1" sqref="B9" xr:uid="{00000000-0002-0000-21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/>
      <c r="C1" s="536"/>
      <c r="D1" s="536"/>
      <c r="E1" s="536"/>
      <c r="F1" s="536"/>
      <c r="G1" s="536"/>
    </row>
    <row r="2" spans="1:10">
      <c r="A2" s="45" t="s">
        <v>585</v>
      </c>
      <c r="B2" s="537"/>
      <c r="C2" s="537"/>
      <c r="D2" s="537"/>
      <c r="E2" s="537"/>
      <c r="F2" s="537"/>
      <c r="G2" s="537"/>
    </row>
    <row r="3" spans="1:10">
      <c r="A3" s="45" t="s">
        <v>589</v>
      </c>
      <c r="B3" s="536"/>
      <c r="C3" s="536"/>
      <c r="D3" s="536"/>
      <c r="E3" s="536"/>
      <c r="F3" s="536"/>
      <c r="G3" s="536"/>
    </row>
    <row r="4" spans="1:10">
      <c r="A4" s="45" t="s">
        <v>591</v>
      </c>
      <c r="B4" s="536"/>
      <c r="C4" s="536"/>
      <c r="D4" s="536"/>
      <c r="E4" s="536"/>
      <c r="F4" s="536"/>
      <c r="G4" s="536"/>
    </row>
    <row r="5" spans="1:10">
      <c r="A5" s="45" t="s">
        <v>593</v>
      </c>
      <c r="B5" s="536"/>
      <c r="C5" s="536"/>
      <c r="D5" s="536"/>
      <c r="E5" s="536"/>
      <c r="F5" s="536"/>
      <c r="G5" s="536"/>
    </row>
    <row r="6" spans="1:10">
      <c r="A6" s="45" t="s">
        <v>595</v>
      </c>
      <c r="B6" s="536"/>
      <c r="C6" s="536"/>
      <c r="D6" s="536"/>
      <c r="E6" s="536"/>
      <c r="F6" s="536"/>
      <c r="G6" s="536"/>
    </row>
    <row r="7" spans="1:10" ht="25.5">
      <c r="A7" s="45" t="s">
        <v>597</v>
      </c>
      <c r="B7" s="538"/>
      <c r="C7" s="538"/>
      <c r="D7" s="538"/>
      <c r="E7" s="538"/>
      <c r="F7" s="538"/>
      <c r="G7" s="538"/>
    </row>
    <row r="8" spans="1:10">
      <c r="A8" s="45" t="s">
        <v>824</v>
      </c>
      <c r="B8" s="536"/>
      <c r="C8" s="536"/>
      <c r="D8" s="536"/>
      <c r="E8" s="536"/>
      <c r="F8" s="536"/>
      <c r="G8" s="536"/>
    </row>
    <row r="9" spans="1:10">
      <c r="A9" s="45" t="s">
        <v>825</v>
      </c>
      <c r="B9" s="539"/>
      <c r="C9" s="539"/>
      <c r="D9" s="539"/>
      <c r="E9" s="539"/>
      <c r="F9" s="539"/>
      <c r="G9" s="539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330" t="str">
        <f>IF($B$7&lt;&gt;"",CONCATENATE("31/03/",$B$7),"31/03/2020")</f>
        <v>31/03/2020</v>
      </c>
      <c r="D58" s="330" t="str">
        <f>IF($B$7&lt;&gt;"",CONCATENATE("31/03/",$B$7-1),"31/03/2019")</f>
        <v>31/03/2019</v>
      </c>
      <c r="E58" s="331" t="str">
        <f>IF($B$7&lt;&gt;"",CONCATENATE("31/03/",$B$7-2),"31/03/2018")</f>
        <v>31/03/2018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2000000}">
      <formula1>INDIRECT(B5,1)</formula1>
    </dataValidation>
    <dataValidation type="whole" allowBlank="1" showInputMessage="1" showErrorMessage="1" sqref="B7" xr:uid="{00000000-0002-0000-2200-000003000000}">
      <formula1>YEAR(TODAY())-3</formula1>
      <formula2>YEAR(TODAY())</formula2>
    </dataValidation>
    <dataValidation type="list" allowBlank="1" showInputMessage="1" showErrorMessage="1" sqref="B8" xr:uid="{00000000-0002-0000-2200-000004000000}">
      <formula1>"Y,N"</formula1>
    </dataValidation>
    <dataValidation type="decimal" allowBlank="1" showInputMessage="1" showErrorMessage="1" sqref="B9" xr:uid="{00000000-0002-0000-22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/>
      <c r="C1" s="536"/>
      <c r="D1" s="536"/>
      <c r="E1" s="536"/>
      <c r="F1" s="536"/>
      <c r="G1" s="536"/>
    </row>
    <row r="2" spans="1:10">
      <c r="A2" s="45" t="s">
        <v>585</v>
      </c>
      <c r="B2" s="537"/>
      <c r="C2" s="537"/>
      <c r="D2" s="537"/>
      <c r="E2" s="537"/>
      <c r="F2" s="537"/>
      <c r="G2" s="537"/>
    </row>
    <row r="3" spans="1:10">
      <c r="A3" s="45" t="s">
        <v>589</v>
      </c>
      <c r="B3" s="536"/>
      <c r="C3" s="536"/>
      <c r="D3" s="536"/>
      <c r="E3" s="536"/>
      <c r="F3" s="536"/>
      <c r="G3" s="536"/>
    </row>
    <row r="4" spans="1:10">
      <c r="A4" s="45" t="s">
        <v>591</v>
      </c>
      <c r="B4" s="536"/>
      <c r="C4" s="536"/>
      <c r="D4" s="536"/>
      <c r="E4" s="536"/>
      <c r="F4" s="536"/>
      <c r="G4" s="536"/>
    </row>
    <row r="5" spans="1:10">
      <c r="A5" s="45" t="s">
        <v>593</v>
      </c>
      <c r="B5" s="536"/>
      <c r="C5" s="536"/>
      <c r="D5" s="536"/>
      <c r="E5" s="536"/>
      <c r="F5" s="536"/>
      <c r="G5" s="536"/>
    </row>
    <row r="6" spans="1:10">
      <c r="A6" s="45" t="s">
        <v>595</v>
      </c>
      <c r="B6" s="536"/>
      <c r="C6" s="536"/>
      <c r="D6" s="536"/>
      <c r="E6" s="536"/>
      <c r="F6" s="536"/>
      <c r="G6" s="536"/>
    </row>
    <row r="7" spans="1:10" ht="25.5">
      <c r="A7" s="45" t="s">
        <v>597</v>
      </c>
      <c r="B7" s="538"/>
      <c r="C7" s="538"/>
      <c r="D7" s="538"/>
      <c r="E7" s="538"/>
      <c r="F7" s="538"/>
      <c r="G7" s="538"/>
    </row>
    <row r="8" spans="1:10">
      <c r="A8" s="45" t="s">
        <v>824</v>
      </c>
      <c r="B8" s="536"/>
      <c r="C8" s="536"/>
      <c r="D8" s="536"/>
      <c r="E8" s="536"/>
      <c r="F8" s="536"/>
      <c r="G8" s="536"/>
    </row>
    <row r="9" spans="1:10">
      <c r="A9" s="45" t="s">
        <v>825</v>
      </c>
      <c r="B9" s="539"/>
      <c r="C9" s="539"/>
      <c r="D9" s="539"/>
      <c r="E9" s="539"/>
      <c r="F9" s="539"/>
      <c r="G9" s="539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330" t="str">
        <f>IF($B$7&lt;&gt;"",CONCATENATE("31/03/",$B$7),"31/03/2020")</f>
        <v>31/03/2020</v>
      </c>
      <c r="D58" s="330" t="str">
        <f>IF($B$7&lt;&gt;"",CONCATENATE("31/03/",$B$7-1),"31/03/2019")</f>
        <v>31/03/2019</v>
      </c>
      <c r="E58" s="331" t="str">
        <f>IF($B$7&lt;&gt;"",CONCATENATE("31/03/",$B$7-2),"31/03/2018")</f>
        <v>31/03/2018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2000000}">
      <formula1>INDIRECT(B5,1)</formula1>
    </dataValidation>
    <dataValidation type="whole" allowBlank="1" showInputMessage="1" showErrorMessage="1" sqref="B7" xr:uid="{00000000-0002-0000-2300-000003000000}">
      <formula1>YEAR(TODAY())-3</formula1>
      <formula2>YEAR(TODAY())</formula2>
    </dataValidation>
    <dataValidation type="list" allowBlank="1" showInputMessage="1" showErrorMessage="1" sqref="B8" xr:uid="{00000000-0002-0000-2300-000004000000}">
      <formula1>"Y,N"</formula1>
    </dataValidation>
    <dataValidation type="decimal" allowBlank="1" showInputMessage="1" showErrorMessage="1" sqref="B9" xr:uid="{00000000-0002-0000-23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583</v>
      </c>
      <c r="B1" s="536"/>
      <c r="C1" s="536"/>
      <c r="D1" s="536"/>
      <c r="E1" s="536"/>
      <c r="F1" s="536"/>
      <c r="G1" s="536"/>
    </row>
    <row r="2" spans="1:10">
      <c r="A2" s="45" t="s">
        <v>585</v>
      </c>
      <c r="B2" s="537"/>
      <c r="C2" s="537"/>
      <c r="D2" s="537"/>
      <c r="E2" s="537"/>
      <c r="F2" s="537"/>
      <c r="G2" s="537"/>
    </row>
    <row r="3" spans="1:10">
      <c r="A3" s="45" t="s">
        <v>589</v>
      </c>
      <c r="B3" s="536"/>
      <c r="C3" s="536"/>
      <c r="D3" s="536"/>
      <c r="E3" s="536"/>
      <c r="F3" s="536"/>
      <c r="G3" s="536"/>
    </row>
    <row r="4" spans="1:10">
      <c r="A4" s="45" t="s">
        <v>591</v>
      </c>
      <c r="B4" s="536"/>
      <c r="C4" s="536"/>
      <c r="D4" s="536"/>
      <c r="E4" s="536"/>
      <c r="F4" s="536"/>
      <c r="G4" s="536"/>
    </row>
    <row r="5" spans="1:10">
      <c r="A5" s="45" t="s">
        <v>593</v>
      </c>
      <c r="B5" s="536"/>
      <c r="C5" s="536"/>
      <c r="D5" s="536"/>
      <c r="E5" s="536"/>
      <c r="F5" s="536"/>
      <c r="G5" s="536"/>
    </row>
    <row r="6" spans="1:10">
      <c r="A6" s="45" t="s">
        <v>595</v>
      </c>
      <c r="B6" s="536"/>
      <c r="C6" s="536"/>
      <c r="D6" s="536"/>
      <c r="E6" s="536"/>
      <c r="F6" s="536"/>
      <c r="G6" s="536"/>
    </row>
    <row r="7" spans="1:10" ht="25.5">
      <c r="A7" s="45" t="s">
        <v>597</v>
      </c>
      <c r="B7" s="538"/>
      <c r="C7" s="538"/>
      <c r="D7" s="538"/>
      <c r="E7" s="538"/>
      <c r="F7" s="538"/>
      <c r="G7" s="538"/>
    </row>
    <row r="8" spans="1:10">
      <c r="A8" s="45" t="s">
        <v>824</v>
      </c>
      <c r="B8" s="536"/>
      <c r="C8" s="536"/>
      <c r="D8" s="536"/>
      <c r="E8" s="536"/>
      <c r="F8" s="536"/>
      <c r="G8" s="536"/>
    </row>
    <row r="9" spans="1:10">
      <c r="A9" s="45" t="s">
        <v>825</v>
      </c>
      <c r="B9" s="539"/>
      <c r="C9" s="539"/>
      <c r="D9" s="539"/>
      <c r="E9" s="539"/>
      <c r="F9" s="539"/>
      <c r="G9" s="539"/>
    </row>
    <row r="10" spans="1:10">
      <c r="A10" s="46" t="s">
        <v>1018</v>
      </c>
      <c r="B10" s="535" t="str">
        <f>IFERROR(IF(B5="Manufacturing",VLOOKUP(B6,Validation!$C$2:$D$115,2,0),IF(B5="Trading",VLOOKUP(B6,Validation!$F$2:$G$118,2,0),IF(B5="Services",VLOOKUP(B6,Validation!$I$2:$J$50,2,0),""))),"")</f>
        <v/>
      </c>
      <c r="C10" s="535"/>
      <c r="D10" s="535"/>
      <c r="E10" s="535"/>
      <c r="F10" s="535"/>
      <c r="G10" s="535"/>
    </row>
    <row r="12" spans="1:10">
      <c r="A12" s="514" t="str">
        <f>CONCATENATE("Financial Details: ",B1)</f>
        <v xml:space="preserve">Financial Details: </v>
      </c>
      <c r="B12" s="514"/>
      <c r="C12" s="514"/>
      <c r="D12" s="514"/>
      <c r="E12" s="514"/>
      <c r="F12" s="514"/>
      <c r="G12" s="514"/>
    </row>
    <row r="13" spans="1:10">
      <c r="A13" s="1"/>
      <c r="B13" s="515" t="s">
        <v>826</v>
      </c>
      <c r="C13" s="515"/>
      <c r="D13" s="515"/>
      <c r="E13" s="515"/>
      <c r="F13" s="1"/>
      <c r="G13" s="1"/>
    </row>
    <row r="14" spans="1:10" ht="38.25">
      <c r="A14" s="48" t="s">
        <v>711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712</v>
      </c>
      <c r="G14" s="52" t="s">
        <v>713</v>
      </c>
      <c r="H14" s="1"/>
      <c r="I14" s="1"/>
      <c r="J14" s="1"/>
    </row>
    <row r="15" spans="1:10">
      <c r="A15" s="53" t="s">
        <v>839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1019</v>
      </c>
      <c r="B23" s="54"/>
      <c r="C23" s="55"/>
      <c r="D23" s="55"/>
      <c r="E23" s="55"/>
      <c r="F23" s="56"/>
      <c r="G23" s="56"/>
    </row>
    <row r="24" spans="1:7">
      <c r="A24" s="53" t="s">
        <v>1020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720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109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185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735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736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737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743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15" t="s">
        <v>826</v>
      </c>
      <c r="C57" s="515"/>
      <c r="D57" s="515"/>
      <c r="E57" s="515"/>
      <c r="F57" s="64"/>
      <c r="G57" s="64"/>
    </row>
    <row r="58" spans="1:7" ht="38.25">
      <c r="A58" s="48" t="s">
        <v>744</v>
      </c>
      <c r="B58" s="49" t="str">
        <f>B14</f>
        <v>Provisionals</v>
      </c>
      <c r="C58" s="330" t="str">
        <f>IF($B$7&lt;&gt;"",CONCATENATE("31/03/",$B$7),"31/03/2020")</f>
        <v>31/03/2020</v>
      </c>
      <c r="D58" s="330" t="str">
        <f>IF($B$7&lt;&gt;"",CONCATENATE("31/03/",$B$7-1),"31/03/2019")</f>
        <v>31/03/2019</v>
      </c>
      <c r="E58" s="331" t="str">
        <f>IF($B$7&lt;&gt;"",CONCATENATE("31/03/",$B$7-2),"31/03/2018")</f>
        <v>31/03/2018</v>
      </c>
      <c r="F58" s="52" t="s">
        <v>712</v>
      </c>
      <c r="G58" s="52" t="s">
        <v>713</v>
      </c>
    </row>
    <row r="59" spans="1:7">
      <c r="A59" s="60" t="s">
        <v>882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775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9" t="s">
        <v>897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9" t="s">
        <v>898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9" t="s">
        <v>899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9" t="s">
        <v>900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9" t="s">
        <v>902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9" t="s">
        <v>903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379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785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799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800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2000000}">
      <formula1>INDIRECT(B5,1)</formula1>
    </dataValidation>
    <dataValidation type="whole" allowBlank="1" showInputMessage="1" showErrorMessage="1" sqref="B7" xr:uid="{00000000-0002-0000-2400-000003000000}">
      <formula1>YEAR(TODAY())-3</formula1>
      <formula2>YEAR(TODAY())</formula2>
    </dataValidation>
    <dataValidation type="list" allowBlank="1" showInputMessage="1" showErrorMessage="1" sqref="B8" xr:uid="{00000000-0002-0000-2400-000004000000}">
      <formula1>"Y,N"</formula1>
    </dataValidation>
    <dataValidation type="decimal" allowBlank="1" showInputMessage="1" showErrorMessage="1" sqref="B9" xr:uid="{00000000-0002-0000-2400-000005000000}">
      <formula1>0</formula1>
      <formula2>IF(B8="Y",1,0)</formula2>
    </dataValidation>
  </dataValidations>
  <pageMargins left="0.69930555555555596" right="0.69930555555555596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1022</v>
      </c>
      <c r="B2" s="23" t="s">
        <v>1023</v>
      </c>
      <c r="C2" s="23" t="s">
        <v>1024</v>
      </c>
      <c r="D2" s="23" t="s">
        <v>1025</v>
      </c>
      <c r="E2" s="23" t="s">
        <v>1026</v>
      </c>
      <c r="F2" s="23" t="s">
        <v>1027</v>
      </c>
      <c r="G2" s="23" t="s">
        <v>1028</v>
      </c>
      <c r="H2" s="23" t="s">
        <v>1029</v>
      </c>
      <c r="I2" s="23" t="s">
        <v>1030</v>
      </c>
      <c r="J2" s="23" t="s">
        <v>1031</v>
      </c>
      <c r="K2" s="23" t="s">
        <v>1032</v>
      </c>
      <c r="L2" s="23" t="s">
        <v>1033</v>
      </c>
      <c r="M2" s="23" t="s">
        <v>1034</v>
      </c>
      <c r="N2" s="23" t="s">
        <v>1035</v>
      </c>
      <c r="O2" s="23" t="s">
        <v>1036</v>
      </c>
      <c r="P2" s="23" t="s">
        <v>1037</v>
      </c>
      <c r="Q2" s="23" t="s">
        <v>1038</v>
      </c>
      <c r="R2" s="23" t="s">
        <v>1039</v>
      </c>
      <c r="S2" s="23" t="s">
        <v>1040</v>
      </c>
      <c r="T2" s="23" t="s">
        <v>1041</v>
      </c>
      <c r="U2" s="23" t="s">
        <v>1042</v>
      </c>
      <c r="V2" s="23" t="s">
        <v>1043</v>
      </c>
      <c r="W2" s="23" t="s">
        <v>1044</v>
      </c>
      <c r="X2" s="23" t="s">
        <v>1045</v>
      </c>
      <c r="Y2" s="23" t="s">
        <v>1046</v>
      </c>
      <c r="Z2" s="23" t="s">
        <v>1047</v>
      </c>
      <c r="AA2" s="23" t="s">
        <v>1048</v>
      </c>
      <c r="AB2" s="23" t="s">
        <v>1049</v>
      </c>
      <c r="AC2" s="23" t="s">
        <v>1050</v>
      </c>
      <c r="AD2" s="23" t="s">
        <v>1051</v>
      </c>
      <c r="AE2" s="23" t="s">
        <v>1052</v>
      </c>
      <c r="AF2" s="23" t="s">
        <v>1053</v>
      </c>
      <c r="AG2" s="23" t="s">
        <v>1054</v>
      </c>
      <c r="AH2" s="23" t="s">
        <v>1055</v>
      </c>
      <c r="AI2" s="38" t="s">
        <v>1056</v>
      </c>
      <c r="AJ2" s="23" t="s">
        <v>1057</v>
      </c>
      <c r="AK2" s="23" t="s">
        <v>1058</v>
      </c>
      <c r="AL2" s="23" t="s">
        <v>1059</v>
      </c>
      <c r="AM2" s="23" t="s">
        <v>1060</v>
      </c>
      <c r="AN2" s="23" t="s">
        <v>1061</v>
      </c>
      <c r="AO2" s="23" t="s">
        <v>1062</v>
      </c>
      <c r="AP2" s="23" t="s">
        <v>1063</v>
      </c>
      <c r="AQ2" s="23" t="s">
        <v>1064</v>
      </c>
      <c r="AR2" s="23" t="s">
        <v>1065</v>
      </c>
      <c r="AS2" s="23" t="s">
        <v>1066</v>
      </c>
      <c r="AT2" s="23" t="s">
        <v>1067</v>
      </c>
      <c r="AU2" s="23" t="s">
        <v>1068</v>
      </c>
      <c r="AV2" s="23" t="s">
        <v>1069</v>
      </c>
      <c r="AW2" s="23" t="s">
        <v>1070</v>
      </c>
      <c r="AX2" s="23" t="s">
        <v>1071</v>
      </c>
      <c r="AY2" s="23" t="s">
        <v>1072</v>
      </c>
      <c r="AZ2" s="23" t="s">
        <v>1073</v>
      </c>
      <c r="BA2" s="23" t="s">
        <v>1074</v>
      </c>
      <c r="BB2" s="23" t="s">
        <v>1075</v>
      </c>
      <c r="BC2" s="23" t="s">
        <v>1076</v>
      </c>
      <c r="BD2" s="23" t="s">
        <v>1077</v>
      </c>
      <c r="BE2" s="23" t="s">
        <v>1078</v>
      </c>
      <c r="BF2" s="23" t="s">
        <v>1079</v>
      </c>
      <c r="BG2" s="23" t="s">
        <v>1080</v>
      </c>
      <c r="BH2" s="23" t="s">
        <v>1081</v>
      </c>
      <c r="BI2" s="23" t="s">
        <v>1082</v>
      </c>
      <c r="BJ2" s="23" t="s">
        <v>1083</v>
      </c>
      <c r="BK2" s="23" t="s">
        <v>1084</v>
      </c>
      <c r="BL2" s="23" t="s">
        <v>1085</v>
      </c>
      <c r="BM2" s="23" t="s">
        <v>1086</v>
      </c>
      <c r="BN2" s="23" t="s">
        <v>1087</v>
      </c>
      <c r="BO2" s="23" t="s">
        <v>1088</v>
      </c>
      <c r="BP2" s="23" t="s">
        <v>1089</v>
      </c>
      <c r="BQ2" s="23" t="s">
        <v>1090</v>
      </c>
      <c r="BR2" s="23" t="s">
        <v>1091</v>
      </c>
      <c r="BS2" s="23" t="s">
        <v>1092</v>
      </c>
      <c r="BT2" s="23" t="s">
        <v>1093</v>
      </c>
      <c r="BU2" s="23" t="s">
        <v>1094</v>
      </c>
      <c r="BV2" s="23" t="s">
        <v>1095</v>
      </c>
      <c r="BW2" s="23" t="s">
        <v>1096</v>
      </c>
      <c r="BX2" s="23" t="s">
        <v>1097</v>
      </c>
      <c r="BY2" s="23" t="s">
        <v>1098</v>
      </c>
      <c r="BZ2" s="23" t="s">
        <v>1099</v>
      </c>
      <c r="CA2" s="23" t="s">
        <v>1100</v>
      </c>
      <c r="CB2" s="23" t="s">
        <v>1101</v>
      </c>
      <c r="CC2" s="23" t="s">
        <v>1102</v>
      </c>
      <c r="CD2" s="23" t="s">
        <v>1103</v>
      </c>
      <c r="CE2" s="23" t="s">
        <v>1104</v>
      </c>
      <c r="CF2" s="23" t="s">
        <v>1105</v>
      </c>
      <c r="CG2" s="23" t="s">
        <v>1106</v>
      </c>
      <c r="CH2" s="23" t="s">
        <v>1107</v>
      </c>
      <c r="CI2" s="23" t="s">
        <v>1108</v>
      </c>
      <c r="CJ2" s="23" t="s">
        <v>1109</v>
      </c>
      <c r="CK2" s="23" t="s">
        <v>1110</v>
      </c>
      <c r="CL2" s="23" t="s">
        <v>1111</v>
      </c>
      <c r="CM2" s="23" t="s">
        <v>1112</v>
      </c>
      <c r="CN2" s="23" t="s">
        <v>1113</v>
      </c>
      <c r="CO2" s="23" t="s">
        <v>1114</v>
      </c>
      <c r="CP2" s="23" t="s">
        <v>1115</v>
      </c>
      <c r="CQ2" s="23" t="s">
        <v>1116</v>
      </c>
      <c r="CR2" s="23" t="s">
        <v>1117</v>
      </c>
      <c r="CS2" s="23" t="s">
        <v>1118</v>
      </c>
      <c r="CT2" s="23" t="s">
        <v>1119</v>
      </c>
      <c r="CU2" s="23" t="s">
        <v>1120</v>
      </c>
      <c r="CV2" s="23" t="s">
        <v>1121</v>
      </c>
      <c r="CW2" s="23" t="s">
        <v>1122</v>
      </c>
      <c r="CX2" s="23" t="s">
        <v>1123</v>
      </c>
      <c r="CY2" s="23" t="s">
        <v>1124</v>
      </c>
      <c r="CZ2" s="23" t="s">
        <v>1125</v>
      </c>
      <c r="DA2" s="23" t="s">
        <v>1126</v>
      </c>
      <c r="DB2" s="23" t="s">
        <v>1127</v>
      </c>
      <c r="DC2" s="23" t="s">
        <v>1128</v>
      </c>
      <c r="DD2" s="23" t="s">
        <v>1129</v>
      </c>
      <c r="DE2" s="23" t="s">
        <v>1130</v>
      </c>
      <c r="DF2" s="23" t="s">
        <v>1131</v>
      </c>
      <c r="DG2" s="23" t="s">
        <v>1132</v>
      </c>
      <c r="DH2" s="23" t="s">
        <v>1133</v>
      </c>
      <c r="DI2" s="23" t="s">
        <v>1134</v>
      </c>
      <c r="DJ2" s="23" t="s">
        <v>1135</v>
      </c>
      <c r="DK2" s="23" t="s">
        <v>1136</v>
      </c>
      <c r="DL2" s="23" t="s">
        <v>1137</v>
      </c>
      <c r="DM2" s="23" t="s">
        <v>1138</v>
      </c>
      <c r="DN2" s="23" t="s">
        <v>1139</v>
      </c>
      <c r="DO2" s="23" t="s">
        <v>1140</v>
      </c>
      <c r="DP2" s="23" t="s">
        <v>1141</v>
      </c>
      <c r="DQ2" s="23" t="s">
        <v>1142</v>
      </c>
      <c r="DR2" s="23" t="s">
        <v>1143</v>
      </c>
      <c r="DS2" s="23" t="s">
        <v>1144</v>
      </c>
      <c r="DT2" s="23" t="s">
        <v>1145</v>
      </c>
      <c r="DU2" s="23" t="s">
        <v>1146</v>
      </c>
      <c r="DV2" s="23" t="s">
        <v>1147</v>
      </c>
      <c r="DW2" s="23" t="s">
        <v>1148</v>
      </c>
      <c r="DX2" s="23" t="s">
        <v>1149</v>
      </c>
      <c r="DY2" s="23" t="s">
        <v>1150</v>
      </c>
      <c r="DZ2" s="23" t="s">
        <v>1151</v>
      </c>
      <c r="EA2" s="23" t="s">
        <v>1152</v>
      </c>
      <c r="EB2" s="23" t="s">
        <v>1153</v>
      </c>
      <c r="EC2" s="23" t="s">
        <v>1154</v>
      </c>
      <c r="ED2" s="23" t="s">
        <v>1155</v>
      </c>
      <c r="EE2" s="23" t="s">
        <v>1156</v>
      </c>
      <c r="EF2" s="23" t="s">
        <v>1157</v>
      </c>
      <c r="EG2" s="23" t="s">
        <v>1158</v>
      </c>
      <c r="EH2" s="23" t="s">
        <v>1159</v>
      </c>
      <c r="EI2" s="23" t="s">
        <v>1160</v>
      </c>
      <c r="EJ2" s="23" t="s">
        <v>1161</v>
      </c>
      <c r="EK2" s="23" t="s">
        <v>1162</v>
      </c>
      <c r="EL2" s="23" t="s">
        <v>1163</v>
      </c>
      <c r="EM2" s="23" t="s">
        <v>1164</v>
      </c>
      <c r="EN2" s="23" t="s">
        <v>1165</v>
      </c>
      <c r="EO2" s="23" t="s">
        <v>1166</v>
      </c>
      <c r="EP2" s="23" t="s">
        <v>1167</v>
      </c>
      <c r="EQ2" s="23" t="s">
        <v>1168</v>
      </c>
      <c r="ER2" s="23" t="s">
        <v>1169</v>
      </c>
      <c r="ES2" s="23" t="s">
        <v>1170</v>
      </c>
      <c r="ET2" s="23" t="s">
        <v>1171</v>
      </c>
      <c r="EU2" s="23" t="s">
        <v>1172</v>
      </c>
      <c r="EV2" s="23" t="s">
        <v>1173</v>
      </c>
      <c r="EW2" s="23" t="s">
        <v>1174</v>
      </c>
      <c r="EX2" s="23" t="s">
        <v>1175</v>
      </c>
      <c r="EY2" s="23" t="s">
        <v>1176</v>
      </c>
      <c r="EZ2" s="23" t="s">
        <v>1177</v>
      </c>
      <c r="FA2" s="23" t="s">
        <v>1178</v>
      </c>
      <c r="FB2" s="23" t="s">
        <v>1179</v>
      </c>
      <c r="FC2" s="23" t="s">
        <v>1180</v>
      </c>
      <c r="FD2" s="23" t="s">
        <v>1181</v>
      </c>
      <c r="FE2" s="23" t="s">
        <v>1182</v>
      </c>
      <c r="FF2" s="23" t="s">
        <v>1183</v>
      </c>
      <c r="FG2" s="23" t="s">
        <v>1184</v>
      </c>
      <c r="FH2" s="23" t="s">
        <v>1185</v>
      </c>
      <c r="FI2" s="23" t="s">
        <v>1186</v>
      </c>
      <c r="FJ2" s="23" t="s">
        <v>1187</v>
      </c>
      <c r="FK2" s="23" t="s">
        <v>1188</v>
      </c>
      <c r="FL2" s="23" t="s">
        <v>1189</v>
      </c>
      <c r="FM2" s="23" t="s">
        <v>1190</v>
      </c>
      <c r="FN2" s="23" t="s">
        <v>1191</v>
      </c>
      <c r="FO2" s="23" t="s">
        <v>1192</v>
      </c>
      <c r="FP2" s="23" t="s">
        <v>1193</v>
      </c>
      <c r="FQ2" s="41" t="s">
        <v>1194</v>
      </c>
      <c r="FR2" s="23" t="s">
        <v>1195</v>
      </c>
      <c r="FS2" s="23" t="s">
        <v>1196</v>
      </c>
      <c r="FT2" s="23" t="s">
        <v>1197</v>
      </c>
      <c r="FU2" s="23" t="s">
        <v>1198</v>
      </c>
      <c r="FV2" s="23" t="s">
        <v>1199</v>
      </c>
      <c r="FW2" s="23" t="s">
        <v>1200</v>
      </c>
      <c r="FX2" s="23" t="s">
        <v>1201</v>
      </c>
      <c r="FY2" s="23" t="s">
        <v>1202</v>
      </c>
      <c r="FZ2" s="42" t="s">
        <v>1203</v>
      </c>
      <c r="GA2" s="23" t="s">
        <v>1204</v>
      </c>
      <c r="GB2" s="23" t="s">
        <v>1205</v>
      </c>
      <c r="GC2" s="23" t="s">
        <v>1206</v>
      </c>
      <c r="GD2" s="23" t="s">
        <v>1207</v>
      </c>
      <c r="GE2" s="23" t="s">
        <v>1208</v>
      </c>
      <c r="GF2" s="23" t="s">
        <v>1209</v>
      </c>
      <c r="GG2" s="23" t="s">
        <v>1210</v>
      </c>
      <c r="GH2" s="23" t="s">
        <v>1211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1212</v>
      </c>
    </row>
    <row r="9" spans="1:190" ht="60">
      <c r="A9" s="29" t="s">
        <v>1213</v>
      </c>
      <c r="B9" t="s">
        <v>1023</v>
      </c>
      <c r="C9" s="30" t="s">
        <v>1214</v>
      </c>
      <c r="D9" s="23" t="s">
        <v>1215</v>
      </c>
      <c r="E9" s="23" t="s">
        <v>1216</v>
      </c>
      <c r="F9" s="23" t="s">
        <v>1217</v>
      </c>
      <c r="G9" s="23" t="s">
        <v>1218</v>
      </c>
      <c r="H9" s="23" t="s">
        <v>1219</v>
      </c>
      <c r="I9" s="23" t="s">
        <v>1220</v>
      </c>
      <c r="J9" s="23" t="s">
        <v>1221</v>
      </c>
      <c r="K9" s="23" t="s">
        <v>1222</v>
      </c>
      <c r="L9" s="23" t="s">
        <v>1223</v>
      </c>
      <c r="M9" s="23" t="s">
        <v>1224</v>
      </c>
      <c r="N9" s="23" t="s">
        <v>1225</v>
      </c>
      <c r="O9" s="23" t="s">
        <v>1226</v>
      </c>
      <c r="P9" s="23" t="s">
        <v>1227</v>
      </c>
      <c r="Q9" s="23" t="s">
        <v>1228</v>
      </c>
      <c r="R9" s="23" t="s">
        <v>1229</v>
      </c>
      <c r="S9" s="23" t="s">
        <v>1230</v>
      </c>
      <c r="T9" s="23" t="s">
        <v>1231</v>
      </c>
      <c r="U9" s="23" t="s">
        <v>1232</v>
      </c>
      <c r="V9" s="23" t="s">
        <v>1233</v>
      </c>
      <c r="W9" s="23" t="s">
        <v>1234</v>
      </c>
      <c r="X9" s="23" t="s">
        <v>1235</v>
      </c>
      <c r="Y9" s="23" t="s">
        <v>1236</v>
      </c>
      <c r="Z9" s="23" t="s">
        <v>1237</v>
      </c>
      <c r="AA9" s="23" t="s">
        <v>1238</v>
      </c>
      <c r="AB9" s="23" t="s">
        <v>1239</v>
      </c>
      <c r="AC9" s="23" t="s">
        <v>1240</v>
      </c>
      <c r="AD9" s="23" t="s">
        <v>1241</v>
      </c>
      <c r="AE9" s="23" t="s">
        <v>1242</v>
      </c>
      <c r="AF9" s="23" t="s">
        <v>1243</v>
      </c>
      <c r="AG9" s="23" t="s">
        <v>1244</v>
      </c>
      <c r="AH9" s="23" t="s">
        <v>1245</v>
      </c>
      <c r="AI9" s="23" t="s">
        <v>1246</v>
      </c>
      <c r="AJ9" s="23" t="s">
        <v>1247</v>
      </c>
      <c r="AK9" s="23" t="s">
        <v>1248</v>
      </c>
      <c r="AL9" s="23" t="s">
        <v>1249</v>
      </c>
      <c r="AM9" s="23" t="s">
        <v>1250</v>
      </c>
      <c r="AN9" s="23" t="s">
        <v>1251</v>
      </c>
      <c r="AO9" s="23" t="s">
        <v>1252</v>
      </c>
      <c r="AP9" s="23" t="s">
        <v>1253</v>
      </c>
      <c r="AQ9" s="23" t="s">
        <v>1254</v>
      </c>
      <c r="AR9" s="23" t="s">
        <v>1255</v>
      </c>
      <c r="AS9" s="23" t="s">
        <v>1256</v>
      </c>
      <c r="AT9" s="23" t="s">
        <v>1257</v>
      </c>
      <c r="AU9" s="23" t="s">
        <v>1258</v>
      </c>
      <c r="AV9" s="23" t="s">
        <v>1259</v>
      </c>
      <c r="AW9" s="23" t="s">
        <v>1260</v>
      </c>
      <c r="AX9" s="23" t="s">
        <v>1261</v>
      </c>
      <c r="AY9" s="23" t="s">
        <v>1262</v>
      </c>
      <c r="AZ9" s="23" t="s">
        <v>1263</v>
      </c>
      <c r="BA9" s="23" t="s">
        <v>1264</v>
      </c>
      <c r="BB9" s="23" t="s">
        <v>1265</v>
      </c>
      <c r="BC9" s="23" t="s">
        <v>1266</v>
      </c>
      <c r="BD9" s="23" t="s">
        <v>1267</v>
      </c>
      <c r="BE9" s="23" t="s">
        <v>1268</v>
      </c>
      <c r="BF9" s="23" t="s">
        <v>1269</v>
      </c>
      <c r="BG9" s="23" t="s">
        <v>1270</v>
      </c>
      <c r="BH9" s="23" t="s">
        <v>1271</v>
      </c>
      <c r="BI9" s="23" t="s">
        <v>1272</v>
      </c>
      <c r="BJ9" s="23" t="s">
        <v>1273</v>
      </c>
      <c r="BK9" s="23" t="s">
        <v>1274</v>
      </c>
      <c r="BL9" s="23" t="s">
        <v>1275</v>
      </c>
      <c r="BM9" s="23" t="s">
        <v>1276</v>
      </c>
      <c r="BN9" s="23" t="s">
        <v>1277</v>
      </c>
      <c r="BO9" s="23" t="s">
        <v>1278</v>
      </c>
      <c r="BP9" s="23" t="s">
        <v>1279</v>
      </c>
      <c r="BQ9" s="23" t="s">
        <v>1280</v>
      </c>
      <c r="BR9" s="23" t="s">
        <v>1281</v>
      </c>
      <c r="BS9" s="23" t="s">
        <v>1282</v>
      </c>
      <c r="BT9" s="23" t="s">
        <v>1283</v>
      </c>
      <c r="BU9" s="23" t="s">
        <v>1284</v>
      </c>
      <c r="BV9" s="23" t="s">
        <v>1285</v>
      </c>
      <c r="BW9" s="23" t="s">
        <v>1286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1287</v>
      </c>
      <c r="B15" s="23" t="s">
        <v>1023</v>
      </c>
      <c r="C15" s="31" t="s">
        <v>1288</v>
      </c>
      <c r="D15" s="23" t="s">
        <v>1289</v>
      </c>
      <c r="E15" s="23" t="s">
        <v>1290</v>
      </c>
      <c r="F15" s="23" t="s">
        <v>1291</v>
      </c>
      <c r="G15" s="23" t="s">
        <v>1292</v>
      </c>
      <c r="H15" s="23" t="s">
        <v>1293</v>
      </c>
      <c r="I15" s="23" t="s">
        <v>1294</v>
      </c>
      <c r="J15" s="23" t="s">
        <v>1295</v>
      </c>
      <c r="K15" s="23" t="s">
        <v>1296</v>
      </c>
      <c r="L15" s="23" t="s">
        <v>1297</v>
      </c>
      <c r="M15" s="23" t="s">
        <v>1298</v>
      </c>
      <c r="N15" s="23" t="s">
        <v>1299</v>
      </c>
      <c r="O15" s="23" t="s">
        <v>1300</v>
      </c>
      <c r="P15" s="23" t="s">
        <v>1301</v>
      </c>
      <c r="Q15" s="23" t="s">
        <v>1302</v>
      </c>
      <c r="R15" s="23" t="s">
        <v>1303</v>
      </c>
      <c r="S15" s="23" t="s">
        <v>1304</v>
      </c>
      <c r="T15" s="23" t="s">
        <v>1305</v>
      </c>
      <c r="U15" s="23" t="s">
        <v>1306</v>
      </c>
      <c r="V15" s="23" t="s">
        <v>1307</v>
      </c>
      <c r="W15" s="23" t="s">
        <v>1308</v>
      </c>
      <c r="X15" s="23" t="s">
        <v>1309</v>
      </c>
      <c r="Y15" s="23" t="s">
        <v>1310</v>
      </c>
      <c r="Z15" s="23" t="s">
        <v>1311</v>
      </c>
      <c r="AA15" s="23" t="s">
        <v>1312</v>
      </c>
      <c r="AB15" s="23" t="s">
        <v>1313</v>
      </c>
      <c r="AC15" s="23" t="s">
        <v>1314</v>
      </c>
      <c r="AD15" s="23" t="s">
        <v>1315</v>
      </c>
      <c r="AE15" s="23" t="s">
        <v>1316</v>
      </c>
      <c r="AF15" s="23" t="s">
        <v>1317</v>
      </c>
      <c r="AG15" s="23" t="s">
        <v>1318</v>
      </c>
      <c r="AH15" s="23" t="s">
        <v>1319</v>
      </c>
      <c r="AI15" s="23" t="s">
        <v>1320</v>
      </c>
      <c r="AJ15" s="23" t="s">
        <v>1321</v>
      </c>
      <c r="AK15" s="23" t="s">
        <v>1322</v>
      </c>
      <c r="AL15" s="23" t="s">
        <v>1323</v>
      </c>
      <c r="AM15" s="23" t="s">
        <v>1324</v>
      </c>
      <c r="AN15" s="23" t="s">
        <v>1325</v>
      </c>
      <c r="AO15" s="23" t="s">
        <v>1326</v>
      </c>
      <c r="AP15" s="23" t="s">
        <v>1327</v>
      </c>
      <c r="AQ15" s="23" t="s">
        <v>1328</v>
      </c>
      <c r="AR15" s="23" t="s">
        <v>1329</v>
      </c>
      <c r="AS15" s="23" t="s">
        <v>1330</v>
      </c>
      <c r="AT15" s="23" t="s">
        <v>1331</v>
      </c>
      <c r="AU15" s="23" t="s">
        <v>1332</v>
      </c>
      <c r="AV15" s="23" t="s">
        <v>1333</v>
      </c>
      <c r="AW15" s="23" t="s">
        <v>1334</v>
      </c>
      <c r="AX15" s="23" t="s">
        <v>1335</v>
      </c>
      <c r="AY15" s="23" t="s">
        <v>1336</v>
      </c>
      <c r="AZ15" s="23" t="s">
        <v>1337</v>
      </c>
      <c r="BA15" s="23" t="s">
        <v>1338</v>
      </c>
      <c r="BB15" s="23" t="s">
        <v>1339</v>
      </c>
      <c r="BC15" s="23" t="s">
        <v>1340</v>
      </c>
      <c r="BD15" s="23" t="s">
        <v>1341</v>
      </c>
      <c r="BE15" s="23" t="s">
        <v>1342</v>
      </c>
      <c r="BF15" s="23" t="s">
        <v>1343</v>
      </c>
      <c r="BG15" s="23" t="s">
        <v>1344</v>
      </c>
      <c r="BH15" s="23" t="s">
        <v>1345</v>
      </c>
      <c r="BI15" s="23" t="s">
        <v>1346</v>
      </c>
      <c r="BJ15" s="23" t="s">
        <v>1347</v>
      </c>
      <c r="BK15" s="23" t="s">
        <v>1348</v>
      </c>
      <c r="BL15" s="23" t="s">
        <v>1349</v>
      </c>
      <c r="BM15" s="23" t="s">
        <v>1350</v>
      </c>
      <c r="BN15" s="23" t="s">
        <v>1351</v>
      </c>
      <c r="BO15" s="23" t="s">
        <v>1352</v>
      </c>
      <c r="BP15" s="23" t="s">
        <v>1353</v>
      </c>
      <c r="BQ15" s="23" t="s">
        <v>1354</v>
      </c>
      <c r="BR15" s="23" t="s">
        <v>1355</v>
      </c>
      <c r="BS15" s="23" t="s">
        <v>1356</v>
      </c>
      <c r="BT15" s="23" t="s">
        <v>1357</v>
      </c>
      <c r="BU15" s="23" t="s">
        <v>1358</v>
      </c>
      <c r="BV15" s="23" t="s">
        <v>1359</v>
      </c>
      <c r="BW15" s="23" t="s">
        <v>1360</v>
      </c>
      <c r="BX15" s="23" t="s">
        <v>1361</v>
      </c>
      <c r="BY15" s="23" t="s">
        <v>1362</v>
      </c>
      <c r="BZ15" s="23" t="s">
        <v>1363</v>
      </c>
      <c r="CA15" s="23" t="s">
        <v>1364</v>
      </c>
      <c r="CB15" s="23" t="s">
        <v>1365</v>
      </c>
      <c r="CC15" s="23" t="s">
        <v>1366</v>
      </c>
      <c r="CD15" s="23" t="s">
        <v>1367</v>
      </c>
      <c r="CE15" s="23" t="s">
        <v>1368</v>
      </c>
      <c r="CF15" s="23" t="s">
        <v>1369</v>
      </c>
      <c r="CG15" s="23" t="s">
        <v>1370</v>
      </c>
      <c r="CH15" s="23" t="s">
        <v>1371</v>
      </c>
      <c r="CI15" s="23" t="s">
        <v>1372</v>
      </c>
      <c r="CJ15" s="23" t="s">
        <v>1373</v>
      </c>
      <c r="CK15" s="23" t="s">
        <v>1374</v>
      </c>
      <c r="CL15" s="23" t="s">
        <v>1375</v>
      </c>
      <c r="CM15" s="23" t="s">
        <v>1376</v>
      </c>
      <c r="CN15" s="23" t="s">
        <v>1377</v>
      </c>
      <c r="CO15" s="23" t="s">
        <v>1378</v>
      </c>
      <c r="CP15" s="23" t="s">
        <v>1379</v>
      </c>
      <c r="CQ15" s="23" t="s">
        <v>1380</v>
      </c>
      <c r="CR15" s="23" t="s">
        <v>1381</v>
      </c>
      <c r="CS15" s="23" t="s">
        <v>1382</v>
      </c>
      <c r="CT15" s="23" t="s">
        <v>1383</v>
      </c>
      <c r="CU15" s="23" t="s">
        <v>1384</v>
      </c>
      <c r="CV15" s="23" t="s">
        <v>1385</v>
      </c>
      <c r="CW15" s="23" t="s">
        <v>1386</v>
      </c>
      <c r="CX15" s="23" t="s">
        <v>1387</v>
      </c>
      <c r="CY15" s="23" t="s">
        <v>1388</v>
      </c>
      <c r="CZ15" s="23" t="s">
        <v>1389</v>
      </c>
      <c r="DA15" s="23" t="s">
        <v>1390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1391</v>
      </c>
    </row>
    <row r="21" spans="1:172" s="23" customFormat="1" ht="90">
      <c r="A21" s="32" t="s">
        <v>1392</v>
      </c>
      <c r="B21" s="23" t="s">
        <v>1023</v>
      </c>
      <c r="C21" s="32" t="s">
        <v>1393</v>
      </c>
      <c r="D21" s="23" t="s">
        <v>1394</v>
      </c>
      <c r="E21" s="23" t="s">
        <v>1395</v>
      </c>
      <c r="F21" s="23" t="s">
        <v>1396</v>
      </c>
      <c r="G21" s="23" t="s">
        <v>1397</v>
      </c>
      <c r="H21" s="23" t="s">
        <v>1398</v>
      </c>
      <c r="I21" s="23" t="s">
        <v>1399</v>
      </c>
      <c r="J21" s="23" t="s">
        <v>1400</v>
      </c>
      <c r="K21" s="23" t="s">
        <v>1401</v>
      </c>
      <c r="L21" s="23" t="s">
        <v>1402</v>
      </c>
      <c r="M21" s="23" t="s">
        <v>1403</v>
      </c>
      <c r="N21" s="23" t="s">
        <v>1404</v>
      </c>
      <c r="O21" s="23" t="s">
        <v>1405</v>
      </c>
      <c r="P21" s="23" t="s">
        <v>1406</v>
      </c>
      <c r="Q21" s="23" t="s">
        <v>1407</v>
      </c>
      <c r="R21" s="23" t="s">
        <v>1408</v>
      </c>
      <c r="S21" s="23" t="s">
        <v>1409</v>
      </c>
      <c r="T21" s="23" t="s">
        <v>1410</v>
      </c>
      <c r="U21" s="23" t="s">
        <v>1411</v>
      </c>
      <c r="V21" s="23" t="s">
        <v>1412</v>
      </c>
      <c r="W21" s="23" t="s">
        <v>1413</v>
      </c>
      <c r="X21" s="23" t="s">
        <v>1414</v>
      </c>
      <c r="Y21" s="23" t="s">
        <v>1415</v>
      </c>
      <c r="Z21" s="23" t="s">
        <v>1416</v>
      </c>
      <c r="AA21" s="23" t="s">
        <v>1417</v>
      </c>
      <c r="AB21" s="23" t="s">
        <v>1418</v>
      </c>
      <c r="AC21" s="23" t="s">
        <v>1419</v>
      </c>
      <c r="AD21" s="23" t="s">
        <v>1420</v>
      </c>
      <c r="AE21" s="23" t="s">
        <v>1421</v>
      </c>
      <c r="AF21" s="23" t="s">
        <v>1422</v>
      </c>
      <c r="AG21" s="23" t="s">
        <v>1423</v>
      </c>
      <c r="AH21" s="23" t="s">
        <v>1424</v>
      </c>
      <c r="AI21" s="23" t="s">
        <v>1425</v>
      </c>
      <c r="AJ21" s="23" t="s">
        <v>1426</v>
      </c>
      <c r="AK21" s="23" t="s">
        <v>1427</v>
      </c>
      <c r="AL21" s="23" t="s">
        <v>1428</v>
      </c>
      <c r="AM21" s="23" t="s">
        <v>1429</v>
      </c>
      <c r="AN21" s="23" t="s">
        <v>1430</v>
      </c>
      <c r="AO21" s="23" t="s">
        <v>1431</v>
      </c>
      <c r="AP21" s="23" t="s">
        <v>1432</v>
      </c>
      <c r="AQ21" s="23" t="s">
        <v>1433</v>
      </c>
      <c r="AR21" s="23" t="s">
        <v>1434</v>
      </c>
      <c r="AS21" s="23" t="s">
        <v>1435</v>
      </c>
      <c r="AT21" s="23" t="s">
        <v>1436</v>
      </c>
      <c r="AU21" s="23" t="s">
        <v>1437</v>
      </c>
      <c r="AV21" s="23" t="s">
        <v>1438</v>
      </c>
      <c r="AW21" s="23" t="s">
        <v>1439</v>
      </c>
      <c r="AX21" s="23" t="s">
        <v>1440</v>
      </c>
      <c r="AY21" s="23" t="s">
        <v>1441</v>
      </c>
      <c r="AZ21" s="23" t="s">
        <v>1442</v>
      </c>
      <c r="BA21" s="23" t="s">
        <v>1443</v>
      </c>
      <c r="BB21" s="23" t="s">
        <v>1444</v>
      </c>
      <c r="BC21" s="23" t="s">
        <v>1445</v>
      </c>
      <c r="BD21" s="23" t="s">
        <v>1446</v>
      </c>
      <c r="BE21" s="23" t="s">
        <v>1447</v>
      </c>
      <c r="BF21" s="23" t="s">
        <v>1448</v>
      </c>
      <c r="BG21" s="23" t="s">
        <v>1449</v>
      </c>
      <c r="BH21" s="23" t="s">
        <v>1450</v>
      </c>
      <c r="BI21" s="23" t="s">
        <v>1451</v>
      </c>
      <c r="BJ21" s="23" t="s">
        <v>1452</v>
      </c>
      <c r="BK21" s="23" t="s">
        <v>1453</v>
      </c>
      <c r="BL21" s="23" t="s">
        <v>1454</v>
      </c>
      <c r="BM21" s="23" t="s">
        <v>1455</v>
      </c>
      <c r="BN21" s="23" t="s">
        <v>1456</v>
      </c>
      <c r="BO21" s="23" t="s">
        <v>1457</v>
      </c>
      <c r="BP21" s="23" t="s">
        <v>1458</v>
      </c>
      <c r="BQ21" s="23" t="s">
        <v>1459</v>
      </c>
      <c r="BR21" s="23" t="s">
        <v>1460</v>
      </c>
      <c r="BS21" s="23" t="s">
        <v>1461</v>
      </c>
      <c r="BT21" s="23" t="s">
        <v>1462</v>
      </c>
      <c r="BU21" s="23" t="s">
        <v>1463</v>
      </c>
      <c r="BV21" s="23" t="s">
        <v>1464</v>
      </c>
      <c r="BW21" s="23" t="s">
        <v>1465</v>
      </c>
      <c r="BX21" s="23" t="s">
        <v>1466</v>
      </c>
      <c r="BY21" s="23" t="s">
        <v>1467</v>
      </c>
      <c r="BZ21" s="23" t="s">
        <v>1468</v>
      </c>
      <c r="CA21" s="23" t="s">
        <v>1469</v>
      </c>
      <c r="CB21" s="23" t="s">
        <v>1470</v>
      </c>
      <c r="CC21" s="23" t="s">
        <v>1471</v>
      </c>
      <c r="CD21" s="23" t="s">
        <v>1472</v>
      </c>
      <c r="CE21" s="23" t="s">
        <v>1473</v>
      </c>
      <c r="CF21" s="23" t="s">
        <v>1474</v>
      </c>
      <c r="CG21" s="23" t="s">
        <v>1475</v>
      </c>
      <c r="CH21" s="23" t="s">
        <v>1476</v>
      </c>
      <c r="CI21" s="23" t="s">
        <v>1477</v>
      </c>
      <c r="CJ21" s="23" t="s">
        <v>1478</v>
      </c>
      <c r="CK21" s="23" t="s">
        <v>1479</v>
      </c>
      <c r="CL21" s="23" t="s">
        <v>1480</v>
      </c>
      <c r="CM21" s="23" t="s">
        <v>1481</v>
      </c>
      <c r="CN21" s="23" t="s">
        <v>1482</v>
      </c>
      <c r="CO21" s="23" t="s">
        <v>1483</v>
      </c>
      <c r="CP21" s="23" t="s">
        <v>1484</v>
      </c>
      <c r="CQ21" s="23" t="s">
        <v>1485</v>
      </c>
      <c r="CR21" s="23" t="s">
        <v>1486</v>
      </c>
      <c r="CS21" s="23" t="s">
        <v>1487</v>
      </c>
      <c r="CT21" s="23" t="s">
        <v>1488</v>
      </c>
      <c r="CU21" s="23" t="s">
        <v>1489</v>
      </c>
      <c r="CV21" s="23" t="s">
        <v>1490</v>
      </c>
      <c r="CW21" s="23" t="s">
        <v>1491</v>
      </c>
      <c r="CX21" s="23" t="s">
        <v>1492</v>
      </c>
      <c r="CY21" s="23" t="s">
        <v>1493</v>
      </c>
      <c r="CZ21" s="23" t="s">
        <v>1494</v>
      </c>
      <c r="DA21" s="23" t="s">
        <v>1495</v>
      </c>
      <c r="DB21" s="23" t="s">
        <v>1496</v>
      </c>
      <c r="DC21" s="23" t="s">
        <v>1497</v>
      </c>
      <c r="DD21" s="23" t="s">
        <v>1498</v>
      </c>
      <c r="DE21" s="23" t="s">
        <v>1499</v>
      </c>
      <c r="DF21" s="23" t="s">
        <v>1500</v>
      </c>
      <c r="DG21" s="23" t="s">
        <v>1501</v>
      </c>
      <c r="DH21" s="23" t="s">
        <v>1502</v>
      </c>
      <c r="DI21" s="23" t="s">
        <v>1503</v>
      </c>
      <c r="DJ21" s="23" t="s">
        <v>1504</v>
      </c>
      <c r="DK21" s="23" t="s">
        <v>1505</v>
      </c>
      <c r="DL21" s="23" t="s">
        <v>1506</v>
      </c>
      <c r="DM21" s="23" t="s">
        <v>1507</v>
      </c>
      <c r="DN21" s="23" t="s">
        <v>1508</v>
      </c>
      <c r="DO21" s="23" t="s">
        <v>1509</v>
      </c>
      <c r="DP21" s="23" t="s">
        <v>1510</v>
      </c>
      <c r="DQ21" s="23" t="s">
        <v>1511</v>
      </c>
      <c r="DR21" s="23" t="s">
        <v>1512</v>
      </c>
      <c r="DS21" s="23" t="s">
        <v>1513</v>
      </c>
      <c r="DT21" s="23" t="s">
        <v>1514</v>
      </c>
      <c r="DU21" s="23" t="s">
        <v>1515</v>
      </c>
      <c r="DV21" s="23" t="s">
        <v>1516</v>
      </c>
      <c r="DW21" s="23" t="s">
        <v>1517</v>
      </c>
      <c r="DX21" s="23" t="s">
        <v>1518</v>
      </c>
      <c r="DY21" s="23" t="s">
        <v>1519</v>
      </c>
      <c r="DZ21" s="23" t="s">
        <v>1520</v>
      </c>
      <c r="EA21" s="23" t="s">
        <v>1521</v>
      </c>
      <c r="EB21" s="23" t="s">
        <v>1522</v>
      </c>
      <c r="EC21" s="23" t="s">
        <v>1523</v>
      </c>
      <c r="ED21" s="23" t="s">
        <v>1524</v>
      </c>
      <c r="EE21" s="23" t="s">
        <v>1525</v>
      </c>
      <c r="EF21" s="23" t="s">
        <v>1526</v>
      </c>
      <c r="EG21" s="23" t="s">
        <v>1527</v>
      </c>
      <c r="EH21" s="23" t="s">
        <v>1528</v>
      </c>
      <c r="EI21" s="23" t="s">
        <v>1529</v>
      </c>
      <c r="EJ21" s="23" t="s">
        <v>1530</v>
      </c>
      <c r="EK21" s="23" t="s">
        <v>1531</v>
      </c>
      <c r="EL21" s="23" t="s">
        <v>1532</v>
      </c>
      <c r="EM21" s="23" t="s">
        <v>1533</v>
      </c>
      <c r="EN21" s="23" t="s">
        <v>1534</v>
      </c>
      <c r="EO21" s="23" t="s">
        <v>1535</v>
      </c>
      <c r="EP21" s="23" t="s">
        <v>1536</v>
      </c>
      <c r="EQ21" s="23" t="s">
        <v>1537</v>
      </c>
      <c r="ER21" s="23" t="s">
        <v>1538</v>
      </c>
      <c r="ES21" s="23" t="s">
        <v>1539</v>
      </c>
      <c r="ET21" s="23" t="s">
        <v>1540</v>
      </c>
      <c r="EU21" s="23" t="s">
        <v>1541</v>
      </c>
      <c r="EV21" s="23" t="s">
        <v>1542</v>
      </c>
      <c r="EW21" s="23" t="s">
        <v>1543</v>
      </c>
      <c r="EX21" s="23" t="s">
        <v>1544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1545</v>
      </c>
      <c r="B27" s="34" t="s">
        <v>1023</v>
      </c>
      <c r="C27" s="33" t="s">
        <v>1546</v>
      </c>
      <c r="D27" s="23" t="s">
        <v>1547</v>
      </c>
      <c r="E27" s="23" t="s">
        <v>1548</v>
      </c>
      <c r="F27" s="23" t="s">
        <v>1549</v>
      </c>
      <c r="G27" s="23" t="s">
        <v>1550</v>
      </c>
      <c r="H27" s="23" t="s">
        <v>1551</v>
      </c>
      <c r="I27" s="23" t="s">
        <v>1552</v>
      </c>
      <c r="J27" s="23" t="s">
        <v>1553</v>
      </c>
      <c r="K27" s="23" t="s">
        <v>1554</v>
      </c>
      <c r="L27" s="23" t="s">
        <v>1555</v>
      </c>
      <c r="M27" s="23" t="s">
        <v>1556</v>
      </c>
      <c r="N27" s="23" t="s">
        <v>1557</v>
      </c>
      <c r="O27" s="23" t="s">
        <v>1558</v>
      </c>
      <c r="P27" s="23" t="s">
        <v>1559</v>
      </c>
      <c r="Q27" s="23" t="s">
        <v>1560</v>
      </c>
      <c r="R27" s="23" t="s">
        <v>1561</v>
      </c>
      <c r="S27" s="23" t="s">
        <v>1562</v>
      </c>
      <c r="T27" s="23" t="s">
        <v>1563</v>
      </c>
      <c r="U27" s="23" t="s">
        <v>1564</v>
      </c>
      <c r="V27" s="23" t="s">
        <v>1565</v>
      </c>
      <c r="W27" s="23" t="s">
        <v>1566</v>
      </c>
      <c r="X27" s="23" t="s">
        <v>1567</v>
      </c>
      <c r="Y27" s="23" t="s">
        <v>1568</v>
      </c>
      <c r="Z27" s="23" t="s">
        <v>1569</v>
      </c>
      <c r="AA27" s="23" t="s">
        <v>1570</v>
      </c>
      <c r="AB27" s="23" t="s">
        <v>1571</v>
      </c>
      <c r="AC27" s="23" t="s">
        <v>1572</v>
      </c>
      <c r="AD27" s="23" t="s">
        <v>1573</v>
      </c>
      <c r="AE27" s="23" t="s">
        <v>1574</v>
      </c>
      <c r="AF27" s="23" t="s">
        <v>1575</v>
      </c>
      <c r="AG27" s="23" t="s">
        <v>1576</v>
      </c>
      <c r="AH27" s="23" t="s">
        <v>1577</v>
      </c>
      <c r="AI27" s="23" t="s">
        <v>1578</v>
      </c>
      <c r="AJ27" s="23" t="s">
        <v>1579</v>
      </c>
      <c r="AK27" s="23" t="s">
        <v>1580</v>
      </c>
      <c r="AL27" s="23" t="s">
        <v>1581</v>
      </c>
      <c r="AM27" s="23" t="s">
        <v>1582</v>
      </c>
      <c r="AN27" s="23" t="s">
        <v>1583</v>
      </c>
      <c r="AO27" s="23" t="s">
        <v>1584</v>
      </c>
      <c r="AP27" s="23" t="s">
        <v>1585</v>
      </c>
      <c r="AQ27" s="23" t="s">
        <v>1586</v>
      </c>
      <c r="AR27" s="23" t="s">
        <v>1587</v>
      </c>
      <c r="AS27" s="23" t="s">
        <v>1588</v>
      </c>
      <c r="AT27" s="23" t="s">
        <v>1589</v>
      </c>
      <c r="AU27" s="23" t="s">
        <v>1590</v>
      </c>
      <c r="AV27" s="23" t="s">
        <v>1591</v>
      </c>
      <c r="AW27" s="23" t="s">
        <v>1592</v>
      </c>
      <c r="AX27" s="23" t="s">
        <v>1593</v>
      </c>
      <c r="AY27" s="23" t="s">
        <v>1594</v>
      </c>
      <c r="AZ27" s="23" t="s">
        <v>1595</v>
      </c>
      <c r="BA27" s="23" t="s">
        <v>1596</v>
      </c>
      <c r="BB27" s="23" t="s">
        <v>1597</v>
      </c>
      <c r="BC27" s="23" t="s">
        <v>1598</v>
      </c>
      <c r="BD27" s="23"/>
      <c r="BE27" s="23" t="s">
        <v>1599</v>
      </c>
      <c r="BF27" s="23" t="s">
        <v>1600</v>
      </c>
      <c r="BG27" s="23" t="s">
        <v>1601</v>
      </c>
      <c r="BH27" s="23" t="s">
        <v>1602</v>
      </c>
      <c r="BI27" s="23" t="s">
        <v>1603</v>
      </c>
      <c r="BJ27" s="23" t="s">
        <v>1604</v>
      </c>
      <c r="BK27" s="23" t="s">
        <v>1605</v>
      </c>
      <c r="BL27" s="23" t="s">
        <v>1606</v>
      </c>
      <c r="BM27" s="23" t="s">
        <v>1607</v>
      </c>
      <c r="BN27" s="23" t="s">
        <v>1608</v>
      </c>
      <c r="BO27" s="23" t="s">
        <v>1609</v>
      </c>
      <c r="BP27" s="23" t="s">
        <v>1610</v>
      </c>
      <c r="BQ27" s="23" t="s">
        <v>1611</v>
      </c>
      <c r="BR27" s="23" t="s">
        <v>1612</v>
      </c>
      <c r="BS27" s="23" t="s">
        <v>1613</v>
      </c>
      <c r="BT27" s="23" t="s">
        <v>1614</v>
      </c>
      <c r="BU27" s="23" t="s">
        <v>1615</v>
      </c>
      <c r="BV27" s="23" t="s">
        <v>1616</v>
      </c>
      <c r="BW27" s="23" t="s">
        <v>1617</v>
      </c>
      <c r="BX27" s="23" t="s">
        <v>1618</v>
      </c>
      <c r="BY27" s="23" t="s">
        <v>1619</v>
      </c>
      <c r="BZ27" s="23" t="s">
        <v>1620</v>
      </c>
      <c r="CA27" s="23" t="s">
        <v>1621</v>
      </c>
      <c r="CB27" s="23" t="s">
        <v>1622</v>
      </c>
      <c r="CC27" s="23" t="s">
        <v>1623</v>
      </c>
      <c r="CD27" s="23" t="s">
        <v>1624</v>
      </c>
      <c r="CE27" s="23" t="s">
        <v>1625</v>
      </c>
      <c r="CF27" s="23" t="s">
        <v>1626</v>
      </c>
      <c r="CG27" s="23" t="s">
        <v>1627</v>
      </c>
      <c r="CH27" s="23" t="s">
        <v>1628</v>
      </c>
      <c r="CI27" s="23" t="s">
        <v>1629</v>
      </c>
      <c r="CJ27" s="23" t="s">
        <v>1630</v>
      </c>
      <c r="CK27" s="23" t="s">
        <v>1631</v>
      </c>
      <c r="CL27" s="23" t="s">
        <v>1632</v>
      </c>
      <c r="CM27" s="23" t="s">
        <v>1633</v>
      </c>
      <c r="CN27" s="23" t="s">
        <v>1634</v>
      </c>
      <c r="CO27" s="23" t="s">
        <v>1635</v>
      </c>
      <c r="CP27" s="23" t="s">
        <v>1636</v>
      </c>
      <c r="CQ27" s="23" t="s">
        <v>1637</v>
      </c>
      <c r="CR27" s="23" t="s">
        <v>1638</v>
      </c>
      <c r="CS27" s="23" t="s">
        <v>1639</v>
      </c>
      <c r="CT27" s="23" t="s">
        <v>1640</v>
      </c>
      <c r="CU27" s="23" t="s">
        <v>1641</v>
      </c>
      <c r="CV27" s="23" t="s">
        <v>1642</v>
      </c>
      <c r="CW27" s="23" t="s">
        <v>1643</v>
      </c>
      <c r="CX27" s="23" t="s">
        <v>1644</v>
      </c>
      <c r="CY27" s="23" t="s">
        <v>1645</v>
      </c>
      <c r="CZ27" s="23" t="s">
        <v>1646</v>
      </c>
      <c r="DA27" s="23" t="s">
        <v>1647</v>
      </c>
      <c r="DB27" s="23" t="s">
        <v>1648</v>
      </c>
      <c r="DC27" s="23" t="s">
        <v>1649</v>
      </c>
      <c r="DD27" s="23" t="s">
        <v>1650</v>
      </c>
      <c r="DE27" s="23" t="s">
        <v>1651</v>
      </c>
      <c r="DF27" s="23" t="s">
        <v>1652</v>
      </c>
      <c r="DG27" s="23" t="s">
        <v>1653</v>
      </c>
      <c r="DH27" s="23" t="s">
        <v>1654</v>
      </c>
      <c r="DI27" s="23" t="s">
        <v>1655</v>
      </c>
      <c r="DJ27" s="23" t="s">
        <v>1656</v>
      </c>
      <c r="DK27" s="23" t="s">
        <v>1657</v>
      </c>
      <c r="DL27" s="23" t="s">
        <v>1658</v>
      </c>
      <c r="DM27" s="23" t="s">
        <v>1659</v>
      </c>
      <c r="DN27" s="23" t="s">
        <v>1660</v>
      </c>
      <c r="DO27" s="23" t="s">
        <v>1661</v>
      </c>
      <c r="DP27" s="23" t="s">
        <v>1662</v>
      </c>
      <c r="DQ27" s="23" t="s">
        <v>1663</v>
      </c>
      <c r="DR27" s="23" t="s">
        <v>1664</v>
      </c>
      <c r="DS27" s="23" t="s">
        <v>1665</v>
      </c>
      <c r="DT27" s="23" t="s">
        <v>1666</v>
      </c>
      <c r="DU27" s="23" t="s">
        <v>1667</v>
      </c>
      <c r="DV27" s="23"/>
      <c r="DW27" s="23" t="s">
        <v>1668</v>
      </c>
      <c r="DX27" s="23" t="s">
        <v>1669</v>
      </c>
      <c r="DY27" s="23" t="s">
        <v>1670</v>
      </c>
      <c r="DZ27" s="23" t="s">
        <v>1671</v>
      </c>
      <c r="EA27" s="23" t="s">
        <v>1672</v>
      </c>
      <c r="EB27" s="23" t="s">
        <v>1673</v>
      </c>
      <c r="EC27" s="23" t="s">
        <v>1674</v>
      </c>
      <c r="ED27" s="23"/>
      <c r="EE27" s="23" t="s">
        <v>1675</v>
      </c>
      <c r="EF27" s="23" t="s">
        <v>1676</v>
      </c>
      <c r="EG27" s="23" t="s">
        <v>1677</v>
      </c>
      <c r="EH27" s="23" t="s">
        <v>1678</v>
      </c>
      <c r="EI27" s="23" t="s">
        <v>1679</v>
      </c>
      <c r="EJ27" s="23" t="s">
        <v>1680</v>
      </c>
      <c r="EK27" s="23" t="s">
        <v>1681</v>
      </c>
      <c r="EL27" s="23" t="s">
        <v>1682</v>
      </c>
      <c r="EM27" s="23" t="s">
        <v>1683</v>
      </c>
      <c r="EN27" s="23" t="s">
        <v>1684</v>
      </c>
      <c r="EO27" s="23" t="s">
        <v>1685</v>
      </c>
      <c r="EP27" s="23" t="s">
        <v>1686</v>
      </c>
      <c r="EQ27" s="23" t="s">
        <v>1687</v>
      </c>
      <c r="ER27" s="23" t="s">
        <v>1688</v>
      </c>
      <c r="ES27" s="23" t="s">
        <v>1689</v>
      </c>
      <c r="ET27" s="23" t="s">
        <v>1690</v>
      </c>
      <c r="EU27" s="23"/>
      <c r="EV27" s="23" t="s">
        <v>1691</v>
      </c>
      <c r="EW27" s="23" t="s">
        <v>1692</v>
      </c>
      <c r="EX27" s="23" t="s">
        <v>1693</v>
      </c>
      <c r="EY27" s="23" t="s">
        <v>1694</v>
      </c>
      <c r="EZ27" s="23" t="s">
        <v>1695</v>
      </c>
      <c r="FA27" s="23" t="s">
        <v>1696</v>
      </c>
      <c r="FB27" s="23" t="s">
        <v>1697</v>
      </c>
      <c r="FC27" s="23" t="s">
        <v>1698</v>
      </c>
      <c r="FD27" s="23" t="s">
        <v>1699</v>
      </c>
      <c r="FE27" s="23" t="s">
        <v>1700</v>
      </c>
      <c r="FF27" s="23" t="s">
        <v>1701</v>
      </c>
      <c r="FG27" s="23" t="s">
        <v>1702</v>
      </c>
      <c r="FH27" s="23" t="s">
        <v>1703</v>
      </c>
      <c r="FI27" s="23" t="s">
        <v>1704</v>
      </c>
      <c r="FJ27" s="23" t="s">
        <v>1705</v>
      </c>
      <c r="FK27" s="23" t="s">
        <v>1706</v>
      </c>
      <c r="FL27" s="23" t="s">
        <v>1707</v>
      </c>
      <c r="FM27" s="23" t="s">
        <v>1708</v>
      </c>
      <c r="FN27" s="23" t="s">
        <v>1709</v>
      </c>
      <c r="FO27" s="23" t="s">
        <v>1710</v>
      </c>
      <c r="FP27" s="23" t="s">
        <v>1711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1712</v>
      </c>
      <c r="B33" s="35" t="s">
        <v>1023</v>
      </c>
      <c r="C33" s="36" t="s">
        <v>1713</v>
      </c>
      <c r="D33" s="37" t="s">
        <v>1714</v>
      </c>
      <c r="E33" s="37" t="s">
        <v>1715</v>
      </c>
      <c r="F33" s="37" t="s">
        <v>1716</v>
      </c>
      <c r="G33" s="37" t="s">
        <v>1717</v>
      </c>
      <c r="H33" s="37" t="s">
        <v>1718</v>
      </c>
      <c r="I33" s="37" t="s">
        <v>1719</v>
      </c>
      <c r="J33" s="37" t="s">
        <v>1720</v>
      </c>
      <c r="K33" s="37" t="s">
        <v>1721</v>
      </c>
      <c r="L33" s="37" t="s">
        <v>1722</v>
      </c>
      <c r="M33" s="37" t="s">
        <v>1723</v>
      </c>
      <c r="N33" s="37" t="s">
        <v>1724</v>
      </c>
      <c r="O33" s="37" t="s">
        <v>1725</v>
      </c>
      <c r="P33" s="37" t="s">
        <v>777</v>
      </c>
      <c r="Q33" s="37" t="s">
        <v>1726</v>
      </c>
      <c r="R33" s="37" t="s">
        <v>1727</v>
      </c>
      <c r="S33" s="37" t="s">
        <v>1728</v>
      </c>
      <c r="T33" s="37" t="s">
        <v>1729</v>
      </c>
      <c r="U33" s="37" t="s">
        <v>1730</v>
      </c>
      <c r="V33" s="37" t="s">
        <v>1731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1732</v>
      </c>
    </row>
    <row r="38" spans="1:22">
      <c r="A38" t="s">
        <v>1732</v>
      </c>
    </row>
    <row r="99" spans="1:1" ht="16.5" customHeight="1"/>
    <row r="100" spans="1:1" ht="21" customHeight="1">
      <c r="A100" s="43"/>
    </row>
  </sheetData>
  <pageMargins left="0.69930555555555596" right="0.69930555555555596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01" t="s">
        <v>1733</v>
      </c>
      <c r="B1" s="501"/>
      <c r="C1" s="501"/>
      <c r="D1" s="501"/>
      <c r="E1" s="501"/>
      <c r="F1" s="501"/>
      <c r="G1" s="501"/>
      <c r="H1" s="501"/>
      <c r="I1" s="501"/>
      <c r="J1" s="501"/>
      <c r="K1" s="14" t="str">
        <f>CONCATENATE(Validation!$A$42,"_",BasicInput!$H$28,"_",BasicInput!$F$40)</f>
        <v>Gross Turnover_HL_Self-occupation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5</v>
      </c>
      <c r="B3" s="10" t="s">
        <v>671</v>
      </c>
      <c r="C3" s="10" t="s">
        <v>672</v>
      </c>
      <c r="D3" s="10" t="s">
        <v>673</v>
      </c>
      <c r="E3" s="10" t="s">
        <v>1734</v>
      </c>
      <c r="F3" s="10" t="s">
        <v>681</v>
      </c>
      <c r="G3" s="10" t="s">
        <v>1735</v>
      </c>
      <c r="H3" s="10" t="str">
        <f>CONCATENATE("Turnover for ",Prime1!$C$14," (Rs.)")</f>
        <v>Turnover for FY 2022-23 (Rs.)</v>
      </c>
      <c r="I3" s="10" t="str">
        <f>CONCATENATE("Turnover for ",Prime1!$D$14," (Rs.)")</f>
        <v>Turnover for FY 2021-22 (Rs.)</v>
      </c>
      <c r="J3" s="10" t="s">
        <v>1736</v>
      </c>
    </row>
    <row r="4" spans="1:11" ht="25.5" customHeight="1">
      <c r="A4" s="3">
        <v>1</v>
      </c>
      <c r="B4" s="3" t="str">
        <f>IF(Prime1!$B$1="","",Prime1!$B$1)</f>
        <v>SONA NAVANI</v>
      </c>
      <c r="C4" s="3" t="str">
        <f>IF(Prime1!$B$5="","",Prime1!$B$5)</f>
        <v>Trading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 t="str">
        <f>IF(Prime1!$B$10="","",Prime1!$B$10/100)</f>
        <v/>
      </c>
      <c r="H4" s="12">
        <f>Prime1!$C$27-SUM(Prime1!$C$24:$C$26)-Prime1!$C$18</f>
        <v>0</v>
      </c>
      <c r="I4" s="12">
        <f>Prime1!$D$27-SUM(Prime1!$D$24:$D$26)-Prime1!$D$18</f>
        <v>0</v>
      </c>
      <c r="J4" s="12" t="e">
        <f>IFERROR(IF((H4/I4)&lt;=120%,H4,IF((H4/I4)&lt;=150%,MAX(AVERAGE(H4,I4),I4*120%),AVERAGE(H4,I4))),0)*IF(E4="Y",F4*G4,0)</f>
        <v>#VALUE!</v>
      </c>
    </row>
    <row r="5" spans="1:11" ht="25.5" customHeight="1">
      <c r="A5" s="3">
        <v>2</v>
      </c>
      <c r="B5" s="3" t="str">
        <f>IF(Prime2!$B$1="","",Prime2!$B$1)</f>
        <v xml:space="preserve">NITIN </v>
      </c>
      <c r="C5" s="3" t="str">
        <f>IF(Prime2!$B$5="","",Prime2!$B$5)</f>
        <v>Trading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 t="str">
        <f>IF(Prime2!$B$10="","",Prime2!$B$10/100)</f>
        <v/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/>
      </c>
      <c r="D6" s="3" t="str">
        <f>IF(Prime3!$B$6="","",Prime3!$B$6)</f>
        <v/>
      </c>
      <c r="E6" s="7" t="str">
        <f>IF(Prime3!$B$8="","",Prime3!$B$8)</f>
        <v/>
      </c>
      <c r="F6" s="11" t="str">
        <f>IF(Prime3!$B$9="","",Prime3!$B$9)</f>
        <v/>
      </c>
      <c r="G6" s="11" t="str">
        <f>IF(Prime3!$B$10="","",Prime3!$B$10/100)</f>
        <v/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/>
      </c>
      <c r="D7" s="3" t="str">
        <f>IF(Prime4!$B$6="","",Prime4!$B$6)</f>
        <v/>
      </c>
      <c r="E7" s="7" t="str">
        <f>IF(Prime4!$B$8="","",Prime4!$B$8)</f>
        <v/>
      </c>
      <c r="F7" s="11" t="str">
        <f>IF(Prime4!$B$9="","",Prime4!$B$9)</f>
        <v/>
      </c>
      <c r="G7" s="11" t="str">
        <f>IF(Prime4!$B$10="","",Prime4!$B$10/100)</f>
        <v/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05" t="s">
        <v>39</v>
      </c>
      <c r="B14" s="511"/>
      <c r="C14" s="511"/>
      <c r="D14" s="511"/>
      <c r="E14" s="511"/>
      <c r="F14" s="511"/>
      <c r="G14" s="511"/>
      <c r="H14" s="511"/>
      <c r="I14" s="506"/>
      <c r="J14" s="13" t="e">
        <f>SUM(J4:J13)</f>
        <v>#VALUE!</v>
      </c>
      <c r="K14" s="15"/>
    </row>
    <row r="15" spans="1:11">
      <c r="A15" s="390" t="s">
        <v>1737</v>
      </c>
      <c r="B15" s="391"/>
      <c r="C15" s="391"/>
      <c r="D15" s="391"/>
      <c r="E15" s="391"/>
      <c r="F15" s="391"/>
      <c r="G15" s="391"/>
      <c r="H15" s="391"/>
      <c r="I15" s="392"/>
      <c r="J15" s="21"/>
      <c r="K15" s="15"/>
    </row>
    <row r="16" spans="1:11">
      <c r="A16" s="505" t="s">
        <v>1738</v>
      </c>
      <c r="B16" s="511"/>
      <c r="C16" s="511"/>
      <c r="D16" s="511"/>
      <c r="E16" s="511"/>
      <c r="F16" s="511"/>
      <c r="G16" s="511"/>
      <c r="H16" s="511"/>
      <c r="I16" s="506"/>
      <c r="J16" s="13" t="e">
        <f>IF(J15="&gt;4",J14,IF(J15=4,MIN(J14,4*PrimeCashProfitMethod!$B$10),MIN(J14,3*PrimeCashProfitMethod!$B$10)))</f>
        <v>#VALUE!</v>
      </c>
      <c r="K16" s="15" t="e">
        <f>IF(J16&gt;(4*PrimeCashProfitMethod!B10),"Deviation for Eligible Income &gt;4 times of EBITDA",IF(J16&gt;(3*PrimeCashProfitMethod!B10),"Deviation for Eligible Income &gt;3 times of EBITDA",""))</f>
        <v>#VALUE!</v>
      </c>
    </row>
    <row r="17" spans="1:11" ht="27" customHeight="1">
      <c r="A17" s="350" t="s">
        <v>64</v>
      </c>
      <c r="B17" s="350"/>
      <c r="C17" s="350"/>
      <c r="D17" s="350"/>
      <c r="E17" s="350"/>
      <c r="F17" s="350"/>
      <c r="G17" s="350"/>
      <c r="H17" s="350"/>
      <c r="I17" s="350"/>
      <c r="J17" s="12">
        <f>BasicInput!$D$49</f>
        <v>0</v>
      </c>
    </row>
    <row r="18" spans="1:11">
      <c r="A18" s="350" t="s">
        <v>65</v>
      </c>
      <c r="B18" s="350"/>
      <c r="C18" s="350"/>
      <c r="D18" s="350"/>
      <c r="E18" s="350"/>
      <c r="F18" s="350"/>
      <c r="G18" s="350"/>
      <c r="H18" s="350"/>
      <c r="I18" s="350"/>
      <c r="J18" s="12">
        <f>BasicInput!$D$50</f>
        <v>0</v>
      </c>
    </row>
    <row r="19" spans="1:11">
      <c r="A19" s="350" t="s">
        <v>66</v>
      </c>
      <c r="B19" s="350"/>
      <c r="C19" s="350"/>
      <c r="D19" s="350"/>
      <c r="E19" s="350"/>
      <c r="F19" s="350"/>
      <c r="G19" s="350"/>
      <c r="H19" s="350"/>
      <c r="I19" s="350"/>
      <c r="J19" s="12">
        <f>BasicInput!$D$51</f>
        <v>0</v>
      </c>
    </row>
    <row r="20" spans="1:11">
      <c r="A20" s="350" t="s">
        <v>837</v>
      </c>
      <c r="B20" s="350"/>
      <c r="C20" s="350"/>
      <c r="D20" s="350"/>
      <c r="E20" s="350"/>
      <c r="F20" s="350"/>
      <c r="G20" s="350"/>
      <c r="H20" s="350"/>
      <c r="I20" s="350"/>
      <c r="J20" s="12">
        <f>BasicInput!$D$52</f>
        <v>0</v>
      </c>
    </row>
    <row r="21" spans="1:11">
      <c r="A21" s="505" t="s">
        <v>109</v>
      </c>
      <c r="B21" s="511"/>
      <c r="C21" s="511"/>
      <c r="D21" s="511"/>
      <c r="E21" s="511"/>
      <c r="F21" s="511"/>
      <c r="G21" s="511"/>
      <c r="H21" s="511"/>
      <c r="I21" s="506"/>
      <c r="J21" s="13" t="e">
        <f>MIN((J17+(J18*50%)+J19+J20),J16)</f>
        <v>#VALUE!</v>
      </c>
      <c r="K21" s="1" t="e">
        <f>IF(J16&lt;(J17+(J18*50%)+J19+J20),"Other Income capped at 100% of Basic Income","")</f>
        <v>#VALUE!</v>
      </c>
    </row>
    <row r="22" spans="1:11" ht="40.5" customHeight="1">
      <c r="A22" s="350" t="s">
        <v>68</v>
      </c>
      <c r="B22" s="350"/>
      <c r="C22" s="350"/>
      <c r="D22" s="350"/>
      <c r="E22" s="350"/>
      <c r="F22" s="350"/>
      <c r="G22" s="350"/>
      <c r="H22" s="350"/>
      <c r="I22" s="350"/>
      <c r="J22" s="12">
        <f>BasicInput!$D$53</f>
        <v>0</v>
      </c>
    </row>
    <row r="23" spans="1:11">
      <c r="A23" s="505" t="s">
        <v>685</v>
      </c>
      <c r="B23" s="511"/>
      <c r="C23" s="511"/>
      <c r="D23" s="511"/>
      <c r="E23" s="511"/>
      <c r="F23" s="511"/>
      <c r="G23" s="511"/>
      <c r="H23" s="511"/>
      <c r="I23" s="506"/>
      <c r="J23" s="13" t="e">
        <f>J16+J21+J22</f>
        <v>#VALUE!</v>
      </c>
    </row>
    <row r="24" spans="1:11">
      <c r="A24" s="505" t="s">
        <v>121</v>
      </c>
      <c r="B24" s="511"/>
      <c r="C24" s="511"/>
      <c r="D24" s="511"/>
      <c r="E24" s="511"/>
      <c r="F24" s="511"/>
      <c r="G24" s="511"/>
      <c r="H24" s="511"/>
      <c r="I24" s="506"/>
      <c r="J24" s="13" t="e">
        <f>J23/12</f>
        <v>#VALUE!</v>
      </c>
    </row>
    <row r="25" spans="1:11">
      <c r="A25" s="505" t="s">
        <v>686</v>
      </c>
      <c r="B25" s="511"/>
      <c r="C25" s="511"/>
      <c r="D25" s="511"/>
      <c r="E25" s="511"/>
      <c r="F25" s="511"/>
      <c r="G25" s="511"/>
      <c r="H25" s="511"/>
      <c r="I25" s="506"/>
      <c r="J25" s="13">
        <f>BasicInput!$D$27</f>
        <v>1500000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50" t="s">
        <v>687</v>
      </c>
      <c r="B26" s="350"/>
      <c r="C26" s="350"/>
      <c r="D26" s="350"/>
      <c r="E26" s="350"/>
      <c r="F26" s="350"/>
      <c r="G26" s="350"/>
      <c r="H26" s="350"/>
      <c r="I26" s="350"/>
      <c r="J26" s="12">
        <f>'ExistingLoans&amp;Facilities&amp;RTR'!$N$103</f>
        <v>0</v>
      </c>
    </row>
    <row r="27" spans="1:11">
      <c r="A27" s="350" t="s">
        <v>688</v>
      </c>
      <c r="B27" s="350"/>
      <c r="C27" s="350"/>
      <c r="D27" s="350"/>
      <c r="E27" s="350"/>
      <c r="F27" s="350"/>
      <c r="G27" s="350"/>
      <c r="H27" s="350"/>
      <c r="I27" s="350"/>
      <c r="J27" s="12">
        <f>BasicInput!$G$28</f>
        <v>14976</v>
      </c>
    </row>
    <row r="28" spans="1:11">
      <c r="A28" s="350" t="s">
        <v>838</v>
      </c>
      <c r="B28" s="350"/>
      <c r="C28" s="350"/>
      <c r="D28" s="350"/>
      <c r="E28" s="350"/>
      <c r="F28" s="350"/>
      <c r="G28" s="350"/>
      <c r="H28" s="350"/>
      <c r="I28" s="350"/>
      <c r="J28" s="12">
        <f>SUMIF(BasicInput!$B$22:$B$26,Validation!$A$37,BasicInput!$G$22:$G$26)</f>
        <v>0</v>
      </c>
    </row>
    <row r="29" spans="1:11">
      <c r="A29" s="350" t="s">
        <v>689</v>
      </c>
      <c r="B29" s="350"/>
      <c r="C29" s="350"/>
      <c r="D29" s="350"/>
      <c r="E29" s="350"/>
      <c r="F29" s="350"/>
      <c r="G29" s="350"/>
      <c r="H29" s="350"/>
      <c r="I29" s="350"/>
      <c r="J29" s="12">
        <f>SUMIF(BasicInput!$B$22:$B$26,Validation!$A$38,BasicInput!$G$22:$G$26)</f>
        <v>0</v>
      </c>
    </row>
    <row r="30" spans="1:11">
      <c r="A30" s="505" t="s">
        <v>690</v>
      </c>
      <c r="B30" s="511"/>
      <c r="C30" s="511"/>
      <c r="D30" s="511"/>
      <c r="E30" s="511"/>
      <c r="F30" s="511"/>
      <c r="G30" s="511"/>
      <c r="H30" s="511"/>
      <c r="I30" s="506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>FOIR Deviation Approval required</v>
      </c>
    </row>
    <row r="31" spans="1:11">
      <c r="A31" s="505" t="s">
        <v>691</v>
      </c>
      <c r="B31" s="511"/>
      <c r="C31" s="511"/>
      <c r="D31" s="511"/>
      <c r="E31" s="511"/>
      <c r="F31" s="511"/>
      <c r="G31" s="511"/>
      <c r="H31" s="511"/>
      <c r="I31" s="506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>FOIR Deviation Approval required</v>
      </c>
    </row>
    <row r="32" spans="1:11">
      <c r="A32" s="505" t="s">
        <v>692</v>
      </c>
      <c r="B32" s="511"/>
      <c r="C32" s="511"/>
      <c r="D32" s="511"/>
      <c r="E32" s="511"/>
      <c r="F32" s="511"/>
      <c r="G32" s="511"/>
      <c r="H32" s="511"/>
      <c r="I32" s="506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05" t="s">
        <v>693</v>
      </c>
      <c r="B33" s="511"/>
      <c r="C33" s="511"/>
      <c r="D33" s="511"/>
      <c r="E33" s="511"/>
      <c r="F33" s="511"/>
      <c r="G33" s="511"/>
      <c r="H33" s="511"/>
      <c r="I33" s="506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05" t="s">
        <v>694</v>
      </c>
      <c r="B34" s="511"/>
      <c r="C34" s="511"/>
      <c r="D34" s="511"/>
      <c r="E34" s="511"/>
      <c r="F34" s="511"/>
      <c r="G34" s="511"/>
      <c r="H34" s="511"/>
      <c r="I34" s="506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05" t="s">
        <v>695</v>
      </c>
      <c r="B35" s="511"/>
      <c r="C35" s="511"/>
      <c r="D35" s="511"/>
      <c r="E35" s="511"/>
      <c r="F35" s="511"/>
      <c r="G35" s="511"/>
      <c r="H35" s="511"/>
      <c r="I35" s="506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05" t="s">
        <v>696</v>
      </c>
      <c r="B36" s="511"/>
      <c r="C36" s="511"/>
      <c r="D36" s="511"/>
      <c r="E36" s="511"/>
      <c r="F36" s="511"/>
      <c r="G36" s="511"/>
      <c r="H36" s="511"/>
      <c r="I36" s="506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05" t="s">
        <v>697</v>
      </c>
      <c r="B37" s="511"/>
      <c r="C37" s="511"/>
      <c r="D37" s="511"/>
      <c r="E37" s="511"/>
      <c r="F37" s="511"/>
      <c r="G37" s="511"/>
      <c r="H37" s="511"/>
      <c r="I37" s="506"/>
      <c r="J37" s="13">
        <f>MAX($P$47,0)</f>
        <v>0</v>
      </c>
      <c r="K37" s="15"/>
    </row>
    <row r="38" spans="1:17">
      <c r="A38" s="509" t="s">
        <v>698</v>
      </c>
      <c r="B38" s="540"/>
      <c r="C38" s="540"/>
      <c r="D38" s="540"/>
      <c r="E38" s="540"/>
      <c r="F38" s="540"/>
      <c r="G38" s="540"/>
      <c r="H38" s="540"/>
      <c r="I38" s="510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0.65</v>
      </c>
    </row>
    <row r="40" spans="1:17"/>
    <row r="41" spans="1:17" ht="51">
      <c r="B41" s="10" t="s">
        <v>42</v>
      </c>
      <c r="C41" s="10" t="s">
        <v>43</v>
      </c>
      <c r="D41" s="10" t="s">
        <v>44</v>
      </c>
      <c r="E41" s="10" t="s">
        <v>45</v>
      </c>
      <c r="F41" s="10" t="s">
        <v>46</v>
      </c>
      <c r="G41" s="10" t="s">
        <v>47</v>
      </c>
      <c r="H41" s="10" t="s">
        <v>48</v>
      </c>
      <c r="I41" s="10" t="s">
        <v>49</v>
      </c>
      <c r="J41" s="10" t="s">
        <v>50</v>
      </c>
      <c r="K41" s="10" t="s">
        <v>51</v>
      </c>
      <c r="L41" s="10" t="s">
        <v>52</v>
      </c>
      <c r="M41" s="10" t="s">
        <v>53</v>
      </c>
      <c r="N41" s="10" t="s">
        <v>54</v>
      </c>
      <c r="O41" s="10" t="s">
        <v>699</v>
      </c>
      <c r="P41" s="10" t="s">
        <v>700</v>
      </c>
    </row>
    <row r="42" spans="1:17" ht="25.5">
      <c r="B42" s="3" t="str">
        <f>IF(BasicInput!$B$34="","",BasicInput!$B$34)</f>
        <v>B-54,KEDAR NAGAR, Shahganj,Agra,KEDAR NAGAR,Agra,Agra,Uttar Pradesh,282010</v>
      </c>
      <c r="C42" s="3" t="str">
        <f>IF(BasicInput!$C$34="","",BasicInput!$C$34)</f>
        <v>Residential House</v>
      </c>
      <c r="D42" s="3" t="str">
        <f>IF(BasicInput!$D$34="","",BasicInput!$D$34)</f>
        <v>SONA NAVANI</v>
      </c>
      <c r="E42" s="3">
        <f>IF(BasicInput!$E$34="","",BasicInput!$E$34)</f>
        <v>360</v>
      </c>
      <c r="F42" s="3" t="str">
        <f>IF(BasicInput!$F$34="","",BasicInput!$F$34)</f>
        <v>Self-occupation</v>
      </c>
      <c r="G42" s="7" t="str">
        <f>IF(BasicInput!$G$34="","",BasicInput!$G$34)</f>
        <v>N</v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1900000</v>
      </c>
      <c r="L42" s="11">
        <f>IF(BasicInput!$L$34="","",BasicInput!$L$34)</f>
        <v>1</v>
      </c>
      <c r="M42" s="11" t="e">
        <f>IF(BasicInput!$M$34="","",BasicInput!$M$34)</f>
        <v>#DIV/0!</v>
      </c>
      <c r="N42" s="12">
        <f>IF(BasicInput!$N$34="",0,BasicInput!$N$34)</f>
        <v>0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0.9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0.9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05" t="s">
        <v>39</v>
      </c>
      <c r="C47" s="511"/>
      <c r="D47" s="511"/>
      <c r="E47" s="511"/>
      <c r="F47" s="511"/>
      <c r="G47" s="511"/>
      <c r="H47" s="13">
        <f>SUM(H42:H46)</f>
        <v>0</v>
      </c>
      <c r="I47" s="505"/>
      <c r="J47" s="511"/>
      <c r="K47" s="511"/>
      <c r="L47" s="511"/>
      <c r="M47" s="506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38:I38"/>
    <mergeCell ref="B47:G47"/>
    <mergeCell ref="I47:M47"/>
    <mergeCell ref="A33:I33"/>
    <mergeCell ref="A34:I34"/>
    <mergeCell ref="A35:I35"/>
    <mergeCell ref="A36:I36"/>
    <mergeCell ref="A37:I37"/>
    <mergeCell ref="A28:I28"/>
    <mergeCell ref="A29:I29"/>
    <mergeCell ref="A30:I30"/>
    <mergeCell ref="A31:I31"/>
    <mergeCell ref="A32:I32"/>
    <mergeCell ref="A23:I23"/>
    <mergeCell ref="A24:I24"/>
    <mergeCell ref="A25:I25"/>
    <mergeCell ref="A26:I26"/>
    <mergeCell ref="A27:I27"/>
    <mergeCell ref="A18:I18"/>
    <mergeCell ref="A19:I19"/>
    <mergeCell ref="A20:I20"/>
    <mergeCell ref="A21:I21"/>
    <mergeCell ref="A22:I22"/>
    <mergeCell ref="A1:J1"/>
    <mergeCell ref="A14:I14"/>
    <mergeCell ref="A15:I15"/>
    <mergeCell ref="A16:I16"/>
    <mergeCell ref="A17:I1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69930555555555596" right="0.69930555555555596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01" t="s">
        <v>1739</v>
      </c>
      <c r="B1" s="501"/>
      <c r="C1" s="501"/>
      <c r="D1" s="501"/>
      <c r="E1" s="501"/>
      <c r="F1" s="501"/>
      <c r="G1" s="501"/>
      <c r="H1" s="501"/>
      <c r="I1" s="501"/>
      <c r="J1" s="14" t="str">
        <f>CONCATENATE(Validation!$A$43,"_",BasicInput!$H$28,"_",BasicInput!$F$40)</f>
        <v>Gross Receipts_HL_Self-occupation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5</v>
      </c>
      <c r="B3" s="10" t="s">
        <v>671</v>
      </c>
      <c r="C3" s="10" t="s">
        <v>672</v>
      </c>
      <c r="D3" s="10" t="s">
        <v>673</v>
      </c>
      <c r="E3" s="10" t="s">
        <v>1734</v>
      </c>
      <c r="F3" s="10" t="s">
        <v>681</v>
      </c>
      <c r="G3" s="10" t="str">
        <f>CONCATENATE("Receipts for ",Prime1!C14," (Rs.)")</f>
        <v>Receipts for FY 2022-23 (Rs.)</v>
      </c>
      <c r="H3" s="10" t="str">
        <f>CONCATENATE("Receipts for ",Prime1!D14," (Rs.)")</f>
        <v>Receipts for FY 2021-22 (Rs.)</v>
      </c>
      <c r="I3" s="10" t="s">
        <v>1736</v>
      </c>
    </row>
    <row r="4" spans="1:10" ht="25.5" customHeight="1">
      <c r="A4" s="3">
        <v>1</v>
      </c>
      <c r="B4" s="3" t="str">
        <f>IF(Prime1!$B$1="","",Prime1!$B$1)</f>
        <v>SONA NAVANI</v>
      </c>
      <c r="C4" s="3" t="str">
        <f>IF(Prime1!$B$5="","",Prime1!$B$5)</f>
        <v>Trading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 xml:space="preserve">NITIN </v>
      </c>
      <c r="C5" s="3" t="str">
        <f>IF(Prime2!$B$5="","",Prime2!$B$5)</f>
        <v>Trading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/>
      </c>
      <c r="D6" s="3" t="str">
        <f>IF(Prime3!$B$6="","",Prime3!$B$6)</f>
        <v/>
      </c>
      <c r="E6" s="7" t="str">
        <f>IF(Prime3!$B$8="","",Prime3!$B$8)</f>
        <v/>
      </c>
      <c r="F6" s="11" t="str">
        <f>IF(Prime3!$B$9="","",Prime3!$B$9)</f>
        <v/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/>
      </c>
      <c r="D7" s="3" t="str">
        <f>IF(Prime4!$B$6="","",Prime4!$B$6)</f>
        <v/>
      </c>
      <c r="E7" s="7" t="str">
        <f>IF(Prime4!$B$8="","",Prime4!$B$8)</f>
        <v/>
      </c>
      <c r="F7" s="11" t="str">
        <f>IF(Prime4!$B$9="","",Prime4!$B$9)</f>
        <v/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05" t="s">
        <v>1740</v>
      </c>
      <c r="B14" s="511"/>
      <c r="C14" s="511"/>
      <c r="D14" s="511"/>
      <c r="E14" s="511"/>
      <c r="F14" s="511"/>
      <c r="G14" s="511"/>
      <c r="H14" s="506"/>
      <c r="I14" s="13">
        <f>SUM(I4:I13)</f>
        <v>0</v>
      </c>
      <c r="J14" s="15"/>
    </row>
    <row r="15" spans="1:10" ht="27" customHeight="1">
      <c r="A15" s="350" t="s">
        <v>64</v>
      </c>
      <c r="B15" s="350"/>
      <c r="C15" s="350"/>
      <c r="D15" s="350"/>
      <c r="E15" s="350"/>
      <c r="F15" s="350"/>
      <c r="G15" s="350"/>
      <c r="H15" s="350"/>
      <c r="I15" s="12">
        <f>BasicInput!$D$49</f>
        <v>0</v>
      </c>
    </row>
    <row r="16" spans="1:10">
      <c r="A16" s="350" t="s">
        <v>65</v>
      </c>
      <c r="B16" s="350"/>
      <c r="C16" s="350"/>
      <c r="D16" s="350"/>
      <c r="E16" s="350"/>
      <c r="F16" s="350"/>
      <c r="G16" s="350"/>
      <c r="H16" s="350"/>
      <c r="I16" s="12">
        <f>BasicInput!$D$50</f>
        <v>0</v>
      </c>
    </row>
    <row r="17" spans="1:10">
      <c r="A17" s="350" t="s">
        <v>66</v>
      </c>
      <c r="B17" s="350"/>
      <c r="C17" s="350"/>
      <c r="D17" s="350"/>
      <c r="E17" s="350"/>
      <c r="F17" s="350"/>
      <c r="G17" s="350"/>
      <c r="H17" s="350"/>
      <c r="I17" s="12">
        <f>BasicInput!$D$51</f>
        <v>0</v>
      </c>
    </row>
    <row r="18" spans="1:10">
      <c r="A18" s="350" t="s">
        <v>837</v>
      </c>
      <c r="B18" s="350"/>
      <c r="C18" s="350"/>
      <c r="D18" s="350"/>
      <c r="E18" s="350"/>
      <c r="F18" s="350"/>
      <c r="G18" s="350"/>
      <c r="H18" s="350"/>
      <c r="I18" s="12">
        <f>BasicInput!$D$52</f>
        <v>0</v>
      </c>
    </row>
    <row r="19" spans="1:10">
      <c r="A19" s="505" t="s">
        <v>109</v>
      </c>
      <c r="B19" s="511"/>
      <c r="C19" s="511"/>
      <c r="D19" s="511"/>
      <c r="E19" s="511"/>
      <c r="F19" s="511"/>
      <c r="G19" s="511"/>
      <c r="H19" s="506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50" t="s">
        <v>68</v>
      </c>
      <c r="B20" s="350"/>
      <c r="C20" s="350"/>
      <c r="D20" s="350"/>
      <c r="E20" s="350"/>
      <c r="F20" s="350"/>
      <c r="G20" s="350"/>
      <c r="H20" s="350"/>
      <c r="I20" s="12">
        <f>BasicInput!$D$53</f>
        <v>0</v>
      </c>
    </row>
    <row r="21" spans="1:10">
      <c r="A21" s="505" t="s">
        <v>685</v>
      </c>
      <c r="B21" s="511"/>
      <c r="C21" s="511"/>
      <c r="D21" s="511"/>
      <c r="E21" s="511"/>
      <c r="F21" s="511"/>
      <c r="G21" s="511"/>
      <c r="H21" s="506"/>
      <c r="I21" s="13">
        <f>I14+I19+I20</f>
        <v>0</v>
      </c>
    </row>
    <row r="22" spans="1:10">
      <c r="A22" s="505" t="s">
        <v>121</v>
      </c>
      <c r="B22" s="511"/>
      <c r="C22" s="511"/>
      <c r="D22" s="511"/>
      <c r="E22" s="511"/>
      <c r="F22" s="511"/>
      <c r="G22" s="511"/>
      <c r="H22" s="506"/>
      <c r="I22" s="13">
        <f>I21/12</f>
        <v>0</v>
      </c>
    </row>
    <row r="23" spans="1:10">
      <c r="A23" s="505" t="s">
        <v>686</v>
      </c>
      <c r="B23" s="511"/>
      <c r="C23" s="511"/>
      <c r="D23" s="511"/>
      <c r="E23" s="511"/>
      <c r="F23" s="511"/>
      <c r="G23" s="511"/>
      <c r="H23" s="506"/>
      <c r="I23" s="13">
        <f>BasicInput!$D$27</f>
        <v>1500000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50" t="s">
        <v>687</v>
      </c>
      <c r="B24" s="350"/>
      <c r="C24" s="350"/>
      <c r="D24" s="350"/>
      <c r="E24" s="350"/>
      <c r="F24" s="350"/>
      <c r="G24" s="350"/>
      <c r="H24" s="350"/>
      <c r="I24" s="12">
        <f>'ExistingLoans&amp;Facilities&amp;RTR'!$N$103</f>
        <v>0</v>
      </c>
    </row>
    <row r="25" spans="1:10">
      <c r="A25" s="350" t="s">
        <v>688</v>
      </c>
      <c r="B25" s="350"/>
      <c r="C25" s="350"/>
      <c r="D25" s="350"/>
      <c r="E25" s="350"/>
      <c r="F25" s="350"/>
      <c r="G25" s="350"/>
      <c r="H25" s="350"/>
      <c r="I25" s="12">
        <f>BasicInput!$G$28</f>
        <v>14976</v>
      </c>
    </row>
    <row r="26" spans="1:10">
      <c r="A26" s="350" t="s">
        <v>838</v>
      </c>
      <c r="B26" s="350"/>
      <c r="C26" s="350"/>
      <c r="D26" s="350"/>
      <c r="E26" s="350"/>
      <c r="F26" s="350"/>
      <c r="G26" s="350"/>
      <c r="H26" s="350"/>
      <c r="I26" s="12">
        <f>SUMIF(BasicInput!$B$22:$B$26,Validation!$A$37,BasicInput!$G$22:$G$26)</f>
        <v>0</v>
      </c>
    </row>
    <row r="27" spans="1:10">
      <c r="A27" s="350" t="s">
        <v>689</v>
      </c>
      <c r="B27" s="350"/>
      <c r="C27" s="350"/>
      <c r="D27" s="350"/>
      <c r="E27" s="350"/>
      <c r="F27" s="350"/>
      <c r="G27" s="350"/>
      <c r="H27" s="350"/>
      <c r="I27" s="12">
        <f>SUMIF(BasicInput!$B$22:$B$26,Validation!$A$38,BasicInput!$G$22:$G$26)</f>
        <v>0</v>
      </c>
    </row>
    <row r="28" spans="1:10">
      <c r="A28" s="505" t="s">
        <v>690</v>
      </c>
      <c r="B28" s="511"/>
      <c r="C28" s="511"/>
      <c r="D28" s="511"/>
      <c r="E28" s="511"/>
      <c r="F28" s="511"/>
      <c r="G28" s="511"/>
      <c r="H28" s="506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>FOIR Deviation Approval required</v>
      </c>
    </row>
    <row r="29" spans="1:10">
      <c r="A29" s="505" t="s">
        <v>691</v>
      </c>
      <c r="B29" s="511"/>
      <c r="C29" s="511"/>
      <c r="D29" s="511"/>
      <c r="E29" s="511"/>
      <c r="F29" s="511"/>
      <c r="G29" s="511"/>
      <c r="H29" s="506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>FOIR Deviation Approval required</v>
      </c>
    </row>
    <row r="30" spans="1:10">
      <c r="A30" s="505" t="s">
        <v>692</v>
      </c>
      <c r="B30" s="511"/>
      <c r="C30" s="511"/>
      <c r="D30" s="511"/>
      <c r="E30" s="511"/>
      <c r="F30" s="511"/>
      <c r="G30" s="511"/>
      <c r="H30" s="506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05" t="s">
        <v>693</v>
      </c>
      <c r="B31" s="511"/>
      <c r="C31" s="511"/>
      <c r="D31" s="511"/>
      <c r="E31" s="511"/>
      <c r="F31" s="511"/>
      <c r="G31" s="511"/>
      <c r="H31" s="506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05" t="s">
        <v>694</v>
      </c>
      <c r="B32" s="511"/>
      <c r="C32" s="511"/>
      <c r="D32" s="511"/>
      <c r="E32" s="511"/>
      <c r="F32" s="511"/>
      <c r="G32" s="511"/>
      <c r="H32" s="506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05" t="s">
        <v>695</v>
      </c>
      <c r="B33" s="511"/>
      <c r="C33" s="511"/>
      <c r="D33" s="511"/>
      <c r="E33" s="511"/>
      <c r="F33" s="511"/>
      <c r="G33" s="511"/>
      <c r="H33" s="506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05" t="s">
        <v>696</v>
      </c>
      <c r="B34" s="511"/>
      <c r="C34" s="511"/>
      <c r="D34" s="511"/>
      <c r="E34" s="511"/>
      <c r="F34" s="511"/>
      <c r="G34" s="511"/>
      <c r="H34" s="506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05" t="s">
        <v>697</v>
      </c>
      <c r="B35" s="511"/>
      <c r="C35" s="511"/>
      <c r="D35" s="511"/>
      <c r="E35" s="511"/>
      <c r="F35" s="511"/>
      <c r="G35" s="511"/>
      <c r="H35" s="506"/>
      <c r="I35" s="13">
        <f>MAX($P$45,0)</f>
        <v>0</v>
      </c>
      <c r="J35" s="15"/>
    </row>
    <row r="36" spans="1:17">
      <c r="A36" s="509" t="s">
        <v>698</v>
      </c>
      <c r="B36" s="540"/>
      <c r="C36" s="540"/>
      <c r="D36" s="540"/>
      <c r="E36" s="540"/>
      <c r="F36" s="540"/>
      <c r="G36" s="540"/>
      <c r="H36" s="510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0.65</v>
      </c>
    </row>
    <row r="38" spans="1:17"/>
    <row r="39" spans="1:17" ht="51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699</v>
      </c>
      <c r="P39" s="10" t="s">
        <v>700</v>
      </c>
    </row>
    <row r="40" spans="1:17" ht="25.5">
      <c r="B40" s="3" t="str">
        <f>IF(BasicInput!$B$34="","",BasicInput!$B$34)</f>
        <v>B-54,KEDAR NAGAR, Shahganj,Agra,KEDAR NAGAR,Agra,Agra,Uttar Pradesh,282010</v>
      </c>
      <c r="C40" s="3" t="str">
        <f>IF(BasicInput!$C$34="","",BasicInput!$C$34)</f>
        <v>Residential House</v>
      </c>
      <c r="D40" s="3" t="str">
        <f>IF(BasicInput!$D$34="","",BasicInput!$D$34)</f>
        <v>SONA NAVANI</v>
      </c>
      <c r="E40" s="3">
        <f>IF(BasicInput!$E$34="","",BasicInput!$E$34)</f>
        <v>360</v>
      </c>
      <c r="F40" s="3" t="str">
        <f>IF(BasicInput!$F$34="","",BasicInput!$F$34)</f>
        <v>Self-occupation</v>
      </c>
      <c r="G40" s="7" t="str">
        <f>IF(BasicInput!$G$34="","",BasicInput!$G$34)</f>
        <v>N</v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1900000</v>
      </c>
      <c r="L40" s="11">
        <f>IF(BasicInput!$L$34="","",BasicInput!$L$34)</f>
        <v>1</v>
      </c>
      <c r="M40" s="11" t="e">
        <f>IF(BasicInput!$M$34="","",BasicInput!$M$34)</f>
        <v>#DIV/0!</v>
      </c>
      <c r="N40" s="12">
        <f>IF(BasicInput!$N$34="",0,BasicInput!$N$34)</f>
        <v>0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0.9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0.9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05" t="s">
        <v>39</v>
      </c>
      <c r="C45" s="511"/>
      <c r="D45" s="511"/>
      <c r="E45" s="511"/>
      <c r="F45" s="511"/>
      <c r="G45" s="511"/>
      <c r="H45" s="13">
        <f>SUM(H40:H44)</f>
        <v>0</v>
      </c>
      <c r="I45" s="505"/>
      <c r="J45" s="511"/>
      <c r="K45" s="511"/>
      <c r="L45" s="511"/>
      <c r="M45" s="506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I45:M45"/>
    <mergeCell ref="A33:H33"/>
    <mergeCell ref="A34:H34"/>
    <mergeCell ref="A35:H35"/>
    <mergeCell ref="A36:H36"/>
    <mergeCell ref="B45:G45"/>
    <mergeCell ref="A28:H28"/>
    <mergeCell ref="A29:H29"/>
    <mergeCell ref="A30:H30"/>
    <mergeCell ref="A31:H31"/>
    <mergeCell ref="A32:H32"/>
    <mergeCell ref="A23:H23"/>
    <mergeCell ref="A24:H24"/>
    <mergeCell ref="A25:H25"/>
    <mergeCell ref="A26:H26"/>
    <mergeCell ref="A27:H27"/>
    <mergeCell ref="A18:H18"/>
    <mergeCell ref="A19:H19"/>
    <mergeCell ref="A20:H20"/>
    <mergeCell ref="A21:H21"/>
    <mergeCell ref="A22:H22"/>
    <mergeCell ref="A1:I1"/>
    <mergeCell ref="A14:H14"/>
    <mergeCell ref="A15:H15"/>
    <mergeCell ref="A16:H16"/>
    <mergeCell ref="A17:H17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69930555555555596" right="0.69930555555555596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01" t="s">
        <v>1741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14" t="str">
        <f>CONCATENATE(Validation!$A$44,"_",BasicInput!$H$28,"_",BasicInput!$F$40)</f>
        <v>Gross Profit_HL_Self-occupation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5</v>
      </c>
      <c r="B3" s="10" t="s">
        <v>671</v>
      </c>
      <c r="C3" s="10" t="s">
        <v>672</v>
      </c>
      <c r="D3" s="10" t="s">
        <v>673</v>
      </c>
      <c r="E3" s="10" t="s">
        <v>1734</v>
      </c>
      <c r="F3" s="10" t="s">
        <v>681</v>
      </c>
      <c r="G3" s="10" t="str">
        <f>CONCATENATE("Gross Profit for ",Prime1!$C$14," (Rs.)")</f>
        <v>Gross Profit for FY 2022-23 (Rs.)</v>
      </c>
      <c r="H3" s="10" t="str">
        <f>CONCATENATE("Gross Profit for ",Prime1!$D$14," (Rs.)")</f>
        <v>Gross Profit for FY 2021-22 (Rs.)</v>
      </c>
      <c r="I3" s="10" t="str">
        <f>CONCATENATE("Int on OD/CC for ",Prime1!$C$14," (Rs.)")</f>
        <v>Int on OD/CC for FY 2022-23 (Rs.)</v>
      </c>
      <c r="J3" s="10" t="str">
        <f>CONCATENATE("Turnover for ",Prime1!$C$14," (Rs.)")</f>
        <v>Turnover for FY 2022-23 (Rs.)</v>
      </c>
      <c r="K3" s="10" t="str">
        <f>CONCATENATE("Turnover for ",Prime1!$D$14," (Rs.)")</f>
        <v>Turnover for FY 2021-22 (Rs.)</v>
      </c>
      <c r="L3" s="10" t="s">
        <v>1736</v>
      </c>
    </row>
    <row r="4" spans="1:13" ht="25.5" customHeight="1">
      <c r="A4" s="3">
        <v>1</v>
      </c>
      <c r="B4" s="3" t="str">
        <f>IF(Prime1!$B$1="","",Prime1!$B$1)</f>
        <v>SONA NAVANI</v>
      </c>
      <c r="C4" s="3" t="str">
        <f>IF(Prime1!$B$5="","",Prime1!$B$5)</f>
        <v>Trading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 xml:space="preserve">NITIN </v>
      </c>
      <c r="C5" s="3" t="str">
        <f>IF(Prime2!$B$5="","",Prime2!$B$5)</f>
        <v>Trading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/>
      </c>
      <c r="D6" s="3" t="str">
        <f>IF(Prime3!$B$6="","",Prime3!$B$6)</f>
        <v/>
      </c>
      <c r="E6" s="7" t="str">
        <f>IF(Prime3!$B$8="","",Prime3!$B$8)</f>
        <v/>
      </c>
      <c r="F6" s="11" t="str">
        <f>IF(Prime3!$B$9="","",Prime3!$B$9)</f>
        <v/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/>
      </c>
      <c r="D7" s="3" t="str">
        <f>IF(Prime4!$B$6="","",Prime4!$B$6)</f>
        <v/>
      </c>
      <c r="E7" s="7" t="str">
        <f>IF(Prime4!$B$8="","",Prime4!$B$8)</f>
        <v/>
      </c>
      <c r="F7" s="11" t="str">
        <f>IF(Prime4!$B$9="","",Prime4!$B$9)</f>
        <v/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05" t="s">
        <v>1740</v>
      </c>
      <c r="B14" s="511"/>
      <c r="C14" s="511"/>
      <c r="D14" s="511"/>
      <c r="E14" s="511"/>
      <c r="F14" s="511"/>
      <c r="G14" s="511"/>
      <c r="H14" s="511"/>
      <c r="I14" s="511"/>
      <c r="J14" s="511"/>
      <c r="K14" s="506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50" t="s">
        <v>64</v>
      </c>
      <c r="B15" s="350"/>
      <c r="C15" s="350"/>
      <c r="D15" s="350"/>
      <c r="E15" s="350"/>
      <c r="F15" s="350"/>
      <c r="G15" s="350"/>
      <c r="H15" s="350"/>
      <c r="I15" s="350"/>
      <c r="J15" s="350"/>
      <c r="K15" s="350"/>
      <c r="L15" s="12">
        <f>BasicInput!$D$49</f>
        <v>0</v>
      </c>
    </row>
    <row r="16" spans="1:13">
      <c r="A16" s="350" t="s">
        <v>65</v>
      </c>
      <c r="B16" s="350"/>
      <c r="C16" s="350"/>
      <c r="D16" s="350"/>
      <c r="E16" s="350"/>
      <c r="F16" s="350"/>
      <c r="G16" s="350"/>
      <c r="H16" s="350"/>
      <c r="I16" s="350"/>
      <c r="J16" s="350"/>
      <c r="K16" s="350"/>
      <c r="L16" s="12">
        <f>BasicInput!$D$50</f>
        <v>0</v>
      </c>
    </row>
    <row r="17" spans="1:13">
      <c r="A17" s="350" t="s">
        <v>66</v>
      </c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12">
        <f>BasicInput!$D$51</f>
        <v>0</v>
      </c>
    </row>
    <row r="18" spans="1:13">
      <c r="A18" s="350" t="s">
        <v>837</v>
      </c>
      <c r="B18" s="350"/>
      <c r="C18" s="350"/>
      <c r="D18" s="350"/>
      <c r="E18" s="350"/>
      <c r="F18" s="350"/>
      <c r="G18" s="350"/>
      <c r="H18" s="350"/>
      <c r="I18" s="350"/>
      <c r="J18" s="350"/>
      <c r="K18" s="350"/>
      <c r="L18" s="12">
        <f>BasicInput!$D$52</f>
        <v>0</v>
      </c>
    </row>
    <row r="19" spans="1:13">
      <c r="A19" s="505" t="s">
        <v>109</v>
      </c>
      <c r="B19" s="511"/>
      <c r="C19" s="511"/>
      <c r="D19" s="511"/>
      <c r="E19" s="511"/>
      <c r="F19" s="511"/>
      <c r="G19" s="511"/>
      <c r="H19" s="511"/>
      <c r="I19" s="511"/>
      <c r="J19" s="511"/>
      <c r="K19" s="506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50" t="s">
        <v>68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12">
        <f>BasicInput!$D$53</f>
        <v>0</v>
      </c>
    </row>
    <row r="21" spans="1:13">
      <c r="A21" s="505" t="s">
        <v>685</v>
      </c>
      <c r="B21" s="511"/>
      <c r="C21" s="511"/>
      <c r="D21" s="511"/>
      <c r="E21" s="511"/>
      <c r="F21" s="511"/>
      <c r="G21" s="511"/>
      <c r="H21" s="511"/>
      <c r="I21" s="511"/>
      <c r="J21" s="511"/>
      <c r="K21" s="506"/>
      <c r="L21" s="13">
        <f>L14+L19+L20</f>
        <v>0</v>
      </c>
    </row>
    <row r="22" spans="1:13">
      <c r="A22" s="505" t="s">
        <v>121</v>
      </c>
      <c r="B22" s="511"/>
      <c r="C22" s="511"/>
      <c r="D22" s="511"/>
      <c r="E22" s="511"/>
      <c r="F22" s="511"/>
      <c r="G22" s="511"/>
      <c r="H22" s="511"/>
      <c r="I22" s="511"/>
      <c r="J22" s="511"/>
      <c r="K22" s="506"/>
      <c r="L22" s="13">
        <f>L21/12</f>
        <v>0</v>
      </c>
    </row>
    <row r="23" spans="1:13">
      <c r="A23" s="505" t="s">
        <v>686</v>
      </c>
      <c r="B23" s="511"/>
      <c r="C23" s="511"/>
      <c r="D23" s="511"/>
      <c r="E23" s="511"/>
      <c r="F23" s="511"/>
      <c r="G23" s="511"/>
      <c r="H23" s="511"/>
      <c r="I23" s="511"/>
      <c r="J23" s="511"/>
      <c r="K23" s="506"/>
      <c r="L23" s="13">
        <f>BasicInput!$D$27</f>
        <v>1500000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50" t="s">
        <v>687</v>
      </c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12">
        <f>'ExistingLoans&amp;Facilities&amp;RTR'!$N$103</f>
        <v>0</v>
      </c>
    </row>
    <row r="25" spans="1:13">
      <c r="A25" s="350" t="s">
        <v>688</v>
      </c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12">
        <f>BasicInput!$G$28</f>
        <v>14976</v>
      </c>
    </row>
    <row r="26" spans="1:13">
      <c r="A26" s="350" t="s">
        <v>838</v>
      </c>
      <c r="B26" s="350"/>
      <c r="C26" s="350"/>
      <c r="D26" s="350"/>
      <c r="E26" s="350"/>
      <c r="F26" s="350"/>
      <c r="G26" s="350"/>
      <c r="H26" s="350"/>
      <c r="I26" s="350"/>
      <c r="J26" s="350"/>
      <c r="K26" s="350"/>
      <c r="L26" s="12">
        <f>SUMIF(BasicInput!$B$22:$B$26,Validation!$A$37,BasicInput!$G$22:$G$26)</f>
        <v>0</v>
      </c>
    </row>
    <row r="27" spans="1:13">
      <c r="A27" s="350" t="s">
        <v>689</v>
      </c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12">
        <f>SUMIF(BasicInput!$B$22:$B$26,Validation!$A$38,BasicInput!$G$22:$G$26)</f>
        <v>0</v>
      </c>
    </row>
    <row r="28" spans="1:13">
      <c r="A28" s="505" t="s">
        <v>690</v>
      </c>
      <c r="B28" s="511"/>
      <c r="C28" s="511"/>
      <c r="D28" s="511"/>
      <c r="E28" s="511"/>
      <c r="F28" s="511"/>
      <c r="G28" s="511"/>
      <c r="H28" s="511"/>
      <c r="I28" s="511"/>
      <c r="J28" s="511"/>
      <c r="K28" s="506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>FOIR Deviation Approval required</v>
      </c>
    </row>
    <row r="29" spans="1:13">
      <c r="A29" s="505" t="s">
        <v>691</v>
      </c>
      <c r="B29" s="511"/>
      <c r="C29" s="511"/>
      <c r="D29" s="511"/>
      <c r="E29" s="511"/>
      <c r="F29" s="511"/>
      <c r="G29" s="511"/>
      <c r="H29" s="511"/>
      <c r="I29" s="511"/>
      <c r="J29" s="511"/>
      <c r="K29" s="506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>FOIR Deviation Approval required</v>
      </c>
    </row>
    <row r="30" spans="1:13">
      <c r="A30" s="505" t="s">
        <v>692</v>
      </c>
      <c r="B30" s="511"/>
      <c r="C30" s="511"/>
      <c r="D30" s="511"/>
      <c r="E30" s="511"/>
      <c r="F30" s="511"/>
      <c r="G30" s="511"/>
      <c r="H30" s="511"/>
      <c r="I30" s="511"/>
      <c r="J30" s="511"/>
      <c r="K30" s="506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05" t="s">
        <v>693</v>
      </c>
      <c r="B31" s="511"/>
      <c r="C31" s="511"/>
      <c r="D31" s="511"/>
      <c r="E31" s="511"/>
      <c r="F31" s="511"/>
      <c r="G31" s="511"/>
      <c r="H31" s="511"/>
      <c r="I31" s="511"/>
      <c r="J31" s="511"/>
      <c r="K31" s="506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05" t="s">
        <v>694</v>
      </c>
      <c r="B32" s="511"/>
      <c r="C32" s="511"/>
      <c r="D32" s="511"/>
      <c r="E32" s="511"/>
      <c r="F32" s="511"/>
      <c r="G32" s="511"/>
      <c r="H32" s="511"/>
      <c r="I32" s="511"/>
      <c r="J32" s="511"/>
      <c r="K32" s="506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05" t="s">
        <v>695</v>
      </c>
      <c r="B33" s="511"/>
      <c r="C33" s="511"/>
      <c r="D33" s="511"/>
      <c r="E33" s="511"/>
      <c r="F33" s="511"/>
      <c r="G33" s="511"/>
      <c r="H33" s="511"/>
      <c r="I33" s="511"/>
      <c r="J33" s="511"/>
      <c r="K33" s="506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05" t="s">
        <v>696</v>
      </c>
      <c r="B34" s="511"/>
      <c r="C34" s="511"/>
      <c r="D34" s="511"/>
      <c r="E34" s="511"/>
      <c r="F34" s="511"/>
      <c r="G34" s="511"/>
      <c r="H34" s="511"/>
      <c r="I34" s="511"/>
      <c r="J34" s="511"/>
      <c r="K34" s="506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05" t="s">
        <v>697</v>
      </c>
      <c r="B35" s="511"/>
      <c r="C35" s="511"/>
      <c r="D35" s="511"/>
      <c r="E35" s="511"/>
      <c r="F35" s="511"/>
      <c r="G35" s="511"/>
      <c r="H35" s="511"/>
      <c r="I35" s="511"/>
      <c r="J35" s="511"/>
      <c r="K35" s="506"/>
      <c r="L35" s="13">
        <f>MAX($P$45,0)</f>
        <v>0</v>
      </c>
      <c r="M35" s="15"/>
    </row>
    <row r="36" spans="1:17">
      <c r="A36" s="509" t="s">
        <v>698</v>
      </c>
      <c r="B36" s="540"/>
      <c r="C36" s="540"/>
      <c r="D36" s="540"/>
      <c r="E36" s="540"/>
      <c r="F36" s="540"/>
      <c r="G36" s="540"/>
      <c r="H36" s="540"/>
      <c r="I36" s="540"/>
      <c r="J36" s="540"/>
      <c r="K36" s="510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0.6</v>
      </c>
    </row>
    <row r="38" spans="1:17"/>
    <row r="39" spans="1:17" ht="76.5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699</v>
      </c>
      <c r="P39" s="10" t="s">
        <v>700</v>
      </c>
    </row>
    <row r="40" spans="1:17" ht="25.5">
      <c r="B40" s="3" t="str">
        <f>IF(BasicInput!$B$34="","",BasicInput!$B$34)</f>
        <v>B-54,KEDAR NAGAR, Shahganj,Agra,KEDAR NAGAR,Agra,Agra,Uttar Pradesh,282010</v>
      </c>
      <c r="C40" s="3" t="str">
        <f>IF(BasicInput!$C$34="","",BasicInput!$C$34)</f>
        <v>Residential House</v>
      </c>
      <c r="D40" s="3" t="str">
        <f>IF(BasicInput!$D$34="","",BasicInput!$D$34)</f>
        <v>SONA NAVANI</v>
      </c>
      <c r="E40" s="3">
        <f>IF(BasicInput!$E$34="","",BasicInput!$E$34)</f>
        <v>360</v>
      </c>
      <c r="F40" s="3" t="str">
        <f>IF(BasicInput!$F$34="","",BasicInput!$F$34)</f>
        <v>Self-occupation</v>
      </c>
      <c r="G40" s="7" t="str">
        <f>IF(BasicInput!$G$34="","",BasicInput!$G$34)</f>
        <v>N</v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1900000</v>
      </c>
      <c r="L40" s="11">
        <f>IF(BasicInput!$L$34="","",BasicInput!$L$34)</f>
        <v>1</v>
      </c>
      <c r="M40" s="11" t="e">
        <f>IF(BasicInput!$M$34="","",BasicInput!$M$34)</f>
        <v>#DIV/0!</v>
      </c>
      <c r="N40" s="12">
        <f>IF(BasicInput!$N$34="",0,BasicInput!$N$34)</f>
        <v>0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0.9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0.9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05" t="s">
        <v>39</v>
      </c>
      <c r="C45" s="511"/>
      <c r="D45" s="511"/>
      <c r="E45" s="511"/>
      <c r="F45" s="511"/>
      <c r="G45" s="511"/>
      <c r="H45" s="13">
        <f>SUM(H40:H44)</f>
        <v>0</v>
      </c>
      <c r="I45" s="505"/>
      <c r="J45" s="511"/>
      <c r="K45" s="511"/>
      <c r="L45" s="511"/>
      <c r="M45" s="506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33:K33"/>
    <mergeCell ref="A34:K34"/>
    <mergeCell ref="A35:K35"/>
    <mergeCell ref="A36:K36"/>
    <mergeCell ref="B45:G45"/>
    <mergeCell ref="I45:M45"/>
    <mergeCell ref="A28:K28"/>
    <mergeCell ref="A29:K29"/>
    <mergeCell ref="A30:K30"/>
    <mergeCell ref="A31:K31"/>
    <mergeCell ref="A32:K32"/>
    <mergeCell ref="A23:K23"/>
    <mergeCell ref="A24:K24"/>
    <mergeCell ref="A25:K25"/>
    <mergeCell ref="A26:K26"/>
    <mergeCell ref="A27:K27"/>
    <mergeCell ref="A18:K18"/>
    <mergeCell ref="A19:K19"/>
    <mergeCell ref="A20:K20"/>
    <mergeCell ref="A21:K21"/>
    <mergeCell ref="A22:K22"/>
    <mergeCell ref="A1:L1"/>
    <mergeCell ref="A14:K14"/>
    <mergeCell ref="A15:K15"/>
    <mergeCell ref="A16:K16"/>
    <mergeCell ref="A17:K17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69930555555555596" right="0.69930555555555596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1742</v>
      </c>
      <c r="C1" s="2" t="s">
        <v>1743</v>
      </c>
      <c r="D1" s="2" t="s">
        <v>1744</v>
      </c>
      <c r="F1" s="2" t="s">
        <v>1017</v>
      </c>
      <c r="G1" s="2" t="s">
        <v>1744</v>
      </c>
      <c r="I1" s="2" t="s">
        <v>822</v>
      </c>
      <c r="J1" s="2" t="s">
        <v>1744</v>
      </c>
      <c r="L1" s="5" t="s">
        <v>1745</v>
      </c>
      <c r="M1" s="5" t="s">
        <v>1746</v>
      </c>
      <c r="N1" s="5" t="s">
        <v>1747</v>
      </c>
      <c r="O1" s="5" t="s">
        <v>1748</v>
      </c>
      <c r="P1" s="5" t="s">
        <v>1749</v>
      </c>
      <c r="Q1" s="5" t="s">
        <v>1750</v>
      </c>
      <c r="R1" s="5" t="s">
        <v>1751</v>
      </c>
      <c r="S1" s="5" t="s">
        <v>1752</v>
      </c>
      <c r="T1" s="5" t="s">
        <v>1753</v>
      </c>
      <c r="U1" s="5" t="s">
        <v>1754</v>
      </c>
      <c r="V1" s="5" t="s">
        <v>1755</v>
      </c>
      <c r="W1" s="5" t="s">
        <v>1756</v>
      </c>
      <c r="X1" s="5" t="s">
        <v>1757</v>
      </c>
      <c r="Y1" s="5" t="s">
        <v>1758</v>
      </c>
      <c r="Z1" s="5" t="s">
        <v>1759</v>
      </c>
      <c r="AA1" s="5" t="s">
        <v>1760</v>
      </c>
    </row>
    <row r="2" spans="1:27" ht="25.5">
      <c r="A2" s="3" t="s">
        <v>1743</v>
      </c>
      <c r="C2" s="3" t="s">
        <v>1761</v>
      </c>
      <c r="D2" s="4">
        <v>6.64</v>
      </c>
      <c r="F2" s="3" t="s">
        <v>1761</v>
      </c>
      <c r="G2" s="4">
        <v>3.95</v>
      </c>
      <c r="I2" s="3" t="s">
        <v>1762</v>
      </c>
      <c r="J2" s="4">
        <v>10.73</v>
      </c>
      <c r="L2" s="1" t="s">
        <v>1763</v>
      </c>
      <c r="M2" s="1" t="s">
        <v>1764</v>
      </c>
      <c r="N2" s="1" t="s">
        <v>56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1017</v>
      </c>
      <c r="C3" s="3" t="s">
        <v>1765</v>
      </c>
      <c r="D3" s="4">
        <v>5.8</v>
      </c>
      <c r="F3" s="3" t="s">
        <v>1765</v>
      </c>
      <c r="G3" s="4">
        <v>3.95</v>
      </c>
      <c r="I3" s="3" t="s">
        <v>1766</v>
      </c>
      <c r="J3" s="4">
        <v>12.9</v>
      </c>
      <c r="L3" s="1" t="s">
        <v>1763</v>
      </c>
      <c r="M3" s="1" t="s">
        <v>1767</v>
      </c>
      <c r="N3" s="1" t="s">
        <v>56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822</v>
      </c>
      <c r="C4" s="3" t="s">
        <v>1768</v>
      </c>
      <c r="D4" s="4">
        <v>3.57</v>
      </c>
      <c r="F4" s="3" t="s">
        <v>1768</v>
      </c>
      <c r="G4" s="4">
        <v>3.57</v>
      </c>
      <c r="I4" s="3" t="s">
        <v>1769</v>
      </c>
      <c r="J4" s="4">
        <v>9.65</v>
      </c>
      <c r="L4" s="1" t="s">
        <v>1763</v>
      </c>
      <c r="M4" s="1" t="s">
        <v>1770</v>
      </c>
      <c r="N4" s="1" t="s">
        <v>56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1771</v>
      </c>
      <c r="D5" s="4">
        <v>9.69</v>
      </c>
      <c r="F5" s="3" t="s">
        <v>1771</v>
      </c>
      <c r="G5" s="4">
        <v>3.95</v>
      </c>
      <c r="I5" s="3" t="s">
        <v>1772</v>
      </c>
      <c r="J5" s="4">
        <v>6.94</v>
      </c>
      <c r="L5" s="1" t="s">
        <v>1763</v>
      </c>
      <c r="M5" s="1" t="s">
        <v>1773</v>
      </c>
      <c r="N5" s="1" t="s">
        <v>56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1774</v>
      </c>
      <c r="C6" s="3" t="s">
        <v>1775</v>
      </c>
      <c r="D6" s="4">
        <v>6.64</v>
      </c>
      <c r="F6" s="3" t="s">
        <v>1775</v>
      </c>
      <c r="G6" s="4">
        <v>3.95</v>
      </c>
      <c r="I6" s="3" t="s">
        <v>1776</v>
      </c>
      <c r="J6" s="4">
        <v>10.18</v>
      </c>
      <c r="L6" s="1" t="s">
        <v>1763</v>
      </c>
      <c r="M6" s="1" t="s">
        <v>1764</v>
      </c>
      <c r="N6" s="1" t="s">
        <v>1777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17</v>
      </c>
      <c r="C7" s="3" t="s">
        <v>1778</v>
      </c>
      <c r="D7" s="4">
        <v>9.42</v>
      </c>
      <c r="F7" s="3" t="s">
        <v>1778</v>
      </c>
      <c r="G7" s="4">
        <v>3.95</v>
      </c>
      <c r="I7" s="3" t="s">
        <v>1779</v>
      </c>
      <c r="J7" s="4">
        <v>13.01</v>
      </c>
      <c r="L7" s="1" t="s">
        <v>1763</v>
      </c>
      <c r="M7" s="1" t="s">
        <v>1767</v>
      </c>
      <c r="N7" s="1" t="s">
        <v>1777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1780</v>
      </c>
      <c r="C8" s="3" t="s">
        <v>1781</v>
      </c>
      <c r="D8" s="4">
        <v>15.98</v>
      </c>
      <c r="F8" s="3" t="s">
        <v>1781</v>
      </c>
      <c r="G8" s="4">
        <v>3.95</v>
      </c>
      <c r="I8" s="3" t="s">
        <v>1782</v>
      </c>
      <c r="J8" s="4">
        <v>9.4499999999999993</v>
      </c>
      <c r="L8" s="1" t="s">
        <v>1763</v>
      </c>
      <c r="M8" s="1" t="s">
        <v>1770</v>
      </c>
      <c r="N8" s="1" t="s">
        <v>1777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1783</v>
      </c>
      <c r="C9" s="3" t="s">
        <v>1784</v>
      </c>
      <c r="D9" s="4">
        <v>6.64</v>
      </c>
      <c r="F9" s="3" t="s">
        <v>1784</v>
      </c>
      <c r="G9" s="4">
        <v>3.95</v>
      </c>
      <c r="I9" s="3" t="s">
        <v>1785</v>
      </c>
      <c r="J9" s="4">
        <v>6.94</v>
      </c>
      <c r="L9" s="1" t="s">
        <v>1763</v>
      </c>
      <c r="M9" s="1" t="s">
        <v>1773</v>
      </c>
      <c r="N9" s="1" t="s">
        <v>1777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1786</v>
      </c>
      <c r="C10" s="3" t="s">
        <v>1787</v>
      </c>
      <c r="D10" s="4">
        <v>8.61</v>
      </c>
      <c r="F10" s="3" t="s">
        <v>1787</v>
      </c>
      <c r="G10" s="4">
        <v>3.95</v>
      </c>
      <c r="I10" s="3" t="s">
        <v>1788</v>
      </c>
      <c r="J10" s="4">
        <v>18.14</v>
      </c>
      <c r="L10" s="1" t="s">
        <v>1763</v>
      </c>
      <c r="M10" s="1" t="s">
        <v>1764</v>
      </c>
      <c r="N10" s="1" t="s">
        <v>1789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1790</v>
      </c>
      <c r="C11" s="3" t="s">
        <v>1791</v>
      </c>
      <c r="D11" s="4">
        <v>9.69</v>
      </c>
      <c r="F11" s="3" t="s">
        <v>1791</v>
      </c>
      <c r="G11" s="4">
        <v>3.95</v>
      </c>
      <c r="I11" s="3" t="s">
        <v>1792</v>
      </c>
      <c r="J11" s="4">
        <v>10.38</v>
      </c>
      <c r="L11" s="1" t="s">
        <v>1763</v>
      </c>
      <c r="M11" s="1" t="s">
        <v>1767</v>
      </c>
      <c r="N11" s="1" t="s">
        <v>1789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1793</v>
      </c>
      <c r="C12" s="3" t="s">
        <v>1794</v>
      </c>
      <c r="D12" s="4">
        <v>12.26</v>
      </c>
      <c r="F12" s="3" t="s">
        <v>1794</v>
      </c>
      <c r="G12" s="4">
        <v>3.95</v>
      </c>
      <c r="I12" s="3" t="s">
        <v>1795</v>
      </c>
      <c r="J12" s="4">
        <v>5.4</v>
      </c>
      <c r="L12" s="1" t="s">
        <v>1763</v>
      </c>
      <c r="M12" s="1" t="s">
        <v>1770</v>
      </c>
      <c r="N12" s="1" t="s">
        <v>1789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1796</v>
      </c>
      <c r="C13" s="3" t="s">
        <v>1797</v>
      </c>
      <c r="D13" s="4">
        <v>6.09</v>
      </c>
      <c r="F13" s="3" t="s">
        <v>1797</v>
      </c>
      <c r="G13" s="4">
        <v>3.95</v>
      </c>
      <c r="I13" s="3" t="s">
        <v>1798</v>
      </c>
      <c r="J13" s="4">
        <v>18.5</v>
      </c>
      <c r="L13" s="1" t="s">
        <v>1763</v>
      </c>
      <c r="M13" s="1" t="s">
        <v>1773</v>
      </c>
      <c r="N13" s="1" t="s">
        <v>1789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1799</v>
      </c>
      <c r="C14" s="3" t="s">
        <v>1800</v>
      </c>
      <c r="D14" s="4">
        <v>6.64</v>
      </c>
      <c r="F14" s="3" t="s">
        <v>1800</v>
      </c>
      <c r="G14" s="4">
        <v>3.95</v>
      </c>
      <c r="I14" s="3" t="s">
        <v>1801</v>
      </c>
      <c r="J14" s="4">
        <v>18.5</v>
      </c>
      <c r="L14" s="1" t="s">
        <v>1763</v>
      </c>
      <c r="M14" s="1" t="s">
        <v>1802</v>
      </c>
      <c r="N14" s="1" t="s">
        <v>56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1803</v>
      </c>
      <c r="C15" s="3" t="s">
        <v>1804</v>
      </c>
      <c r="D15" s="4">
        <v>7.43</v>
      </c>
      <c r="F15" s="3" t="s">
        <v>1804</v>
      </c>
      <c r="G15" s="4">
        <v>7.43</v>
      </c>
      <c r="I15" s="3" t="s">
        <v>1805</v>
      </c>
      <c r="J15" s="4">
        <v>13.41</v>
      </c>
      <c r="L15" s="1" t="s">
        <v>1763</v>
      </c>
      <c r="M15" s="1" t="s">
        <v>1806</v>
      </c>
      <c r="N15" s="1" t="s">
        <v>56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1807</v>
      </c>
      <c r="C16" s="3" t="s">
        <v>1808</v>
      </c>
      <c r="D16" s="4">
        <v>10.17</v>
      </c>
      <c r="F16" s="3" t="s">
        <v>1809</v>
      </c>
      <c r="G16" s="4">
        <v>5.43</v>
      </c>
      <c r="I16" s="3" t="s">
        <v>1810</v>
      </c>
      <c r="J16" s="4">
        <v>12.91</v>
      </c>
      <c r="L16" s="1" t="s">
        <v>1763</v>
      </c>
      <c r="M16" s="1" t="s">
        <v>1811</v>
      </c>
      <c r="N16" s="1" t="s">
        <v>56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1812</v>
      </c>
      <c r="D17" s="4">
        <v>10.17</v>
      </c>
      <c r="F17" s="3" t="s">
        <v>1808</v>
      </c>
      <c r="G17" s="4">
        <v>5.43</v>
      </c>
      <c r="I17" s="3" t="s">
        <v>1813</v>
      </c>
      <c r="J17" s="4">
        <v>12.47</v>
      </c>
      <c r="L17" s="1" t="s">
        <v>1763</v>
      </c>
      <c r="M17" s="1" t="s">
        <v>1814</v>
      </c>
      <c r="N17" s="1" t="s">
        <v>56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1815</v>
      </c>
      <c r="C18" s="3" t="s">
        <v>1816</v>
      </c>
      <c r="D18" s="4">
        <v>2.7</v>
      </c>
      <c r="F18" s="3" t="s">
        <v>1812</v>
      </c>
      <c r="G18" s="4">
        <v>5.43</v>
      </c>
      <c r="I18" s="3" t="s">
        <v>1817</v>
      </c>
      <c r="J18" s="4">
        <v>12.9</v>
      </c>
      <c r="L18" s="1" t="s">
        <v>1763</v>
      </c>
      <c r="M18" s="1" t="s">
        <v>1802</v>
      </c>
      <c r="N18" s="1" t="s">
        <v>1777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32</v>
      </c>
      <c r="B19" s="1">
        <v>240</v>
      </c>
      <c r="C19" s="3" t="s">
        <v>1818</v>
      </c>
      <c r="D19" s="4">
        <v>8.5</v>
      </c>
      <c r="F19" s="3" t="s">
        <v>1816</v>
      </c>
      <c r="G19" s="4">
        <v>5.43</v>
      </c>
      <c r="I19" s="3" t="s">
        <v>1819</v>
      </c>
      <c r="J19" s="4">
        <v>9.06</v>
      </c>
      <c r="L19" s="1" t="s">
        <v>1763</v>
      </c>
      <c r="M19" s="1" t="s">
        <v>1806</v>
      </c>
      <c r="N19" s="1" t="s">
        <v>1777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1820</v>
      </c>
      <c r="B20" s="1">
        <v>240</v>
      </c>
      <c r="C20" s="3" t="s">
        <v>1821</v>
      </c>
      <c r="D20" s="4">
        <v>10.99</v>
      </c>
      <c r="F20" s="3" t="s">
        <v>1818</v>
      </c>
      <c r="G20" s="4">
        <v>5.43</v>
      </c>
      <c r="I20" s="3" t="s">
        <v>1822</v>
      </c>
      <c r="J20" s="4">
        <v>11.95</v>
      </c>
      <c r="L20" s="1" t="s">
        <v>1763</v>
      </c>
      <c r="M20" s="1" t="s">
        <v>1811</v>
      </c>
      <c r="N20" s="1" t="s">
        <v>1777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1823</v>
      </c>
      <c r="B21" s="1">
        <v>120</v>
      </c>
      <c r="C21" s="3" t="s">
        <v>1824</v>
      </c>
      <c r="D21" s="4">
        <v>9.48</v>
      </c>
      <c r="F21" s="3" t="s">
        <v>1825</v>
      </c>
      <c r="G21" s="4">
        <v>5.04</v>
      </c>
      <c r="I21" s="3" t="s">
        <v>1826</v>
      </c>
      <c r="J21" s="4">
        <v>11.95</v>
      </c>
      <c r="L21" s="1" t="s">
        <v>1763</v>
      </c>
      <c r="M21" s="1" t="s">
        <v>1814</v>
      </c>
      <c r="N21" s="1" t="s">
        <v>1777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1827</v>
      </c>
      <c r="B22" s="1">
        <v>240</v>
      </c>
      <c r="C22" s="3" t="s">
        <v>1828</v>
      </c>
      <c r="D22" s="4">
        <v>9.48</v>
      </c>
      <c r="F22" s="3" t="s">
        <v>1821</v>
      </c>
      <c r="G22" s="4">
        <v>5.04</v>
      </c>
      <c r="I22" s="3" t="s">
        <v>1829</v>
      </c>
      <c r="J22" s="4">
        <v>12.45</v>
      </c>
      <c r="L22" s="1" t="s">
        <v>1763</v>
      </c>
      <c r="M22" s="1" t="s">
        <v>1802</v>
      </c>
      <c r="N22" s="1" t="s">
        <v>1789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1830</v>
      </c>
      <c r="B23" s="1">
        <v>120</v>
      </c>
      <c r="C23" s="3" t="s">
        <v>1831</v>
      </c>
      <c r="D23" s="4">
        <v>8.11</v>
      </c>
      <c r="F23" s="3" t="s">
        <v>1824</v>
      </c>
      <c r="G23" s="4">
        <v>5.31</v>
      </c>
      <c r="I23" s="3" t="s">
        <v>1832</v>
      </c>
      <c r="J23" s="4">
        <v>15.8</v>
      </c>
      <c r="L23" s="1" t="s">
        <v>1763</v>
      </c>
      <c r="M23" s="1" t="s">
        <v>1806</v>
      </c>
      <c r="N23" s="1" t="s">
        <v>1789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1833</v>
      </c>
      <c r="B24" s="1">
        <v>240</v>
      </c>
      <c r="C24" s="3" t="s">
        <v>1834</v>
      </c>
      <c r="D24" s="4">
        <v>8.81</v>
      </c>
      <c r="F24" s="3" t="s">
        <v>1835</v>
      </c>
      <c r="G24" s="4">
        <v>5.31</v>
      </c>
      <c r="I24" s="3" t="s">
        <v>1836</v>
      </c>
      <c r="J24" s="4">
        <v>11</v>
      </c>
      <c r="L24" s="1" t="s">
        <v>1763</v>
      </c>
      <c r="M24" s="1" t="s">
        <v>1811</v>
      </c>
      <c r="N24" s="1" t="s">
        <v>1789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1837</v>
      </c>
      <c r="B25" s="1">
        <v>240</v>
      </c>
      <c r="C25" s="3" t="s">
        <v>1838</v>
      </c>
      <c r="D25" s="4">
        <v>9.48</v>
      </c>
      <c r="F25" s="3" t="s">
        <v>1828</v>
      </c>
      <c r="G25" s="4">
        <v>5.31</v>
      </c>
      <c r="I25" s="3" t="s">
        <v>823</v>
      </c>
      <c r="J25" s="4">
        <v>6.5</v>
      </c>
      <c r="L25" s="1" t="s">
        <v>1763</v>
      </c>
      <c r="M25" s="1" t="s">
        <v>1814</v>
      </c>
      <c r="N25" s="1" t="s">
        <v>1789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1839</v>
      </c>
      <c r="B26" s="1">
        <v>240</v>
      </c>
      <c r="C26" s="3" t="s">
        <v>1840</v>
      </c>
      <c r="D26" s="4">
        <v>7.45</v>
      </c>
      <c r="F26" s="3" t="s">
        <v>1831</v>
      </c>
      <c r="G26" s="4">
        <v>5.31</v>
      </c>
      <c r="I26" s="3" t="s">
        <v>1841</v>
      </c>
      <c r="J26" s="4">
        <v>12.36</v>
      </c>
      <c r="L26" s="1" t="s">
        <v>1763</v>
      </c>
      <c r="M26" s="1" t="s">
        <v>1842</v>
      </c>
      <c r="N26" s="1" t="s">
        <v>56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1843</v>
      </c>
      <c r="B27" s="1">
        <v>240</v>
      </c>
      <c r="C27" s="3" t="s">
        <v>1844</v>
      </c>
      <c r="D27" s="4">
        <v>7.15</v>
      </c>
      <c r="F27" s="3" t="s">
        <v>1834</v>
      </c>
      <c r="G27" s="4">
        <v>5.31</v>
      </c>
      <c r="I27" s="3" t="s">
        <v>1845</v>
      </c>
      <c r="J27" s="7">
        <v>8.0399999999999991</v>
      </c>
      <c r="L27" s="1" t="s">
        <v>1763</v>
      </c>
      <c r="M27" s="1" t="s">
        <v>1846</v>
      </c>
      <c r="N27" s="1" t="s">
        <v>56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1847</v>
      </c>
      <c r="B28" s="1">
        <v>240</v>
      </c>
      <c r="C28" s="3" t="s">
        <v>1848</v>
      </c>
      <c r="D28" s="4">
        <v>6.29</v>
      </c>
      <c r="F28" s="3" t="s">
        <v>1838</v>
      </c>
      <c r="G28" s="4">
        <v>5.31</v>
      </c>
      <c r="I28" s="3" t="s">
        <v>1849</v>
      </c>
      <c r="J28" s="4">
        <v>8.75</v>
      </c>
      <c r="L28" s="1" t="s">
        <v>1763</v>
      </c>
      <c r="M28" s="1" t="s">
        <v>1850</v>
      </c>
      <c r="N28" s="1" t="s">
        <v>56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1851</v>
      </c>
      <c r="B29" s="1">
        <v>120</v>
      </c>
      <c r="C29" s="3" t="s">
        <v>1852</v>
      </c>
      <c r="D29" s="4">
        <v>10.11</v>
      </c>
      <c r="F29" s="3" t="s">
        <v>1840</v>
      </c>
      <c r="G29" s="4">
        <v>5.31</v>
      </c>
      <c r="I29" s="3" t="s">
        <v>1853</v>
      </c>
      <c r="J29" s="4">
        <v>4.66</v>
      </c>
      <c r="L29" s="1" t="s">
        <v>1763</v>
      </c>
      <c r="M29" s="1" t="s">
        <v>1854</v>
      </c>
      <c r="N29" s="1" t="s">
        <v>56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1855</v>
      </c>
      <c r="B30" s="1">
        <v>120</v>
      </c>
      <c r="C30" s="3" t="s">
        <v>1856</v>
      </c>
      <c r="D30" s="4">
        <v>7.98</v>
      </c>
      <c r="F30" s="3" t="s">
        <v>1844</v>
      </c>
      <c r="G30" s="4">
        <v>5.31</v>
      </c>
      <c r="I30" s="3" t="s">
        <v>1857</v>
      </c>
      <c r="J30" s="4">
        <v>15.78</v>
      </c>
      <c r="L30" s="1" t="s">
        <v>1763</v>
      </c>
      <c r="M30" s="1" t="s">
        <v>1842</v>
      </c>
      <c r="N30" s="1" t="s">
        <v>1777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1858</v>
      </c>
      <c r="B31" s="1">
        <v>240</v>
      </c>
      <c r="C31" s="3" t="s">
        <v>1859</v>
      </c>
      <c r="D31" s="4">
        <v>9.64</v>
      </c>
      <c r="F31" s="3" t="s">
        <v>1848</v>
      </c>
      <c r="G31" s="4">
        <v>5.31</v>
      </c>
      <c r="I31" s="3" t="s">
        <v>1860</v>
      </c>
      <c r="J31" s="4">
        <v>9.4600000000000009</v>
      </c>
      <c r="L31" s="1" t="s">
        <v>1763</v>
      </c>
      <c r="M31" s="1" t="s">
        <v>1846</v>
      </c>
      <c r="N31" s="1" t="s">
        <v>1777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1861</v>
      </c>
      <c r="B32" s="1">
        <v>240</v>
      </c>
      <c r="C32" s="3" t="s">
        <v>1862</v>
      </c>
      <c r="D32" s="4">
        <v>9.1300000000000008</v>
      </c>
      <c r="F32" s="3" t="s">
        <v>1852</v>
      </c>
      <c r="G32" s="4">
        <v>5.31</v>
      </c>
      <c r="I32" s="3" t="s">
        <v>1863</v>
      </c>
      <c r="J32" s="4">
        <v>4.7699999999999996</v>
      </c>
      <c r="L32" s="1" t="s">
        <v>1763</v>
      </c>
      <c r="M32" s="1" t="s">
        <v>1850</v>
      </c>
      <c r="N32" s="1" t="s">
        <v>1777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1864</v>
      </c>
      <c r="B33" s="1">
        <v>240</v>
      </c>
      <c r="C33" s="3" t="s">
        <v>1865</v>
      </c>
      <c r="D33" s="4">
        <v>7.98</v>
      </c>
      <c r="F33" s="3" t="s">
        <v>1856</v>
      </c>
      <c r="G33" s="4">
        <v>7.98</v>
      </c>
      <c r="I33" s="3" t="s">
        <v>1866</v>
      </c>
      <c r="J33" s="4">
        <v>11.22</v>
      </c>
      <c r="L33" s="1" t="s">
        <v>1763</v>
      </c>
      <c r="M33" s="1" t="s">
        <v>1854</v>
      </c>
      <c r="N33" s="1" t="s">
        <v>1777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1867</v>
      </c>
      <c r="B34" s="1">
        <v>180</v>
      </c>
      <c r="C34" s="3" t="s">
        <v>1782</v>
      </c>
      <c r="D34" s="4">
        <v>9.4499999999999993</v>
      </c>
      <c r="F34" s="3" t="s">
        <v>1859</v>
      </c>
      <c r="G34" s="4">
        <v>5.04</v>
      </c>
      <c r="I34" s="3" t="s">
        <v>1868</v>
      </c>
      <c r="J34" s="4">
        <v>10.36</v>
      </c>
      <c r="L34" s="1" t="s">
        <v>1763</v>
      </c>
      <c r="M34" s="1" t="s">
        <v>1842</v>
      </c>
      <c r="N34" s="1" t="s">
        <v>1789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1869</v>
      </c>
      <c r="B35" s="1">
        <v>180</v>
      </c>
      <c r="C35" s="3" t="s">
        <v>1785</v>
      </c>
      <c r="D35" s="4">
        <v>6.94</v>
      </c>
      <c r="F35" s="3" t="s">
        <v>1862</v>
      </c>
      <c r="G35" s="4">
        <v>9.1300000000000008</v>
      </c>
      <c r="I35" s="3" t="s">
        <v>1870</v>
      </c>
      <c r="J35" s="4">
        <v>1.95</v>
      </c>
      <c r="L35" s="1" t="s">
        <v>1763</v>
      </c>
      <c r="M35" s="1" t="s">
        <v>1846</v>
      </c>
      <c r="N35" s="1" t="s">
        <v>1789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1871</v>
      </c>
      <c r="B36" s="1">
        <v>120</v>
      </c>
      <c r="C36" s="3" t="s">
        <v>1872</v>
      </c>
      <c r="D36" s="4">
        <v>8.58</v>
      </c>
      <c r="F36" s="3" t="s">
        <v>1865</v>
      </c>
      <c r="G36" s="4">
        <v>7.98</v>
      </c>
      <c r="I36" s="3" t="s">
        <v>1873</v>
      </c>
      <c r="J36" s="4">
        <v>15.93</v>
      </c>
      <c r="L36" s="1" t="s">
        <v>1763</v>
      </c>
      <c r="M36" s="1" t="s">
        <v>1850</v>
      </c>
      <c r="N36" s="1" t="s">
        <v>1789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1874</v>
      </c>
      <c r="B37" s="1">
        <v>120</v>
      </c>
      <c r="C37" s="3" t="s">
        <v>1875</v>
      </c>
      <c r="D37" s="4">
        <v>7.6</v>
      </c>
      <c r="F37" s="3" t="s">
        <v>1782</v>
      </c>
      <c r="G37" s="4">
        <v>9.4499999999999993</v>
      </c>
      <c r="I37" s="3" t="s">
        <v>1876</v>
      </c>
      <c r="J37" s="4">
        <v>6.5</v>
      </c>
      <c r="L37" s="1" t="s">
        <v>1763</v>
      </c>
      <c r="M37" s="1" t="s">
        <v>1854</v>
      </c>
      <c r="N37" s="1" t="s">
        <v>1789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1877</v>
      </c>
      <c r="B38" s="1">
        <v>240</v>
      </c>
      <c r="C38" s="3" t="s">
        <v>1878</v>
      </c>
      <c r="D38" s="4">
        <v>7.17</v>
      </c>
      <c r="F38" s="3" t="s">
        <v>1785</v>
      </c>
      <c r="G38" s="4">
        <v>6.94</v>
      </c>
      <c r="I38" s="3" t="s">
        <v>1879</v>
      </c>
      <c r="J38" s="4">
        <v>12.7</v>
      </c>
      <c r="L38" s="1" t="s">
        <v>1763</v>
      </c>
      <c r="M38" s="1" t="s">
        <v>1880</v>
      </c>
      <c r="N38" s="1" t="s">
        <v>56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1881</v>
      </c>
      <c r="D39" s="4">
        <v>6.49</v>
      </c>
      <c r="F39" s="3" t="s">
        <v>1872</v>
      </c>
      <c r="G39" s="4">
        <v>8.58</v>
      </c>
      <c r="I39" s="3" t="s">
        <v>1882</v>
      </c>
      <c r="J39" s="4">
        <v>12.8</v>
      </c>
      <c r="L39" s="1" t="s">
        <v>1763</v>
      </c>
      <c r="M39" s="1" t="s">
        <v>1883</v>
      </c>
      <c r="N39" s="1" t="s">
        <v>56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1884</v>
      </c>
      <c r="C40" s="3" t="s">
        <v>1885</v>
      </c>
      <c r="D40" s="4">
        <v>7.17</v>
      </c>
      <c r="F40" s="3" t="s">
        <v>1875</v>
      </c>
      <c r="G40" s="4">
        <v>5.04</v>
      </c>
      <c r="I40" s="3" t="s">
        <v>1886</v>
      </c>
      <c r="J40" s="4">
        <v>10.88</v>
      </c>
      <c r="L40" s="1" t="s">
        <v>1763</v>
      </c>
      <c r="M40" s="1" t="s">
        <v>1887</v>
      </c>
      <c r="N40" s="1" t="s">
        <v>56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1763</v>
      </c>
      <c r="C41" s="3" t="s">
        <v>1888</v>
      </c>
      <c r="D41" s="4">
        <v>4.34</v>
      </c>
      <c r="F41" s="3" t="s">
        <v>1878</v>
      </c>
      <c r="G41" s="4">
        <v>3.95</v>
      </c>
      <c r="I41" s="3" t="s">
        <v>1889</v>
      </c>
      <c r="J41" s="4">
        <v>6.5</v>
      </c>
      <c r="L41" s="1" t="s">
        <v>1763</v>
      </c>
      <c r="M41" s="1" t="s">
        <v>1880</v>
      </c>
      <c r="N41" s="1" t="s">
        <v>1777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1890</v>
      </c>
      <c r="C42" s="3" t="s">
        <v>1891</v>
      </c>
      <c r="D42" s="4">
        <v>5.33</v>
      </c>
      <c r="F42" s="3" t="s">
        <v>1881</v>
      </c>
      <c r="G42" s="4">
        <v>3.95</v>
      </c>
      <c r="I42" s="3" t="s">
        <v>1892</v>
      </c>
      <c r="J42" s="4">
        <v>7.36</v>
      </c>
      <c r="L42" s="1" t="s">
        <v>1763</v>
      </c>
      <c r="M42" s="1" t="s">
        <v>1883</v>
      </c>
      <c r="N42" s="1" t="s">
        <v>1777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1893</v>
      </c>
      <c r="C43" s="3" t="s">
        <v>1894</v>
      </c>
      <c r="D43" s="4">
        <v>9.42</v>
      </c>
      <c r="F43" s="3" t="s">
        <v>1885</v>
      </c>
      <c r="G43" s="4">
        <v>3.95</v>
      </c>
      <c r="I43" s="3" t="s">
        <v>1895</v>
      </c>
      <c r="J43" s="4">
        <v>12.96</v>
      </c>
      <c r="L43" s="1" t="s">
        <v>1763</v>
      </c>
      <c r="M43" s="1" t="s">
        <v>1887</v>
      </c>
      <c r="N43" s="1" t="s">
        <v>1777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863</v>
      </c>
      <c r="C44" s="3" t="s">
        <v>1896</v>
      </c>
      <c r="D44" s="4">
        <v>3.4</v>
      </c>
      <c r="F44" s="3" t="s">
        <v>1888</v>
      </c>
      <c r="G44" s="4">
        <v>3.95</v>
      </c>
      <c r="I44" s="3" t="s">
        <v>1897</v>
      </c>
      <c r="J44" s="4">
        <v>11.09</v>
      </c>
      <c r="L44" s="1" t="s">
        <v>1763</v>
      </c>
      <c r="M44" s="1" t="s">
        <v>1880</v>
      </c>
      <c r="N44" s="1" t="s">
        <v>1789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1898</v>
      </c>
      <c r="C45" s="3" t="s">
        <v>1899</v>
      </c>
      <c r="D45" s="4">
        <v>4.8899999999999997</v>
      </c>
      <c r="F45" s="3" t="s">
        <v>1891</v>
      </c>
      <c r="G45" s="4">
        <v>3.95</v>
      </c>
      <c r="I45" s="3" t="s">
        <v>1900</v>
      </c>
      <c r="J45" s="4">
        <v>9.64</v>
      </c>
      <c r="L45" s="1" t="s">
        <v>1763</v>
      </c>
      <c r="M45" s="1" t="s">
        <v>1883</v>
      </c>
      <c r="N45" s="1" t="s">
        <v>1789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1901</v>
      </c>
      <c r="C46" s="3" t="s">
        <v>1902</v>
      </c>
      <c r="D46" s="4">
        <v>6.64</v>
      </c>
      <c r="F46" s="3" t="s">
        <v>1894</v>
      </c>
      <c r="G46" s="4">
        <v>3.95</v>
      </c>
      <c r="I46" s="3" t="s">
        <v>1903</v>
      </c>
      <c r="J46" s="4">
        <v>6.48</v>
      </c>
      <c r="L46" s="1" t="s">
        <v>1763</v>
      </c>
      <c r="M46" s="1" t="s">
        <v>1887</v>
      </c>
      <c r="N46" s="1" t="s">
        <v>1789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1904</v>
      </c>
      <c r="C47" s="3" t="s">
        <v>1905</v>
      </c>
      <c r="D47" s="4">
        <v>11.15</v>
      </c>
      <c r="F47" s="3" t="s">
        <v>1896</v>
      </c>
      <c r="G47" s="4">
        <v>3.95</v>
      </c>
      <c r="I47" s="3" t="s">
        <v>1906</v>
      </c>
      <c r="J47" s="4">
        <v>8.3800000000000008</v>
      </c>
      <c r="L47" s="1" t="s">
        <v>1890</v>
      </c>
      <c r="M47" s="1" t="s">
        <v>1764</v>
      </c>
      <c r="N47" s="1" t="s">
        <v>56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1907</v>
      </c>
      <c r="C48" s="3" t="s">
        <v>1908</v>
      </c>
      <c r="D48" s="4">
        <v>7.98</v>
      </c>
      <c r="F48" s="3" t="s">
        <v>1899</v>
      </c>
      <c r="G48" s="4">
        <v>3.95</v>
      </c>
      <c r="I48" s="3" t="s">
        <v>1909</v>
      </c>
      <c r="J48" s="4">
        <v>8.3800000000000008</v>
      </c>
      <c r="L48" s="1" t="s">
        <v>1890</v>
      </c>
      <c r="M48" s="1" t="s">
        <v>1767</v>
      </c>
      <c r="N48" s="1" t="s">
        <v>56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1910</v>
      </c>
      <c r="C49" s="3" t="s">
        <v>1911</v>
      </c>
      <c r="D49" s="4">
        <v>8.8000000000000007</v>
      </c>
      <c r="F49" s="3" t="s">
        <v>1902</v>
      </c>
      <c r="G49" s="4">
        <v>3.95</v>
      </c>
      <c r="I49" s="3" t="s">
        <v>1912</v>
      </c>
      <c r="J49" s="4">
        <v>13.17</v>
      </c>
      <c r="L49" s="1" t="s">
        <v>1890</v>
      </c>
      <c r="M49" s="1" t="s">
        <v>1770</v>
      </c>
      <c r="N49" s="1" t="s">
        <v>56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1913</v>
      </c>
      <c r="C50" s="3" t="s">
        <v>1914</v>
      </c>
      <c r="D50" s="4">
        <v>11.15</v>
      </c>
      <c r="F50" s="3" t="s">
        <v>1905</v>
      </c>
      <c r="G50" s="4">
        <v>5.8</v>
      </c>
      <c r="I50" s="3" t="s">
        <v>1915</v>
      </c>
      <c r="J50" s="4">
        <v>18.86</v>
      </c>
      <c r="L50" s="1" t="s">
        <v>1890</v>
      </c>
      <c r="M50" s="1" t="s">
        <v>1773</v>
      </c>
      <c r="N50" s="1" t="s">
        <v>56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1916</v>
      </c>
      <c r="C51" s="3" t="s">
        <v>1917</v>
      </c>
      <c r="D51" s="4">
        <v>7.6</v>
      </c>
      <c r="F51" s="3" t="s">
        <v>1908</v>
      </c>
      <c r="G51" s="4">
        <v>7.98</v>
      </c>
      <c r="J51" s="8"/>
      <c r="L51" s="1" t="s">
        <v>1890</v>
      </c>
      <c r="M51" s="1" t="s">
        <v>1764</v>
      </c>
      <c r="N51" s="1" t="s">
        <v>1777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1918</v>
      </c>
      <c r="C52" s="3" t="s">
        <v>1919</v>
      </c>
      <c r="D52" s="4">
        <v>8.58</v>
      </c>
      <c r="F52" s="3" t="s">
        <v>1911</v>
      </c>
      <c r="G52" s="4">
        <v>8.8000000000000007</v>
      </c>
      <c r="J52" s="8"/>
      <c r="L52" s="1" t="s">
        <v>1890</v>
      </c>
      <c r="M52" s="1" t="s">
        <v>1767</v>
      </c>
      <c r="N52" s="1" t="s">
        <v>1777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1920</v>
      </c>
      <c r="D53" s="4">
        <v>7.6</v>
      </c>
      <c r="F53" s="3" t="s">
        <v>1914</v>
      </c>
      <c r="G53" s="4">
        <v>5.65</v>
      </c>
      <c r="J53" s="8"/>
      <c r="L53" s="1" t="s">
        <v>1890</v>
      </c>
      <c r="M53" s="1" t="s">
        <v>1770</v>
      </c>
      <c r="N53" s="1" t="s">
        <v>1777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1921</v>
      </c>
      <c r="D54" s="4">
        <v>8.2200000000000006</v>
      </c>
      <c r="F54" s="3" t="s">
        <v>1917</v>
      </c>
      <c r="G54" s="4">
        <v>5.04</v>
      </c>
      <c r="J54" s="8"/>
      <c r="L54" s="1" t="s">
        <v>1890</v>
      </c>
      <c r="M54" s="1" t="s">
        <v>1773</v>
      </c>
      <c r="N54" s="1" t="s">
        <v>1777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1922</v>
      </c>
      <c r="D55" s="4">
        <v>11.78</v>
      </c>
      <c r="F55" s="3" t="s">
        <v>1919</v>
      </c>
      <c r="G55" s="4">
        <v>8.58</v>
      </c>
      <c r="J55" s="8"/>
      <c r="L55" s="1" t="s">
        <v>1890</v>
      </c>
      <c r="M55" s="1" t="s">
        <v>1764</v>
      </c>
      <c r="N55" s="1" t="s">
        <v>1789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27</v>
      </c>
      <c r="C56" s="3" t="s">
        <v>1923</v>
      </c>
      <c r="D56" s="4">
        <v>11.94</v>
      </c>
      <c r="F56" s="3" t="s">
        <v>1920</v>
      </c>
      <c r="G56" s="4">
        <v>5.04</v>
      </c>
      <c r="J56" s="8"/>
      <c r="L56" s="1" t="s">
        <v>1890</v>
      </c>
      <c r="M56" s="1" t="s">
        <v>1767</v>
      </c>
      <c r="N56" s="1" t="s">
        <v>1789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33</v>
      </c>
      <c r="C57" s="3" t="s">
        <v>1924</v>
      </c>
      <c r="D57" s="4">
        <v>10.36</v>
      </c>
      <c r="F57" s="3" t="s">
        <v>1921</v>
      </c>
      <c r="G57" s="4">
        <v>8.2200000000000006</v>
      </c>
      <c r="J57" s="8"/>
      <c r="L57" s="1" t="s">
        <v>1890</v>
      </c>
      <c r="M57" s="1" t="s">
        <v>1770</v>
      </c>
      <c r="N57" s="1" t="s">
        <v>1789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1925</v>
      </c>
      <c r="C58" s="3" t="s">
        <v>1926</v>
      </c>
      <c r="D58" s="4">
        <v>10.62</v>
      </c>
      <c r="F58" s="3" t="s">
        <v>1922</v>
      </c>
      <c r="G58" s="4">
        <v>11.78</v>
      </c>
      <c r="J58" s="8"/>
      <c r="L58" s="1" t="s">
        <v>1890</v>
      </c>
      <c r="M58" s="1" t="s">
        <v>1773</v>
      </c>
      <c r="N58" s="1" t="s">
        <v>1789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1927</v>
      </c>
      <c r="C59" s="3" t="s">
        <v>1928</v>
      </c>
      <c r="D59" s="4">
        <v>8.2799999999999994</v>
      </c>
      <c r="F59" s="3" t="s">
        <v>1923</v>
      </c>
      <c r="G59" s="4">
        <v>11.94</v>
      </c>
      <c r="J59" s="8"/>
      <c r="L59" s="1" t="s">
        <v>1890</v>
      </c>
      <c r="M59" s="1" t="s">
        <v>1802</v>
      </c>
      <c r="N59" s="1" t="s">
        <v>56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1929</v>
      </c>
      <c r="C60" s="3" t="s">
        <v>1930</v>
      </c>
      <c r="D60" s="4">
        <v>11.57</v>
      </c>
      <c r="F60" s="3" t="s">
        <v>1924</v>
      </c>
      <c r="G60" s="4">
        <v>5.1100000000000003</v>
      </c>
      <c r="J60" s="8"/>
      <c r="L60" s="1" t="s">
        <v>1890</v>
      </c>
      <c r="M60" s="1" t="s">
        <v>1806</v>
      </c>
      <c r="N60" s="1" t="s">
        <v>56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1931</v>
      </c>
      <c r="C61" s="3" t="s">
        <v>1932</v>
      </c>
      <c r="D61" s="4">
        <v>2.12</v>
      </c>
      <c r="F61" s="3" t="s">
        <v>1926</v>
      </c>
      <c r="G61" s="4">
        <v>10.62</v>
      </c>
      <c r="J61" s="8"/>
      <c r="L61" s="1" t="s">
        <v>1890</v>
      </c>
      <c r="M61" s="1" t="s">
        <v>1811</v>
      </c>
      <c r="N61" s="1" t="s">
        <v>56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1933</v>
      </c>
      <c r="C62" s="3" t="s">
        <v>1934</v>
      </c>
      <c r="D62" s="4">
        <v>10.36</v>
      </c>
      <c r="F62" s="3" t="s">
        <v>1928</v>
      </c>
      <c r="G62" s="4">
        <v>8.2799999999999994</v>
      </c>
      <c r="J62" s="8"/>
      <c r="L62" s="1" t="s">
        <v>1890</v>
      </c>
      <c r="M62" s="1" t="s">
        <v>1814</v>
      </c>
      <c r="N62" s="1" t="s">
        <v>56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1935</v>
      </c>
      <c r="C63" s="3" t="s">
        <v>1936</v>
      </c>
      <c r="D63" s="4">
        <v>9.2100000000000009</v>
      </c>
      <c r="F63" s="3" t="s">
        <v>1930</v>
      </c>
      <c r="G63" s="4">
        <v>11.57</v>
      </c>
      <c r="J63" s="8"/>
      <c r="L63" s="1" t="s">
        <v>1890</v>
      </c>
      <c r="M63" s="1" t="s">
        <v>1802</v>
      </c>
      <c r="N63" s="1" t="s">
        <v>1777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1937</v>
      </c>
      <c r="C64" s="3" t="s">
        <v>1938</v>
      </c>
      <c r="D64" s="4">
        <v>10.36</v>
      </c>
      <c r="F64" s="3" t="s">
        <v>1932</v>
      </c>
      <c r="G64" s="4">
        <v>2.12</v>
      </c>
      <c r="J64" s="8"/>
      <c r="L64" s="1" t="s">
        <v>1890</v>
      </c>
      <c r="M64" s="1" t="s">
        <v>1806</v>
      </c>
      <c r="N64" s="1" t="s">
        <v>1777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1939</v>
      </c>
      <c r="C65" s="3" t="s">
        <v>1940</v>
      </c>
      <c r="D65" s="4">
        <v>12.81</v>
      </c>
      <c r="F65" s="3" t="s">
        <v>1934</v>
      </c>
      <c r="G65" s="4">
        <v>5.1100000000000003</v>
      </c>
      <c r="J65" s="8"/>
      <c r="L65" s="1" t="s">
        <v>1890</v>
      </c>
      <c r="M65" s="1" t="s">
        <v>1811</v>
      </c>
      <c r="N65" s="1" t="s">
        <v>1777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1941</v>
      </c>
      <c r="C66" s="3" t="s">
        <v>1942</v>
      </c>
      <c r="D66" s="4">
        <v>7.75</v>
      </c>
      <c r="F66" s="3" t="s">
        <v>1936</v>
      </c>
      <c r="G66" s="4">
        <v>9.2100000000000009</v>
      </c>
      <c r="J66" s="8"/>
      <c r="L66" s="1" t="s">
        <v>1890</v>
      </c>
      <c r="M66" s="1" t="s">
        <v>1814</v>
      </c>
      <c r="N66" s="1" t="s">
        <v>1777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1918</v>
      </c>
      <c r="C67" s="3" t="s">
        <v>1943</v>
      </c>
      <c r="D67" s="4">
        <v>6.6</v>
      </c>
      <c r="F67" s="3" t="s">
        <v>1938</v>
      </c>
      <c r="G67" s="4">
        <v>5.1100000000000003</v>
      </c>
      <c r="J67" s="8"/>
      <c r="L67" s="1" t="s">
        <v>1890</v>
      </c>
      <c r="M67" s="1" t="s">
        <v>1802</v>
      </c>
      <c r="N67" s="1" t="s">
        <v>1789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1880</v>
      </c>
      <c r="C68" s="3" t="s">
        <v>1944</v>
      </c>
      <c r="D68" s="4">
        <v>9.91</v>
      </c>
      <c r="F68" s="3" t="s">
        <v>1940</v>
      </c>
      <c r="G68" s="4">
        <v>12.81</v>
      </c>
      <c r="J68" s="8"/>
      <c r="L68" s="1" t="s">
        <v>1890</v>
      </c>
      <c r="M68" s="1" t="s">
        <v>1806</v>
      </c>
      <c r="N68" s="1" t="s">
        <v>1789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1877</v>
      </c>
      <c r="C69" s="3" t="s">
        <v>1945</v>
      </c>
      <c r="D69" s="4">
        <v>7.13</v>
      </c>
      <c r="F69" s="3" t="s">
        <v>1942</v>
      </c>
      <c r="G69" s="4">
        <v>7.75</v>
      </c>
      <c r="J69" s="8"/>
      <c r="L69" s="1" t="s">
        <v>1890</v>
      </c>
      <c r="M69" s="1" t="s">
        <v>1811</v>
      </c>
      <c r="N69" s="1" t="s">
        <v>1789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1946</v>
      </c>
      <c r="D70" s="4">
        <v>6.61</v>
      </c>
      <c r="F70" s="3" t="s">
        <v>1943</v>
      </c>
      <c r="G70" s="4">
        <v>6.6</v>
      </c>
      <c r="J70" s="8"/>
      <c r="L70" s="1" t="s">
        <v>1890</v>
      </c>
      <c r="M70" s="1" t="s">
        <v>1814</v>
      </c>
      <c r="N70" s="1" t="s">
        <v>1789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1947</v>
      </c>
      <c r="D71" s="4">
        <v>7.6</v>
      </c>
      <c r="F71" s="3" t="s">
        <v>1944</v>
      </c>
      <c r="G71" s="4">
        <v>9.91</v>
      </c>
      <c r="J71" s="8"/>
      <c r="L71" s="1" t="s">
        <v>1890</v>
      </c>
      <c r="M71" s="1" t="s">
        <v>1842</v>
      </c>
      <c r="N71" s="1" t="s">
        <v>56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43</v>
      </c>
      <c r="C72" s="3" t="s">
        <v>1948</v>
      </c>
      <c r="D72" s="4">
        <v>10.64</v>
      </c>
      <c r="F72" s="3" t="s">
        <v>1945</v>
      </c>
      <c r="G72" s="4">
        <v>7.13</v>
      </c>
      <c r="J72" s="8"/>
      <c r="L72" s="1" t="s">
        <v>1890</v>
      </c>
      <c r="M72" s="1" t="s">
        <v>1846</v>
      </c>
      <c r="N72" s="1" t="s">
        <v>56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55</v>
      </c>
      <c r="C73" s="3" t="s">
        <v>1949</v>
      </c>
      <c r="D73" s="4">
        <v>7.13</v>
      </c>
      <c r="F73" s="3" t="s">
        <v>1946</v>
      </c>
      <c r="G73" s="4">
        <v>6.61</v>
      </c>
      <c r="J73" s="8"/>
      <c r="L73" s="1" t="s">
        <v>1890</v>
      </c>
      <c r="M73" s="1" t="s">
        <v>1850</v>
      </c>
      <c r="N73" s="1" t="s">
        <v>56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1950</v>
      </c>
      <c r="C74" s="3" t="s">
        <v>1951</v>
      </c>
      <c r="D74" s="4">
        <v>7.51</v>
      </c>
      <c r="F74" s="3" t="s">
        <v>1947</v>
      </c>
      <c r="G74" s="4">
        <v>3</v>
      </c>
      <c r="J74" s="8"/>
      <c r="L74" s="1" t="s">
        <v>1890</v>
      </c>
      <c r="M74" s="1" t="s">
        <v>1854</v>
      </c>
      <c r="N74" s="1" t="s">
        <v>56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1952</v>
      </c>
      <c r="C75" s="3" t="s">
        <v>1953</v>
      </c>
      <c r="D75" s="4">
        <v>7.57</v>
      </c>
      <c r="F75" s="3" t="s">
        <v>1948</v>
      </c>
      <c r="G75" s="4">
        <v>3</v>
      </c>
      <c r="J75" s="8"/>
      <c r="L75" s="1" t="s">
        <v>1890</v>
      </c>
      <c r="M75" s="1" t="s">
        <v>1842</v>
      </c>
      <c r="N75" s="1" t="s">
        <v>1777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1954</v>
      </c>
      <c r="C76" s="3" t="s">
        <v>1955</v>
      </c>
      <c r="D76" s="4">
        <v>9.17</v>
      </c>
      <c r="F76" s="3" t="s">
        <v>1949</v>
      </c>
      <c r="G76" s="4">
        <v>3</v>
      </c>
      <c r="J76" s="8"/>
      <c r="L76" s="1" t="s">
        <v>1890</v>
      </c>
      <c r="M76" s="1" t="s">
        <v>1846</v>
      </c>
      <c r="N76" s="1" t="s">
        <v>1777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1956</v>
      </c>
      <c r="C77" s="3" t="s">
        <v>1957</v>
      </c>
      <c r="D77" s="4">
        <v>9.25</v>
      </c>
      <c r="F77" s="3" t="s">
        <v>1951</v>
      </c>
      <c r="G77" s="4">
        <v>3</v>
      </c>
      <c r="J77" s="8"/>
      <c r="L77" s="1" t="s">
        <v>1890</v>
      </c>
      <c r="M77" s="1" t="s">
        <v>1850</v>
      </c>
      <c r="N77" s="1" t="s">
        <v>1777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1958</v>
      </c>
      <c r="D78" s="4">
        <v>6.67</v>
      </c>
      <c r="F78" s="3" t="s">
        <v>1953</v>
      </c>
      <c r="G78" s="4">
        <v>3</v>
      </c>
      <c r="J78" s="8"/>
      <c r="L78" s="1" t="s">
        <v>1890</v>
      </c>
      <c r="M78" s="1" t="s">
        <v>1854</v>
      </c>
      <c r="N78" s="1" t="s">
        <v>1777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1959</v>
      </c>
      <c r="D79" s="4">
        <v>6.67</v>
      </c>
      <c r="F79" s="3" t="s">
        <v>1955</v>
      </c>
      <c r="G79" s="4">
        <v>3</v>
      </c>
      <c r="J79" s="8"/>
      <c r="L79" s="1" t="s">
        <v>1890</v>
      </c>
      <c r="M79" s="1" t="s">
        <v>1842</v>
      </c>
      <c r="N79" s="1" t="s">
        <v>1789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1960</v>
      </c>
      <c r="C80" s="3" t="s">
        <v>1961</v>
      </c>
      <c r="D80" s="4">
        <v>5</v>
      </c>
      <c r="F80" s="3" t="s">
        <v>1957</v>
      </c>
      <c r="G80" s="4">
        <v>3</v>
      </c>
      <c r="J80" s="8"/>
      <c r="L80" s="1" t="s">
        <v>1890</v>
      </c>
      <c r="M80" s="1" t="s">
        <v>1846</v>
      </c>
      <c r="N80" s="1" t="s">
        <v>1789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56</v>
      </c>
      <c r="C81" s="3" t="s">
        <v>1962</v>
      </c>
      <c r="D81" s="4">
        <v>8.06</v>
      </c>
      <c r="F81" s="3" t="s">
        <v>1963</v>
      </c>
      <c r="G81" s="4">
        <v>3</v>
      </c>
      <c r="J81" s="8"/>
      <c r="L81" s="1" t="s">
        <v>1890</v>
      </c>
      <c r="M81" s="1" t="s">
        <v>1850</v>
      </c>
      <c r="N81" s="1" t="s">
        <v>1789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1777</v>
      </c>
      <c r="C82" s="3" t="s">
        <v>1964</v>
      </c>
      <c r="D82" s="4">
        <v>11.25</v>
      </c>
      <c r="F82" s="3" t="s">
        <v>1958</v>
      </c>
      <c r="G82" s="4">
        <v>3</v>
      </c>
      <c r="J82" s="8"/>
      <c r="L82" s="1" t="s">
        <v>1890</v>
      </c>
      <c r="M82" s="1" t="s">
        <v>1854</v>
      </c>
      <c r="N82" s="1" t="s">
        <v>1789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1789</v>
      </c>
      <c r="C83" s="3" t="s">
        <v>1965</v>
      </c>
      <c r="D83" s="4">
        <v>11.25</v>
      </c>
      <c r="F83" s="3" t="s">
        <v>1959</v>
      </c>
      <c r="G83" s="4">
        <v>3</v>
      </c>
      <c r="J83" s="8"/>
      <c r="L83" s="1" t="s">
        <v>1890</v>
      </c>
      <c r="M83" s="1" t="s">
        <v>1880</v>
      </c>
      <c r="N83" s="1" t="s">
        <v>56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1966</v>
      </c>
      <c r="D84" s="4">
        <v>11.58</v>
      </c>
      <c r="F84" s="3" t="s">
        <v>1961</v>
      </c>
      <c r="G84" s="4">
        <v>3</v>
      </c>
      <c r="J84" s="8"/>
      <c r="L84" s="1" t="s">
        <v>1890</v>
      </c>
      <c r="M84" s="1" t="s">
        <v>1883</v>
      </c>
      <c r="N84" s="1" t="s">
        <v>56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1967</v>
      </c>
      <c r="D85" s="4">
        <v>7.74</v>
      </c>
      <c r="F85" s="3" t="s">
        <v>1962</v>
      </c>
      <c r="G85" s="4">
        <v>3.84</v>
      </c>
      <c r="J85" s="8"/>
      <c r="L85" s="1" t="s">
        <v>1890</v>
      </c>
      <c r="M85" s="1" t="s">
        <v>1887</v>
      </c>
      <c r="N85" s="1" t="s">
        <v>56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1968</v>
      </c>
      <c r="D86" s="4">
        <v>6.7</v>
      </c>
      <c r="F86" s="3" t="s">
        <v>1964</v>
      </c>
      <c r="G86" s="4">
        <v>3.84</v>
      </c>
      <c r="J86" s="8"/>
      <c r="L86" s="1" t="s">
        <v>1890</v>
      </c>
      <c r="M86" s="1" t="s">
        <v>1880</v>
      </c>
      <c r="N86" s="1" t="s">
        <v>1777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1969</v>
      </c>
      <c r="D87" s="4">
        <v>7.61</v>
      </c>
      <c r="F87" s="3" t="s">
        <v>1965</v>
      </c>
      <c r="G87" s="4">
        <v>3.84</v>
      </c>
      <c r="J87" s="8"/>
      <c r="L87" s="1" t="s">
        <v>1890</v>
      </c>
      <c r="M87" s="1" t="s">
        <v>1883</v>
      </c>
      <c r="N87" s="1" t="s">
        <v>1777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1970</v>
      </c>
      <c r="C88" s="3" t="s">
        <v>1971</v>
      </c>
      <c r="D88" s="4">
        <v>12.07</v>
      </c>
      <c r="F88" s="3" t="s">
        <v>1966</v>
      </c>
      <c r="G88" s="4">
        <v>11.58</v>
      </c>
      <c r="J88" s="8"/>
      <c r="L88" s="1" t="s">
        <v>1890</v>
      </c>
      <c r="M88" s="1" t="s">
        <v>1887</v>
      </c>
      <c r="N88" s="1" t="s">
        <v>1777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1972</v>
      </c>
      <c r="C89" s="3" t="s">
        <v>1973</v>
      </c>
      <c r="D89" s="4">
        <v>7.1</v>
      </c>
      <c r="F89" s="3" t="s">
        <v>1974</v>
      </c>
      <c r="G89" s="4">
        <v>5.04</v>
      </c>
      <c r="J89" s="8"/>
      <c r="L89" s="1" t="s">
        <v>1890</v>
      </c>
      <c r="M89" s="1" t="s">
        <v>1880</v>
      </c>
      <c r="N89" s="1" t="s">
        <v>1789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1975</v>
      </c>
      <c r="C90" s="3" t="s">
        <v>1976</v>
      </c>
      <c r="D90" s="4">
        <v>5.0599999999999996</v>
      </c>
      <c r="F90" s="3" t="s">
        <v>1968</v>
      </c>
      <c r="G90" s="4">
        <v>6.7</v>
      </c>
      <c r="J90" s="8"/>
      <c r="L90" s="1" t="s">
        <v>1890</v>
      </c>
      <c r="M90" s="1" t="s">
        <v>1883</v>
      </c>
      <c r="N90" s="1" t="s">
        <v>1789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1977</v>
      </c>
      <c r="C91" s="3" t="s">
        <v>1978</v>
      </c>
      <c r="D91" s="4">
        <v>5.98</v>
      </c>
      <c r="F91" s="3" t="s">
        <v>1969</v>
      </c>
      <c r="G91" s="4">
        <v>7.61</v>
      </c>
      <c r="J91" s="8"/>
      <c r="L91" s="1" t="s">
        <v>1890</v>
      </c>
      <c r="M91" s="1" t="s">
        <v>1887</v>
      </c>
      <c r="N91" s="1" t="s">
        <v>1789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1979</v>
      </c>
      <c r="C92" s="3" t="s">
        <v>1980</v>
      </c>
      <c r="D92" s="4">
        <v>8.24</v>
      </c>
      <c r="F92" s="3" t="s">
        <v>1973</v>
      </c>
      <c r="G92" s="4">
        <v>7.1</v>
      </c>
      <c r="J92" s="8"/>
      <c r="L92" s="1" t="s">
        <v>1893</v>
      </c>
      <c r="M92" s="1" t="s">
        <v>1764</v>
      </c>
      <c r="N92" s="1" t="s">
        <v>56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1981</v>
      </c>
      <c r="C93" s="3" t="s">
        <v>1982</v>
      </c>
      <c r="D93" s="4">
        <v>9.4499999999999993</v>
      </c>
      <c r="F93" s="3" t="s">
        <v>1976</v>
      </c>
      <c r="G93" s="4">
        <v>5.0599999999999996</v>
      </c>
      <c r="J93" s="8"/>
      <c r="L93" s="1" t="s">
        <v>1893</v>
      </c>
      <c r="M93" s="1" t="s">
        <v>1767</v>
      </c>
      <c r="N93" s="1" t="s">
        <v>56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1983</v>
      </c>
      <c r="C94" s="3" t="s">
        <v>1984</v>
      </c>
      <c r="D94" s="4">
        <v>9.01</v>
      </c>
      <c r="F94" s="3" t="s">
        <v>1978</v>
      </c>
      <c r="G94" s="4">
        <v>5.98</v>
      </c>
      <c r="J94" s="8"/>
      <c r="L94" s="1" t="s">
        <v>1893</v>
      </c>
      <c r="M94" s="1" t="s">
        <v>1770</v>
      </c>
      <c r="N94" s="1" t="s">
        <v>56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1985</v>
      </c>
      <c r="C95" s="3" t="s">
        <v>1986</v>
      </c>
      <c r="D95" s="4">
        <v>12.03</v>
      </c>
      <c r="F95" s="3" t="s">
        <v>1980</v>
      </c>
      <c r="G95" s="4">
        <v>8.24</v>
      </c>
      <c r="J95" s="8"/>
      <c r="L95" s="1" t="s">
        <v>1893</v>
      </c>
      <c r="M95" s="1" t="s">
        <v>1773</v>
      </c>
      <c r="N95" s="1" t="s">
        <v>56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1987</v>
      </c>
      <c r="C96" s="3" t="s">
        <v>1882</v>
      </c>
      <c r="D96" s="4">
        <v>12.8</v>
      </c>
      <c r="F96" s="3" t="s">
        <v>1982</v>
      </c>
      <c r="G96" s="4">
        <v>9.4499999999999993</v>
      </c>
      <c r="J96" s="8"/>
      <c r="L96" s="1" t="s">
        <v>1893</v>
      </c>
      <c r="M96" s="1" t="s">
        <v>1764</v>
      </c>
      <c r="N96" s="1" t="s">
        <v>1777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1988</v>
      </c>
      <c r="C97" s="3" t="s">
        <v>1989</v>
      </c>
      <c r="D97" s="4">
        <v>8.6999999999999993</v>
      </c>
      <c r="F97" s="3" t="s">
        <v>1984</v>
      </c>
      <c r="G97" s="4">
        <v>9.01</v>
      </c>
      <c r="J97" s="8"/>
      <c r="L97" s="1" t="s">
        <v>1893</v>
      </c>
      <c r="M97" s="1" t="s">
        <v>1767</v>
      </c>
      <c r="N97" s="1" t="s">
        <v>1777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1990</v>
      </c>
      <c r="C98" s="3" t="s">
        <v>1991</v>
      </c>
      <c r="D98" s="4">
        <v>5.26</v>
      </c>
      <c r="F98" s="3" t="s">
        <v>1992</v>
      </c>
      <c r="G98" s="4">
        <v>2.2599999999999998</v>
      </c>
      <c r="J98" s="8"/>
      <c r="L98" s="1" t="s">
        <v>1893</v>
      </c>
      <c r="M98" s="1" t="s">
        <v>1770</v>
      </c>
      <c r="N98" s="1" t="s">
        <v>1777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1993</v>
      </c>
      <c r="C99" s="3" t="s">
        <v>1994</v>
      </c>
      <c r="D99" s="4">
        <v>12.67</v>
      </c>
      <c r="F99" s="3" t="s">
        <v>1986</v>
      </c>
      <c r="G99" s="4">
        <v>12.03</v>
      </c>
      <c r="J99" s="8"/>
      <c r="L99" s="1" t="s">
        <v>1893</v>
      </c>
      <c r="M99" s="1" t="s">
        <v>1773</v>
      </c>
      <c r="N99" s="1" t="s">
        <v>1777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1995</v>
      </c>
      <c r="C100" s="3" t="s">
        <v>1996</v>
      </c>
      <c r="D100" s="4">
        <v>15.87</v>
      </c>
      <c r="F100" s="3" t="s">
        <v>1989</v>
      </c>
      <c r="G100" s="4">
        <v>8.6999999999999993</v>
      </c>
      <c r="J100" s="8"/>
      <c r="L100" s="1" t="s">
        <v>1893</v>
      </c>
      <c r="M100" s="1" t="s">
        <v>1764</v>
      </c>
      <c r="N100" s="1" t="s">
        <v>1789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1997</v>
      </c>
      <c r="C101" s="3" t="s">
        <v>1998</v>
      </c>
      <c r="D101" s="4">
        <v>4.63</v>
      </c>
      <c r="F101" s="3" t="s">
        <v>1991</v>
      </c>
      <c r="G101" s="4">
        <v>5.26</v>
      </c>
      <c r="J101" s="8"/>
      <c r="L101" s="1" t="s">
        <v>1893</v>
      </c>
      <c r="M101" s="1" t="s">
        <v>1767</v>
      </c>
      <c r="N101" s="1" t="s">
        <v>1789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1999</v>
      </c>
      <c r="C102" s="3" t="s">
        <v>2000</v>
      </c>
      <c r="D102" s="4">
        <v>8.6999999999999993</v>
      </c>
      <c r="F102" s="3" t="s">
        <v>1994</v>
      </c>
      <c r="G102" s="4">
        <v>12.67</v>
      </c>
      <c r="J102" s="8"/>
      <c r="L102" s="1" t="s">
        <v>1893</v>
      </c>
      <c r="M102" s="1" t="s">
        <v>1770</v>
      </c>
      <c r="N102" s="1" t="s">
        <v>1789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2001</v>
      </c>
      <c r="C103" s="3" t="s">
        <v>2002</v>
      </c>
      <c r="D103" s="4">
        <v>9.26</v>
      </c>
      <c r="F103" s="3" t="s">
        <v>1996</v>
      </c>
      <c r="G103" s="4">
        <v>15.87</v>
      </c>
      <c r="J103" s="8"/>
      <c r="L103" s="1" t="s">
        <v>1893</v>
      </c>
      <c r="M103" s="1" t="s">
        <v>1773</v>
      </c>
      <c r="N103" s="1" t="s">
        <v>1789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2003</v>
      </c>
      <c r="C104" s="3" t="s">
        <v>2004</v>
      </c>
      <c r="D104" s="4">
        <v>5.72</v>
      </c>
      <c r="F104" s="3" t="s">
        <v>1998</v>
      </c>
      <c r="G104" s="4">
        <v>4.63</v>
      </c>
      <c r="J104" s="8"/>
      <c r="L104" s="1" t="s">
        <v>1893</v>
      </c>
      <c r="M104" s="1" t="s">
        <v>1802</v>
      </c>
      <c r="N104" s="1" t="s">
        <v>56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1820</v>
      </c>
      <c r="C105" s="3" t="s">
        <v>2005</v>
      </c>
      <c r="D105" s="4">
        <v>6.54</v>
      </c>
      <c r="F105" s="3" t="s">
        <v>2000</v>
      </c>
      <c r="G105" s="4">
        <v>8.6999999999999993</v>
      </c>
      <c r="J105" s="8"/>
      <c r="L105" s="1" t="s">
        <v>1893</v>
      </c>
      <c r="M105" s="1" t="s">
        <v>1806</v>
      </c>
      <c r="N105" s="1" t="s">
        <v>56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1823</v>
      </c>
      <c r="C106" s="3" t="s">
        <v>2006</v>
      </c>
      <c r="D106" s="4">
        <v>6.54</v>
      </c>
      <c r="F106" s="3" t="s">
        <v>2002</v>
      </c>
      <c r="G106" s="4">
        <v>9.26</v>
      </c>
      <c r="J106" s="8"/>
      <c r="L106" s="1" t="s">
        <v>1893</v>
      </c>
      <c r="M106" s="1" t="s">
        <v>1811</v>
      </c>
      <c r="N106" s="1" t="s">
        <v>56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2007</v>
      </c>
      <c r="C107" s="3" t="s">
        <v>2008</v>
      </c>
      <c r="D107" s="4">
        <v>9.51</v>
      </c>
      <c r="F107" s="3" t="s">
        <v>2004</v>
      </c>
      <c r="G107" s="4">
        <v>5.72</v>
      </c>
      <c r="J107" s="8"/>
      <c r="L107" s="1" t="s">
        <v>1893</v>
      </c>
      <c r="M107" s="1" t="s">
        <v>1814</v>
      </c>
      <c r="N107" s="1" t="s">
        <v>56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2009</v>
      </c>
      <c r="C108" s="3" t="s">
        <v>2010</v>
      </c>
      <c r="D108" s="4">
        <v>8.99</v>
      </c>
      <c r="F108" s="3" t="s">
        <v>2005</v>
      </c>
      <c r="G108" s="4">
        <v>6.54</v>
      </c>
      <c r="J108" s="8"/>
      <c r="L108" s="1" t="s">
        <v>1893</v>
      </c>
      <c r="M108" s="1" t="s">
        <v>1802</v>
      </c>
      <c r="N108" s="1" t="s">
        <v>1777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1802</v>
      </c>
      <c r="C109" s="3" t="s">
        <v>2011</v>
      </c>
      <c r="D109" s="4">
        <v>4.2300000000000004</v>
      </c>
      <c r="F109" s="3" t="s">
        <v>2006</v>
      </c>
      <c r="G109" s="4">
        <v>6.54</v>
      </c>
      <c r="J109" s="8"/>
      <c r="L109" s="1" t="s">
        <v>1893</v>
      </c>
      <c r="M109" s="1" t="s">
        <v>1806</v>
      </c>
      <c r="N109" s="1" t="s">
        <v>1777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2012</v>
      </c>
      <c r="C110" s="3" t="s">
        <v>2013</v>
      </c>
      <c r="D110" s="4">
        <v>8.43</v>
      </c>
      <c r="F110" s="3" t="s">
        <v>2008</v>
      </c>
      <c r="G110" s="4">
        <v>4.9000000000000004</v>
      </c>
      <c r="J110" s="8"/>
      <c r="L110" s="1" t="s">
        <v>1893</v>
      </c>
      <c r="M110" s="1" t="s">
        <v>1811</v>
      </c>
      <c r="N110" s="1" t="s">
        <v>1777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2014</v>
      </c>
      <c r="C111" s="3" t="s">
        <v>2015</v>
      </c>
      <c r="D111" s="4">
        <v>9.66</v>
      </c>
      <c r="F111" s="3" t="s">
        <v>2010</v>
      </c>
      <c r="G111" s="4">
        <v>4.9000000000000004</v>
      </c>
      <c r="J111" s="8"/>
      <c r="L111" s="1" t="s">
        <v>1893</v>
      </c>
      <c r="M111" s="1" t="s">
        <v>1814</v>
      </c>
      <c r="N111" s="1" t="s">
        <v>1777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2016</v>
      </c>
      <c r="C112" s="3" t="s">
        <v>2017</v>
      </c>
      <c r="D112" s="4">
        <v>7</v>
      </c>
      <c r="F112" s="3" t="s">
        <v>2011</v>
      </c>
      <c r="G112" s="4">
        <v>4.9000000000000004</v>
      </c>
      <c r="J112" s="8"/>
      <c r="L112" s="1" t="s">
        <v>1893</v>
      </c>
      <c r="M112" s="1" t="s">
        <v>1802</v>
      </c>
      <c r="N112" s="1" t="s">
        <v>1789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2018</v>
      </c>
      <c r="C113" s="3" t="s">
        <v>2019</v>
      </c>
      <c r="D113" s="4">
        <v>8.0399999999999991</v>
      </c>
      <c r="F113" s="3" t="s">
        <v>2013</v>
      </c>
      <c r="G113" s="4">
        <v>4.9000000000000004</v>
      </c>
      <c r="J113" s="8"/>
      <c r="L113" s="1" t="s">
        <v>1893</v>
      </c>
      <c r="M113" s="1" t="s">
        <v>1806</v>
      </c>
      <c r="N113" s="1" t="s">
        <v>1789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2020</v>
      </c>
      <c r="C114" s="3" t="s">
        <v>2021</v>
      </c>
      <c r="D114" s="4">
        <v>12.36</v>
      </c>
      <c r="F114" s="3" t="s">
        <v>2015</v>
      </c>
      <c r="G114" s="4">
        <v>4.9000000000000004</v>
      </c>
      <c r="J114" s="8"/>
      <c r="L114" s="1" t="s">
        <v>1893</v>
      </c>
      <c r="M114" s="1" t="s">
        <v>1811</v>
      </c>
      <c r="N114" s="1" t="s">
        <v>1789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2022</v>
      </c>
      <c r="C115" s="3" t="s">
        <v>2023</v>
      </c>
      <c r="D115" s="4">
        <v>9.51</v>
      </c>
      <c r="F115" s="3" t="s">
        <v>2017</v>
      </c>
      <c r="G115" s="4">
        <v>4.9000000000000004</v>
      </c>
      <c r="J115" s="8"/>
      <c r="L115" s="1" t="s">
        <v>1893</v>
      </c>
      <c r="M115" s="1" t="s">
        <v>1814</v>
      </c>
      <c r="N115" s="1" t="s">
        <v>1789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2024</v>
      </c>
      <c r="D116" s="8"/>
      <c r="F116" s="3" t="s">
        <v>2019</v>
      </c>
      <c r="G116" s="4">
        <v>4.9000000000000004</v>
      </c>
      <c r="J116" s="8"/>
      <c r="L116" s="1" t="s">
        <v>1893</v>
      </c>
      <c r="M116" s="1" t="s">
        <v>1842</v>
      </c>
      <c r="N116" s="1" t="s">
        <v>56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2025</v>
      </c>
      <c r="D117" s="8"/>
      <c r="F117" s="3" t="s">
        <v>2021</v>
      </c>
      <c r="G117" s="4">
        <v>4.9000000000000004</v>
      </c>
      <c r="J117" s="8"/>
      <c r="L117" s="1" t="s">
        <v>1893</v>
      </c>
      <c r="M117" s="1" t="s">
        <v>1846</v>
      </c>
      <c r="N117" s="1" t="s">
        <v>56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2026</v>
      </c>
      <c r="D118" s="8"/>
      <c r="F118" s="3" t="s">
        <v>2023</v>
      </c>
      <c r="G118" s="4">
        <v>4.9000000000000004</v>
      </c>
      <c r="J118" s="8"/>
      <c r="L118" s="1" t="s">
        <v>1893</v>
      </c>
      <c r="M118" s="1" t="s">
        <v>1850</v>
      </c>
      <c r="N118" s="1" t="s">
        <v>56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2027</v>
      </c>
      <c r="D119" s="8"/>
      <c r="G119" s="8"/>
      <c r="J119" s="8"/>
      <c r="L119" s="1" t="s">
        <v>1893</v>
      </c>
      <c r="M119" s="1" t="s">
        <v>1854</v>
      </c>
      <c r="N119" s="1" t="s">
        <v>56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2028</v>
      </c>
      <c r="D120" s="8"/>
      <c r="G120" s="8"/>
      <c r="J120" s="8"/>
      <c r="L120" s="1" t="s">
        <v>1893</v>
      </c>
      <c r="M120" s="1" t="s">
        <v>1842</v>
      </c>
      <c r="N120" s="1" t="s">
        <v>1777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1893</v>
      </c>
      <c r="M121" s="1" t="s">
        <v>1846</v>
      </c>
      <c r="N121" s="1" t="s">
        <v>1777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1893</v>
      </c>
      <c r="M122" s="1" t="s">
        <v>1850</v>
      </c>
      <c r="N122" s="1" t="s">
        <v>1777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2029</v>
      </c>
      <c r="D123" s="8"/>
      <c r="G123" s="8"/>
      <c r="J123" s="8"/>
      <c r="L123" s="1" t="s">
        <v>1893</v>
      </c>
      <c r="M123" s="1" t="s">
        <v>1854</v>
      </c>
      <c r="N123" s="1" t="s">
        <v>1777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2030</v>
      </c>
      <c r="D124" s="8"/>
      <c r="G124" s="8"/>
      <c r="J124" s="8"/>
      <c r="L124" s="1" t="s">
        <v>1893</v>
      </c>
      <c r="M124" s="1" t="s">
        <v>1842</v>
      </c>
      <c r="N124" s="1" t="s">
        <v>1789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2031</v>
      </c>
      <c r="D125" s="8"/>
      <c r="G125" s="8"/>
      <c r="J125" s="8"/>
      <c r="L125" s="1" t="s">
        <v>1893</v>
      </c>
      <c r="M125" s="1" t="s">
        <v>1846</v>
      </c>
      <c r="N125" s="1" t="s">
        <v>1789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2032</v>
      </c>
      <c r="D126" s="8"/>
      <c r="G126" s="8"/>
      <c r="J126" s="8"/>
      <c r="L126" s="1" t="s">
        <v>1893</v>
      </c>
      <c r="M126" s="1" t="s">
        <v>1850</v>
      </c>
      <c r="N126" s="1" t="s">
        <v>1789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2033</v>
      </c>
      <c r="D127" s="8"/>
      <c r="G127" s="8"/>
      <c r="J127" s="8"/>
      <c r="L127" s="1" t="s">
        <v>1893</v>
      </c>
      <c r="M127" s="1" t="s">
        <v>1854</v>
      </c>
      <c r="N127" s="1" t="s">
        <v>1789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1893</v>
      </c>
      <c r="M128" s="1" t="s">
        <v>1880</v>
      </c>
      <c r="N128" s="1" t="s">
        <v>56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1893</v>
      </c>
      <c r="M129" s="1" t="s">
        <v>1883</v>
      </c>
      <c r="N129" s="1" t="s">
        <v>56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1893</v>
      </c>
      <c r="M130" s="1" t="s">
        <v>1887</v>
      </c>
      <c r="N130" s="1" t="s">
        <v>56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1893</v>
      </c>
      <c r="M131" s="1" t="s">
        <v>1880</v>
      </c>
      <c r="N131" s="1" t="s">
        <v>1777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1893</v>
      </c>
      <c r="M132" s="1" t="s">
        <v>1883</v>
      </c>
      <c r="N132" s="1" t="s">
        <v>1777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1893</v>
      </c>
      <c r="M133" s="1" t="s">
        <v>1887</v>
      </c>
      <c r="N133" s="1" t="s">
        <v>1777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1893</v>
      </c>
      <c r="M134" s="1" t="s">
        <v>1880</v>
      </c>
      <c r="N134" s="1" t="s">
        <v>1789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1893</v>
      </c>
      <c r="M135" s="1" t="s">
        <v>1883</v>
      </c>
      <c r="N135" s="1" t="s">
        <v>1789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1893</v>
      </c>
      <c r="M136" s="1" t="s">
        <v>1887</v>
      </c>
      <c r="N136" s="1" t="s">
        <v>1789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863</v>
      </c>
      <c r="M137" s="1" t="s">
        <v>1764</v>
      </c>
      <c r="N137" s="1" t="s">
        <v>56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863</v>
      </c>
      <c r="M138" s="1" t="s">
        <v>1767</v>
      </c>
      <c r="N138" s="1" t="s">
        <v>56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863</v>
      </c>
      <c r="M139" s="1" t="s">
        <v>1770</v>
      </c>
      <c r="N139" s="1" t="s">
        <v>56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863</v>
      </c>
      <c r="M140" s="1" t="s">
        <v>1773</v>
      </c>
      <c r="N140" s="1" t="s">
        <v>56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863</v>
      </c>
      <c r="M141" s="1" t="s">
        <v>1764</v>
      </c>
      <c r="N141" s="1" t="s">
        <v>1777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863</v>
      </c>
      <c r="M142" s="1" t="s">
        <v>1767</v>
      </c>
      <c r="N142" s="1" t="s">
        <v>1777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863</v>
      </c>
      <c r="M143" s="1" t="s">
        <v>1770</v>
      </c>
      <c r="N143" s="1" t="s">
        <v>1777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863</v>
      </c>
      <c r="M144" s="1" t="s">
        <v>1773</v>
      </c>
      <c r="N144" s="1" t="s">
        <v>1777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863</v>
      </c>
      <c r="M145" s="1" t="s">
        <v>1764</v>
      </c>
      <c r="N145" s="1" t="s">
        <v>1789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863</v>
      </c>
      <c r="M146" s="1" t="s">
        <v>1767</v>
      </c>
      <c r="N146" s="1" t="s">
        <v>1789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863</v>
      </c>
      <c r="M147" s="1" t="s">
        <v>1770</v>
      </c>
      <c r="N147" s="1" t="s">
        <v>1789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863</v>
      </c>
      <c r="M148" s="1" t="s">
        <v>1773</v>
      </c>
      <c r="N148" s="1" t="s">
        <v>1789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863</v>
      </c>
      <c r="M149" s="1" t="s">
        <v>1802</v>
      </c>
      <c r="N149" s="1" t="s">
        <v>56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863</v>
      </c>
      <c r="M150" s="1" t="s">
        <v>1806</v>
      </c>
      <c r="N150" s="1" t="s">
        <v>56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863</v>
      </c>
      <c r="M151" s="1" t="s">
        <v>1811</v>
      </c>
      <c r="N151" s="1" t="s">
        <v>56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863</v>
      </c>
      <c r="M152" s="1" t="s">
        <v>1814</v>
      </c>
      <c r="N152" s="1" t="s">
        <v>56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863</v>
      </c>
      <c r="M153" s="1" t="s">
        <v>1802</v>
      </c>
      <c r="N153" s="1" t="s">
        <v>1777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863</v>
      </c>
      <c r="M154" s="1" t="s">
        <v>1806</v>
      </c>
      <c r="N154" s="1" t="s">
        <v>1777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863</v>
      </c>
      <c r="M155" s="1" t="s">
        <v>1811</v>
      </c>
      <c r="N155" s="1" t="s">
        <v>1777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863</v>
      </c>
      <c r="M156" s="1" t="s">
        <v>1814</v>
      </c>
      <c r="N156" s="1" t="s">
        <v>1777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863</v>
      </c>
      <c r="M157" s="1" t="s">
        <v>1802</v>
      </c>
      <c r="N157" s="1" t="s">
        <v>1789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863</v>
      </c>
      <c r="M158" s="1" t="s">
        <v>1806</v>
      </c>
      <c r="N158" s="1" t="s">
        <v>1789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863</v>
      </c>
      <c r="M159" s="1" t="s">
        <v>1811</v>
      </c>
      <c r="N159" s="1" t="s">
        <v>1789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863</v>
      </c>
      <c r="M160" s="1" t="s">
        <v>1814</v>
      </c>
      <c r="N160" s="1" t="s">
        <v>1789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863</v>
      </c>
      <c r="M161" s="1" t="s">
        <v>1842</v>
      </c>
      <c r="N161" s="1" t="s">
        <v>56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863</v>
      </c>
      <c r="M162" s="1" t="s">
        <v>1846</v>
      </c>
      <c r="N162" s="1" t="s">
        <v>56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863</v>
      </c>
      <c r="M163" s="1" t="s">
        <v>1850</v>
      </c>
      <c r="N163" s="1" t="s">
        <v>56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863</v>
      </c>
      <c r="M164" s="1" t="s">
        <v>1854</v>
      </c>
      <c r="N164" s="1" t="s">
        <v>56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863</v>
      </c>
      <c r="M165" s="1" t="s">
        <v>1842</v>
      </c>
      <c r="N165" s="1" t="s">
        <v>1777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863</v>
      </c>
      <c r="M166" s="1" t="s">
        <v>1846</v>
      </c>
      <c r="N166" s="1" t="s">
        <v>1777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863</v>
      </c>
      <c r="M167" s="1" t="s">
        <v>1850</v>
      </c>
      <c r="N167" s="1" t="s">
        <v>1777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863</v>
      </c>
      <c r="M168" s="1" t="s">
        <v>1854</v>
      </c>
      <c r="N168" s="1" t="s">
        <v>1777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863</v>
      </c>
      <c r="M169" s="1" t="s">
        <v>1842</v>
      </c>
      <c r="N169" s="1" t="s">
        <v>1789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863</v>
      </c>
      <c r="M170" s="1" t="s">
        <v>1846</v>
      </c>
      <c r="N170" s="1" t="s">
        <v>1789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863</v>
      </c>
      <c r="M171" s="1" t="s">
        <v>1850</v>
      </c>
      <c r="N171" s="1" t="s">
        <v>1789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863</v>
      </c>
      <c r="M172" s="1" t="s">
        <v>1854</v>
      </c>
      <c r="N172" s="1" t="s">
        <v>1789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863</v>
      </c>
      <c r="M173" s="1" t="s">
        <v>1880</v>
      </c>
      <c r="N173" s="1" t="s">
        <v>56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863</v>
      </c>
      <c r="M174" s="1" t="s">
        <v>1883</v>
      </c>
      <c r="N174" s="1" t="s">
        <v>56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863</v>
      </c>
      <c r="M175" s="1" t="s">
        <v>1887</v>
      </c>
      <c r="N175" s="1" t="s">
        <v>56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863</v>
      </c>
      <c r="M176" s="1" t="s">
        <v>1880</v>
      </c>
      <c r="N176" s="1" t="s">
        <v>1777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863</v>
      </c>
      <c r="M177" s="1" t="s">
        <v>1883</v>
      </c>
      <c r="N177" s="1" t="s">
        <v>1777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863</v>
      </c>
      <c r="M178" s="1" t="s">
        <v>1887</v>
      </c>
      <c r="N178" s="1" t="s">
        <v>1777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863</v>
      </c>
      <c r="M179" s="1" t="s">
        <v>1880</v>
      </c>
      <c r="N179" s="1" t="s">
        <v>1789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863</v>
      </c>
      <c r="M180" s="1" t="s">
        <v>1883</v>
      </c>
      <c r="N180" s="1" t="s">
        <v>1789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863</v>
      </c>
      <c r="M181" s="1" t="s">
        <v>1887</v>
      </c>
      <c r="N181" s="1" t="s">
        <v>1789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1898</v>
      </c>
      <c r="M182" s="1" t="s">
        <v>1764</v>
      </c>
      <c r="N182" s="1" t="s">
        <v>56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1898</v>
      </c>
      <c r="M183" s="1" t="s">
        <v>1767</v>
      </c>
      <c r="N183" s="1" t="s">
        <v>56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1898</v>
      </c>
      <c r="M184" s="1" t="s">
        <v>1770</v>
      </c>
      <c r="N184" s="1" t="s">
        <v>56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1898</v>
      </c>
      <c r="M185" s="1" t="s">
        <v>1773</v>
      </c>
      <c r="N185" s="1" t="s">
        <v>56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1898</v>
      </c>
      <c r="M186" s="1" t="s">
        <v>1764</v>
      </c>
      <c r="N186" s="1" t="s">
        <v>1777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1898</v>
      </c>
      <c r="M187" s="1" t="s">
        <v>1767</v>
      </c>
      <c r="N187" s="1" t="s">
        <v>1777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1898</v>
      </c>
      <c r="M188" s="1" t="s">
        <v>1770</v>
      </c>
      <c r="N188" s="1" t="s">
        <v>1777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1898</v>
      </c>
      <c r="M189" s="1" t="s">
        <v>1773</v>
      </c>
      <c r="N189" s="1" t="s">
        <v>1777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1898</v>
      </c>
      <c r="M190" s="1" t="s">
        <v>1764</v>
      </c>
      <c r="N190" s="1" t="s">
        <v>1789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1898</v>
      </c>
      <c r="M191" s="1" t="s">
        <v>1767</v>
      </c>
      <c r="N191" s="1" t="s">
        <v>1789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1898</v>
      </c>
      <c r="M192" s="1" t="s">
        <v>1770</v>
      </c>
      <c r="N192" s="1" t="s">
        <v>1789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1898</v>
      </c>
      <c r="M193" s="1" t="s">
        <v>1773</v>
      </c>
      <c r="N193" s="1" t="s">
        <v>1789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1898</v>
      </c>
      <c r="M194" s="1" t="s">
        <v>1802</v>
      </c>
      <c r="N194" s="1" t="s">
        <v>56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1898</v>
      </c>
      <c r="M195" s="1" t="s">
        <v>1806</v>
      </c>
      <c r="N195" s="1" t="s">
        <v>56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1898</v>
      </c>
      <c r="M196" s="1" t="s">
        <v>1811</v>
      </c>
      <c r="N196" s="1" t="s">
        <v>56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1898</v>
      </c>
      <c r="M197" s="1" t="s">
        <v>1814</v>
      </c>
      <c r="N197" s="1" t="s">
        <v>56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1898</v>
      </c>
      <c r="M198" s="1" t="s">
        <v>1802</v>
      </c>
      <c r="N198" s="1" t="s">
        <v>1777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1898</v>
      </c>
      <c r="M199" s="1" t="s">
        <v>1806</v>
      </c>
      <c r="N199" s="1" t="s">
        <v>1777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1898</v>
      </c>
      <c r="M200" s="1" t="s">
        <v>1811</v>
      </c>
      <c r="N200" s="1" t="s">
        <v>1777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1898</v>
      </c>
      <c r="M201" s="1" t="s">
        <v>1814</v>
      </c>
      <c r="N201" s="1" t="s">
        <v>1777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1898</v>
      </c>
      <c r="M202" s="1" t="s">
        <v>1802</v>
      </c>
      <c r="N202" s="1" t="s">
        <v>1789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1898</v>
      </c>
      <c r="M203" s="1" t="s">
        <v>1806</v>
      </c>
      <c r="N203" s="1" t="s">
        <v>1789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1898</v>
      </c>
      <c r="M204" s="1" t="s">
        <v>1811</v>
      </c>
      <c r="N204" s="1" t="s">
        <v>1789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1898</v>
      </c>
      <c r="M205" s="1" t="s">
        <v>1814</v>
      </c>
      <c r="N205" s="1" t="s">
        <v>1789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1898</v>
      </c>
      <c r="M206" s="1" t="s">
        <v>1842</v>
      </c>
      <c r="N206" s="1" t="s">
        <v>56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1898</v>
      </c>
      <c r="M207" s="1" t="s">
        <v>1846</v>
      </c>
      <c r="N207" s="1" t="s">
        <v>56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1898</v>
      </c>
      <c r="M208" s="1" t="s">
        <v>1850</v>
      </c>
      <c r="N208" s="1" t="s">
        <v>56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1898</v>
      </c>
      <c r="M209" s="1" t="s">
        <v>1854</v>
      </c>
      <c r="N209" s="1" t="s">
        <v>56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1898</v>
      </c>
      <c r="M210" s="1" t="s">
        <v>1842</v>
      </c>
      <c r="N210" s="1" t="s">
        <v>1777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1898</v>
      </c>
      <c r="M211" s="1" t="s">
        <v>1846</v>
      </c>
      <c r="N211" s="1" t="s">
        <v>1777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1898</v>
      </c>
      <c r="M212" s="1" t="s">
        <v>1850</v>
      </c>
      <c r="N212" s="1" t="s">
        <v>1777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1898</v>
      </c>
      <c r="M213" s="1" t="s">
        <v>1854</v>
      </c>
      <c r="N213" s="1" t="s">
        <v>1777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1898</v>
      </c>
      <c r="M214" s="1" t="s">
        <v>1842</v>
      </c>
      <c r="N214" s="1" t="s">
        <v>1789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1898</v>
      </c>
      <c r="M215" s="1" t="s">
        <v>1846</v>
      </c>
      <c r="N215" s="1" t="s">
        <v>1789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1898</v>
      </c>
      <c r="M216" s="1" t="s">
        <v>1850</v>
      </c>
      <c r="N216" s="1" t="s">
        <v>1789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1898</v>
      </c>
      <c r="M217" s="1" t="s">
        <v>1854</v>
      </c>
      <c r="N217" s="1" t="s">
        <v>1789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1898</v>
      </c>
      <c r="M218" s="1" t="s">
        <v>1880</v>
      </c>
      <c r="N218" s="1" t="s">
        <v>56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1898</v>
      </c>
      <c r="M219" s="1" t="s">
        <v>1883</v>
      </c>
      <c r="N219" s="1" t="s">
        <v>56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1898</v>
      </c>
      <c r="M220" s="1" t="s">
        <v>1887</v>
      </c>
      <c r="N220" s="1" t="s">
        <v>56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1898</v>
      </c>
      <c r="M221" s="1" t="s">
        <v>1880</v>
      </c>
      <c r="N221" s="1" t="s">
        <v>1777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1898</v>
      </c>
      <c r="M222" s="1" t="s">
        <v>1883</v>
      </c>
      <c r="N222" s="1" t="s">
        <v>1777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1898</v>
      </c>
      <c r="M223" s="1" t="s">
        <v>1887</v>
      </c>
      <c r="N223" s="1" t="s">
        <v>1777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1898</v>
      </c>
      <c r="M224" s="1" t="s">
        <v>1880</v>
      </c>
      <c r="N224" s="1" t="s">
        <v>1789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1898</v>
      </c>
      <c r="M225" s="1" t="s">
        <v>1883</v>
      </c>
      <c r="N225" s="1" t="s">
        <v>1789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1898</v>
      </c>
      <c r="M226" s="1" t="s">
        <v>1887</v>
      </c>
      <c r="N226" s="1" t="s">
        <v>1789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1901</v>
      </c>
      <c r="M227" s="1" t="s">
        <v>1764</v>
      </c>
      <c r="N227" s="1" t="s">
        <v>56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1901</v>
      </c>
      <c r="M228" s="1" t="s">
        <v>1767</v>
      </c>
      <c r="N228" s="1" t="s">
        <v>56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1901</v>
      </c>
      <c r="M229" s="1" t="s">
        <v>1770</v>
      </c>
      <c r="N229" s="1" t="s">
        <v>56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1901</v>
      </c>
      <c r="M230" s="1" t="s">
        <v>1773</v>
      </c>
      <c r="N230" s="1" t="s">
        <v>56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1901</v>
      </c>
      <c r="M231" s="1" t="s">
        <v>1764</v>
      </c>
      <c r="N231" s="1" t="s">
        <v>1777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1901</v>
      </c>
      <c r="M232" s="1" t="s">
        <v>1767</v>
      </c>
      <c r="N232" s="1" t="s">
        <v>1777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1901</v>
      </c>
      <c r="M233" s="1" t="s">
        <v>1770</v>
      </c>
      <c r="N233" s="1" t="s">
        <v>1777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1901</v>
      </c>
      <c r="M234" s="1" t="s">
        <v>1773</v>
      </c>
      <c r="N234" s="1" t="s">
        <v>1777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1901</v>
      </c>
      <c r="M235" s="1" t="s">
        <v>1764</v>
      </c>
      <c r="N235" s="1" t="s">
        <v>1789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1901</v>
      </c>
      <c r="M236" s="1" t="s">
        <v>1767</v>
      </c>
      <c r="N236" s="1" t="s">
        <v>1789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1901</v>
      </c>
      <c r="M237" s="1" t="s">
        <v>1770</v>
      </c>
      <c r="N237" s="1" t="s">
        <v>1789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1901</v>
      </c>
      <c r="M238" s="1" t="s">
        <v>1773</v>
      </c>
      <c r="N238" s="1" t="s">
        <v>1789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1901</v>
      </c>
      <c r="M239" s="1" t="s">
        <v>1802</v>
      </c>
      <c r="N239" s="1" t="s">
        <v>56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1901</v>
      </c>
      <c r="M240" s="1" t="s">
        <v>1806</v>
      </c>
      <c r="N240" s="1" t="s">
        <v>56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1901</v>
      </c>
      <c r="M241" s="1" t="s">
        <v>1811</v>
      </c>
      <c r="N241" s="1" t="s">
        <v>56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1901</v>
      </c>
      <c r="M242" s="1" t="s">
        <v>1814</v>
      </c>
      <c r="N242" s="1" t="s">
        <v>56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1901</v>
      </c>
      <c r="M243" s="1" t="s">
        <v>1802</v>
      </c>
      <c r="N243" s="1" t="s">
        <v>1777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1901</v>
      </c>
      <c r="M244" s="1" t="s">
        <v>1806</v>
      </c>
      <c r="N244" s="1" t="s">
        <v>1777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1901</v>
      </c>
      <c r="M245" s="1" t="s">
        <v>1811</v>
      </c>
      <c r="N245" s="1" t="s">
        <v>1777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1901</v>
      </c>
      <c r="M246" s="1" t="s">
        <v>1814</v>
      </c>
      <c r="N246" s="1" t="s">
        <v>1777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1901</v>
      </c>
      <c r="M247" s="1" t="s">
        <v>1802</v>
      </c>
      <c r="N247" s="1" t="s">
        <v>1789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1901</v>
      </c>
      <c r="M248" s="1" t="s">
        <v>1806</v>
      </c>
      <c r="N248" s="1" t="s">
        <v>1789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1901</v>
      </c>
      <c r="M249" s="1" t="s">
        <v>1811</v>
      </c>
      <c r="N249" s="1" t="s">
        <v>1789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1901</v>
      </c>
      <c r="M250" s="1" t="s">
        <v>1814</v>
      </c>
      <c r="N250" s="1" t="s">
        <v>1789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1901</v>
      </c>
      <c r="M251" s="1" t="s">
        <v>1842</v>
      </c>
      <c r="N251" s="1" t="s">
        <v>56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1901</v>
      </c>
      <c r="M252" s="1" t="s">
        <v>1846</v>
      </c>
      <c r="N252" s="1" t="s">
        <v>56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1901</v>
      </c>
      <c r="M253" s="1" t="s">
        <v>1850</v>
      </c>
      <c r="N253" s="1" t="s">
        <v>56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1901</v>
      </c>
      <c r="M254" s="1" t="s">
        <v>1854</v>
      </c>
      <c r="N254" s="1" t="s">
        <v>56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1901</v>
      </c>
      <c r="M255" s="1" t="s">
        <v>1842</v>
      </c>
      <c r="N255" s="1" t="s">
        <v>1777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1901</v>
      </c>
      <c r="M256" s="1" t="s">
        <v>1846</v>
      </c>
      <c r="N256" s="1" t="s">
        <v>1777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1901</v>
      </c>
      <c r="M257" s="1" t="s">
        <v>1850</v>
      </c>
      <c r="N257" s="1" t="s">
        <v>1777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1901</v>
      </c>
      <c r="M258" s="1" t="s">
        <v>1854</v>
      </c>
      <c r="N258" s="1" t="s">
        <v>1777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1901</v>
      </c>
      <c r="M259" s="1" t="s">
        <v>1842</v>
      </c>
      <c r="N259" s="1" t="s">
        <v>1789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1901</v>
      </c>
      <c r="M260" s="1" t="s">
        <v>1846</v>
      </c>
      <c r="N260" s="1" t="s">
        <v>1789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1901</v>
      </c>
      <c r="M261" s="1" t="s">
        <v>1850</v>
      </c>
      <c r="N261" s="1" t="s">
        <v>1789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1901</v>
      </c>
      <c r="M262" s="1" t="s">
        <v>1854</v>
      </c>
      <c r="N262" s="1" t="s">
        <v>1789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1901</v>
      </c>
      <c r="M263" s="1" t="s">
        <v>1880</v>
      </c>
      <c r="N263" s="1" t="s">
        <v>56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1901</v>
      </c>
      <c r="M264" s="1" t="s">
        <v>1883</v>
      </c>
      <c r="N264" s="1" t="s">
        <v>56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1901</v>
      </c>
      <c r="M265" s="1" t="s">
        <v>1887</v>
      </c>
      <c r="N265" s="1" t="s">
        <v>56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1901</v>
      </c>
      <c r="M266" s="1" t="s">
        <v>1880</v>
      </c>
      <c r="N266" s="1" t="s">
        <v>1777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1901</v>
      </c>
      <c r="M267" s="1" t="s">
        <v>1883</v>
      </c>
      <c r="N267" s="1" t="s">
        <v>1777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1901</v>
      </c>
      <c r="M268" s="1" t="s">
        <v>1887</v>
      </c>
      <c r="N268" s="1" t="s">
        <v>1777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1901</v>
      </c>
      <c r="M269" s="1" t="s">
        <v>1880</v>
      </c>
      <c r="N269" s="1" t="s">
        <v>1789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1901</v>
      </c>
      <c r="M270" s="1" t="s">
        <v>1883</v>
      </c>
      <c r="N270" s="1" t="s">
        <v>1789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1901</v>
      </c>
      <c r="M271" s="1" t="s">
        <v>1887</v>
      </c>
      <c r="N271" s="1" t="s">
        <v>1789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1904</v>
      </c>
      <c r="M272" s="1" t="s">
        <v>1764</v>
      </c>
      <c r="N272" s="1" t="s">
        <v>56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1904</v>
      </c>
      <c r="M273" s="1" t="s">
        <v>1767</v>
      </c>
      <c r="N273" s="1" t="s">
        <v>56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1904</v>
      </c>
      <c r="M274" s="1" t="s">
        <v>1770</v>
      </c>
      <c r="N274" s="1" t="s">
        <v>56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1904</v>
      </c>
      <c r="M275" s="1" t="s">
        <v>1773</v>
      </c>
      <c r="N275" s="1" t="s">
        <v>56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1904</v>
      </c>
      <c r="M276" s="1" t="s">
        <v>1764</v>
      </c>
      <c r="N276" s="1" t="s">
        <v>1777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1904</v>
      </c>
      <c r="M277" s="1" t="s">
        <v>1767</v>
      </c>
      <c r="N277" s="1" t="s">
        <v>1777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1904</v>
      </c>
      <c r="M278" s="1" t="s">
        <v>1770</v>
      </c>
      <c r="N278" s="1" t="s">
        <v>1777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1904</v>
      </c>
      <c r="M279" s="1" t="s">
        <v>1773</v>
      </c>
      <c r="N279" s="1" t="s">
        <v>1777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1904</v>
      </c>
      <c r="M280" s="1" t="s">
        <v>1764</v>
      </c>
      <c r="N280" s="1" t="s">
        <v>1789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1904</v>
      </c>
      <c r="M281" s="1" t="s">
        <v>1767</v>
      </c>
      <c r="N281" s="1" t="s">
        <v>1789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1904</v>
      </c>
      <c r="M282" s="1" t="s">
        <v>1770</v>
      </c>
      <c r="N282" s="1" t="s">
        <v>1789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1904</v>
      </c>
      <c r="M283" s="1" t="s">
        <v>1773</v>
      </c>
      <c r="N283" s="1" t="s">
        <v>1789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1904</v>
      </c>
      <c r="M284" s="1" t="s">
        <v>1802</v>
      </c>
      <c r="N284" s="1" t="s">
        <v>56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1904</v>
      </c>
      <c r="M285" s="1" t="s">
        <v>1806</v>
      </c>
      <c r="N285" s="1" t="s">
        <v>56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1904</v>
      </c>
      <c r="M286" s="1" t="s">
        <v>1811</v>
      </c>
      <c r="N286" s="1" t="s">
        <v>56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1904</v>
      </c>
      <c r="M287" s="1" t="s">
        <v>1814</v>
      </c>
      <c r="N287" s="1" t="s">
        <v>56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1904</v>
      </c>
      <c r="M288" s="1" t="s">
        <v>1802</v>
      </c>
      <c r="N288" s="1" t="s">
        <v>1777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1904</v>
      </c>
      <c r="M289" s="1" t="s">
        <v>1806</v>
      </c>
      <c r="N289" s="1" t="s">
        <v>1777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1904</v>
      </c>
      <c r="M290" s="1" t="s">
        <v>1811</v>
      </c>
      <c r="N290" s="1" t="s">
        <v>1777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1904</v>
      </c>
      <c r="M291" s="1" t="s">
        <v>1814</v>
      </c>
      <c r="N291" s="1" t="s">
        <v>1777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1904</v>
      </c>
      <c r="M292" s="1" t="s">
        <v>1802</v>
      </c>
      <c r="N292" s="1" t="s">
        <v>1789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1904</v>
      </c>
      <c r="M293" s="1" t="s">
        <v>1806</v>
      </c>
      <c r="N293" s="1" t="s">
        <v>1789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1904</v>
      </c>
      <c r="M294" s="1" t="s">
        <v>1811</v>
      </c>
      <c r="N294" s="1" t="s">
        <v>1789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1904</v>
      </c>
      <c r="M295" s="1" t="s">
        <v>1814</v>
      </c>
      <c r="N295" s="1" t="s">
        <v>1789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1904</v>
      </c>
      <c r="M296" s="1" t="s">
        <v>1842</v>
      </c>
      <c r="N296" s="1" t="s">
        <v>56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1904</v>
      </c>
      <c r="M297" s="1" t="s">
        <v>1846</v>
      </c>
      <c r="N297" s="1" t="s">
        <v>56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1904</v>
      </c>
      <c r="M298" s="1" t="s">
        <v>1850</v>
      </c>
      <c r="N298" s="1" t="s">
        <v>56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1904</v>
      </c>
      <c r="M299" s="1" t="s">
        <v>1854</v>
      </c>
      <c r="N299" s="1" t="s">
        <v>56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1904</v>
      </c>
      <c r="M300" s="1" t="s">
        <v>1842</v>
      </c>
      <c r="N300" s="1" t="s">
        <v>1777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1904</v>
      </c>
      <c r="M301" s="1" t="s">
        <v>1846</v>
      </c>
      <c r="N301" s="1" t="s">
        <v>1777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1904</v>
      </c>
      <c r="M302" s="1" t="s">
        <v>1850</v>
      </c>
      <c r="N302" s="1" t="s">
        <v>1777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1904</v>
      </c>
      <c r="M303" s="1" t="s">
        <v>1854</v>
      </c>
      <c r="N303" s="1" t="s">
        <v>1777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1904</v>
      </c>
      <c r="M304" s="1" t="s">
        <v>1842</v>
      </c>
      <c r="N304" s="1" t="s">
        <v>1789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1904</v>
      </c>
      <c r="M305" s="1" t="s">
        <v>1846</v>
      </c>
      <c r="N305" s="1" t="s">
        <v>1789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1904</v>
      </c>
      <c r="M306" s="1" t="s">
        <v>1850</v>
      </c>
      <c r="N306" s="1" t="s">
        <v>1789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1904</v>
      </c>
      <c r="M307" s="1" t="s">
        <v>1854</v>
      </c>
      <c r="N307" s="1" t="s">
        <v>1789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1904</v>
      </c>
      <c r="M308" s="1" t="s">
        <v>1880</v>
      </c>
      <c r="N308" s="1" t="s">
        <v>56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1904</v>
      </c>
      <c r="M309" s="1" t="s">
        <v>1883</v>
      </c>
      <c r="N309" s="1" t="s">
        <v>56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1904</v>
      </c>
      <c r="M310" s="1" t="s">
        <v>1887</v>
      </c>
      <c r="N310" s="1" t="s">
        <v>56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1904</v>
      </c>
      <c r="M311" s="1" t="s">
        <v>1880</v>
      </c>
      <c r="N311" s="1" t="s">
        <v>1777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1904</v>
      </c>
      <c r="M312" s="1" t="s">
        <v>1883</v>
      </c>
      <c r="N312" s="1" t="s">
        <v>1777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1904</v>
      </c>
      <c r="M313" s="1" t="s">
        <v>1887</v>
      </c>
      <c r="N313" s="1" t="s">
        <v>1777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1904</v>
      </c>
      <c r="M314" s="1" t="s">
        <v>1880</v>
      </c>
      <c r="N314" s="1" t="s">
        <v>1789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1904</v>
      </c>
      <c r="M315" s="1" t="s">
        <v>1883</v>
      </c>
      <c r="N315" s="1" t="s">
        <v>1789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1904</v>
      </c>
      <c r="M316" s="1" t="s">
        <v>1887</v>
      </c>
      <c r="N316" s="1" t="s">
        <v>1789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1907</v>
      </c>
      <c r="M317" s="1" t="s">
        <v>1764</v>
      </c>
      <c r="N317" s="1" t="s">
        <v>56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1907</v>
      </c>
      <c r="M318" s="1" t="s">
        <v>1767</v>
      </c>
      <c r="N318" s="1" t="s">
        <v>56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1907</v>
      </c>
      <c r="M319" s="1" t="s">
        <v>1770</v>
      </c>
      <c r="N319" s="1" t="s">
        <v>56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1907</v>
      </c>
      <c r="M320" s="1" t="s">
        <v>1773</v>
      </c>
      <c r="N320" s="1" t="s">
        <v>56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1907</v>
      </c>
      <c r="M321" s="1" t="s">
        <v>1764</v>
      </c>
      <c r="N321" s="1" t="s">
        <v>1777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1907</v>
      </c>
      <c r="M322" s="1" t="s">
        <v>1767</v>
      </c>
      <c r="N322" s="1" t="s">
        <v>1777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1907</v>
      </c>
      <c r="M323" s="1" t="s">
        <v>1770</v>
      </c>
      <c r="N323" s="1" t="s">
        <v>1777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1907</v>
      </c>
      <c r="M324" s="1" t="s">
        <v>1773</v>
      </c>
      <c r="N324" s="1" t="s">
        <v>1777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1907</v>
      </c>
      <c r="M325" s="1" t="s">
        <v>1764</v>
      </c>
      <c r="N325" s="1" t="s">
        <v>1789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1907</v>
      </c>
      <c r="M326" s="1" t="s">
        <v>1767</v>
      </c>
      <c r="N326" s="1" t="s">
        <v>1789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1907</v>
      </c>
      <c r="M327" s="1" t="s">
        <v>1770</v>
      </c>
      <c r="N327" s="1" t="s">
        <v>1789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1907</v>
      </c>
      <c r="M328" s="1" t="s">
        <v>1773</v>
      </c>
      <c r="N328" s="1" t="s">
        <v>1789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1907</v>
      </c>
      <c r="M329" s="1" t="s">
        <v>1802</v>
      </c>
      <c r="N329" s="1" t="s">
        <v>56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1907</v>
      </c>
      <c r="M330" s="1" t="s">
        <v>1806</v>
      </c>
      <c r="N330" s="1" t="s">
        <v>56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1907</v>
      </c>
      <c r="M331" s="1" t="s">
        <v>1811</v>
      </c>
      <c r="N331" s="1" t="s">
        <v>56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1907</v>
      </c>
      <c r="M332" s="1" t="s">
        <v>1814</v>
      </c>
      <c r="N332" s="1" t="s">
        <v>56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1907</v>
      </c>
      <c r="M333" s="1" t="s">
        <v>1802</v>
      </c>
      <c r="N333" s="1" t="s">
        <v>1777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1907</v>
      </c>
      <c r="M334" s="1" t="s">
        <v>1806</v>
      </c>
      <c r="N334" s="1" t="s">
        <v>1777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1907</v>
      </c>
      <c r="M335" s="1" t="s">
        <v>1811</v>
      </c>
      <c r="N335" s="1" t="s">
        <v>1777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1907</v>
      </c>
      <c r="M336" s="1" t="s">
        <v>1814</v>
      </c>
      <c r="N336" s="1" t="s">
        <v>1777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1907</v>
      </c>
      <c r="M337" s="1" t="s">
        <v>1802</v>
      </c>
      <c r="N337" s="1" t="s">
        <v>1789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1907</v>
      </c>
      <c r="M338" s="1" t="s">
        <v>1806</v>
      </c>
      <c r="N338" s="1" t="s">
        <v>1789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1907</v>
      </c>
      <c r="M339" s="1" t="s">
        <v>1811</v>
      </c>
      <c r="N339" s="1" t="s">
        <v>1789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1907</v>
      </c>
      <c r="M340" s="1" t="s">
        <v>1814</v>
      </c>
      <c r="N340" s="1" t="s">
        <v>1789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1907</v>
      </c>
      <c r="M341" s="1" t="s">
        <v>1842</v>
      </c>
      <c r="N341" s="1" t="s">
        <v>56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1907</v>
      </c>
      <c r="M342" s="1" t="s">
        <v>1846</v>
      </c>
      <c r="N342" s="1" t="s">
        <v>56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1907</v>
      </c>
      <c r="M343" s="1" t="s">
        <v>1850</v>
      </c>
      <c r="N343" s="1" t="s">
        <v>56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1907</v>
      </c>
      <c r="M344" s="1" t="s">
        <v>1854</v>
      </c>
      <c r="N344" s="1" t="s">
        <v>56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1907</v>
      </c>
      <c r="M345" s="1" t="s">
        <v>1842</v>
      </c>
      <c r="N345" s="1" t="s">
        <v>1777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1907</v>
      </c>
      <c r="M346" s="1" t="s">
        <v>1846</v>
      </c>
      <c r="N346" s="1" t="s">
        <v>1777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1907</v>
      </c>
      <c r="M347" s="1" t="s">
        <v>1850</v>
      </c>
      <c r="N347" s="1" t="s">
        <v>1777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1907</v>
      </c>
      <c r="M348" s="1" t="s">
        <v>1854</v>
      </c>
      <c r="N348" s="1" t="s">
        <v>1777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1907</v>
      </c>
      <c r="M349" s="1" t="s">
        <v>1842</v>
      </c>
      <c r="N349" s="1" t="s">
        <v>1789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1907</v>
      </c>
      <c r="M350" s="1" t="s">
        <v>1846</v>
      </c>
      <c r="N350" s="1" t="s">
        <v>1789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1907</v>
      </c>
      <c r="M351" s="1" t="s">
        <v>1850</v>
      </c>
      <c r="N351" s="1" t="s">
        <v>1789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1907</v>
      </c>
      <c r="M352" s="1" t="s">
        <v>1854</v>
      </c>
      <c r="N352" s="1" t="s">
        <v>1789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1907</v>
      </c>
      <c r="M353" s="1" t="s">
        <v>1880</v>
      </c>
      <c r="N353" s="1" t="s">
        <v>56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1907</v>
      </c>
      <c r="M354" s="1" t="s">
        <v>1883</v>
      </c>
      <c r="N354" s="1" t="s">
        <v>56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1907</v>
      </c>
      <c r="M355" s="1" t="s">
        <v>1887</v>
      </c>
      <c r="N355" s="1" t="s">
        <v>56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1907</v>
      </c>
      <c r="M356" s="1" t="s">
        <v>1880</v>
      </c>
      <c r="N356" s="1" t="s">
        <v>1777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1907</v>
      </c>
      <c r="M357" s="1" t="s">
        <v>1883</v>
      </c>
      <c r="N357" s="1" t="s">
        <v>1777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1907</v>
      </c>
      <c r="M358" s="1" t="s">
        <v>1887</v>
      </c>
      <c r="N358" s="1" t="s">
        <v>1777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1907</v>
      </c>
      <c r="M359" s="1" t="s">
        <v>1880</v>
      </c>
      <c r="N359" s="1" t="s">
        <v>1789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1907</v>
      </c>
      <c r="M360" s="1" t="s">
        <v>1883</v>
      </c>
      <c r="N360" s="1" t="s">
        <v>1789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1907</v>
      </c>
      <c r="M361" s="1" t="s">
        <v>1887</v>
      </c>
      <c r="N361" s="1" t="s">
        <v>1789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1910</v>
      </c>
      <c r="M362" s="1" t="s">
        <v>1764</v>
      </c>
      <c r="N362" s="1" t="s">
        <v>56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1910</v>
      </c>
      <c r="M363" s="1" t="s">
        <v>1767</v>
      </c>
      <c r="N363" s="1" t="s">
        <v>56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1910</v>
      </c>
      <c r="M364" s="1" t="s">
        <v>1770</v>
      </c>
      <c r="N364" s="1" t="s">
        <v>56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1910</v>
      </c>
      <c r="M365" s="1" t="s">
        <v>1773</v>
      </c>
      <c r="N365" s="1" t="s">
        <v>56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1910</v>
      </c>
      <c r="M366" s="1" t="s">
        <v>1764</v>
      </c>
      <c r="N366" s="1" t="s">
        <v>1777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1910</v>
      </c>
      <c r="M367" s="1" t="s">
        <v>1767</v>
      </c>
      <c r="N367" s="1" t="s">
        <v>1777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1910</v>
      </c>
      <c r="M368" s="1" t="s">
        <v>1770</v>
      </c>
      <c r="N368" s="1" t="s">
        <v>1777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1910</v>
      </c>
      <c r="M369" s="1" t="s">
        <v>1773</v>
      </c>
      <c r="N369" s="1" t="s">
        <v>1777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1910</v>
      </c>
      <c r="M370" s="1" t="s">
        <v>1764</v>
      </c>
      <c r="N370" s="1" t="s">
        <v>1789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1910</v>
      </c>
      <c r="M371" s="1" t="s">
        <v>1767</v>
      </c>
      <c r="N371" s="1" t="s">
        <v>1789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1910</v>
      </c>
      <c r="M372" s="1" t="s">
        <v>1770</v>
      </c>
      <c r="N372" s="1" t="s">
        <v>1789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1910</v>
      </c>
      <c r="M373" s="1" t="s">
        <v>1773</v>
      </c>
      <c r="N373" s="1" t="s">
        <v>1789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1910</v>
      </c>
      <c r="M374" s="1" t="s">
        <v>1802</v>
      </c>
      <c r="N374" s="1" t="s">
        <v>56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1910</v>
      </c>
      <c r="M375" s="1" t="s">
        <v>1806</v>
      </c>
      <c r="N375" s="1" t="s">
        <v>56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1910</v>
      </c>
      <c r="M376" s="1" t="s">
        <v>1811</v>
      </c>
      <c r="N376" s="1" t="s">
        <v>56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1910</v>
      </c>
      <c r="M377" s="1" t="s">
        <v>1814</v>
      </c>
      <c r="N377" s="1" t="s">
        <v>56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1910</v>
      </c>
      <c r="M378" s="1" t="s">
        <v>1802</v>
      </c>
      <c r="N378" s="1" t="s">
        <v>1777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1910</v>
      </c>
      <c r="M379" s="1" t="s">
        <v>1806</v>
      </c>
      <c r="N379" s="1" t="s">
        <v>1777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1910</v>
      </c>
      <c r="M380" s="1" t="s">
        <v>1811</v>
      </c>
      <c r="N380" s="1" t="s">
        <v>1777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1910</v>
      </c>
      <c r="M381" s="1" t="s">
        <v>1814</v>
      </c>
      <c r="N381" s="1" t="s">
        <v>1777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1910</v>
      </c>
      <c r="M382" s="1" t="s">
        <v>1802</v>
      </c>
      <c r="N382" s="1" t="s">
        <v>1789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1910</v>
      </c>
      <c r="M383" s="1" t="s">
        <v>1806</v>
      </c>
      <c r="N383" s="1" t="s">
        <v>1789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1910</v>
      </c>
      <c r="M384" s="1" t="s">
        <v>1811</v>
      </c>
      <c r="N384" s="1" t="s">
        <v>1789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1910</v>
      </c>
      <c r="M385" s="1" t="s">
        <v>1814</v>
      </c>
      <c r="N385" s="1" t="s">
        <v>1789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1910</v>
      </c>
      <c r="M386" s="1" t="s">
        <v>1842</v>
      </c>
      <c r="N386" s="1" t="s">
        <v>56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1910</v>
      </c>
      <c r="M387" s="1" t="s">
        <v>1846</v>
      </c>
      <c r="N387" s="1" t="s">
        <v>56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1910</v>
      </c>
      <c r="M388" s="1" t="s">
        <v>1850</v>
      </c>
      <c r="N388" s="1" t="s">
        <v>56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1910</v>
      </c>
      <c r="M389" s="1" t="s">
        <v>1854</v>
      </c>
      <c r="N389" s="1" t="s">
        <v>56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1910</v>
      </c>
      <c r="M390" s="1" t="s">
        <v>1842</v>
      </c>
      <c r="N390" s="1" t="s">
        <v>1777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1910</v>
      </c>
      <c r="M391" s="1" t="s">
        <v>1846</v>
      </c>
      <c r="N391" s="1" t="s">
        <v>1777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1910</v>
      </c>
      <c r="M392" s="1" t="s">
        <v>1850</v>
      </c>
      <c r="N392" s="1" t="s">
        <v>1777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1910</v>
      </c>
      <c r="M393" s="1" t="s">
        <v>1854</v>
      </c>
      <c r="N393" s="1" t="s">
        <v>1777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1910</v>
      </c>
      <c r="M394" s="1" t="s">
        <v>1842</v>
      </c>
      <c r="N394" s="1" t="s">
        <v>1789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1910</v>
      </c>
      <c r="M395" s="1" t="s">
        <v>1846</v>
      </c>
      <c r="N395" s="1" t="s">
        <v>1789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1910</v>
      </c>
      <c r="M396" s="1" t="s">
        <v>1850</v>
      </c>
      <c r="N396" s="1" t="s">
        <v>1789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1910</v>
      </c>
      <c r="M397" s="1" t="s">
        <v>1854</v>
      </c>
      <c r="N397" s="1" t="s">
        <v>1789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1910</v>
      </c>
      <c r="M398" s="1" t="s">
        <v>1880</v>
      </c>
      <c r="N398" s="1" t="s">
        <v>56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1910</v>
      </c>
      <c r="M399" s="1" t="s">
        <v>1883</v>
      </c>
      <c r="N399" s="1" t="s">
        <v>56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1910</v>
      </c>
      <c r="M400" s="1" t="s">
        <v>1887</v>
      </c>
      <c r="N400" s="1" t="s">
        <v>56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1910</v>
      </c>
      <c r="M401" s="1" t="s">
        <v>1880</v>
      </c>
      <c r="N401" s="1" t="s">
        <v>1777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1910</v>
      </c>
      <c r="M402" s="1" t="s">
        <v>1883</v>
      </c>
      <c r="N402" s="1" t="s">
        <v>1777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1910</v>
      </c>
      <c r="M403" s="1" t="s">
        <v>1887</v>
      </c>
      <c r="N403" s="1" t="s">
        <v>1777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1910</v>
      </c>
      <c r="M404" s="1" t="s">
        <v>1880</v>
      </c>
      <c r="N404" s="1" t="s">
        <v>1789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1910</v>
      </c>
      <c r="M405" s="1" t="s">
        <v>1883</v>
      </c>
      <c r="N405" s="1" t="s">
        <v>1789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1910</v>
      </c>
      <c r="M406" s="1" t="s">
        <v>1887</v>
      </c>
      <c r="N406" s="1" t="s">
        <v>1789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1913</v>
      </c>
      <c r="M407" s="1" t="s">
        <v>1764</v>
      </c>
      <c r="N407" s="1" t="s">
        <v>56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1913</v>
      </c>
      <c r="M408" s="1" t="s">
        <v>1767</v>
      </c>
      <c r="N408" s="1" t="s">
        <v>56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1913</v>
      </c>
      <c r="M409" s="1" t="s">
        <v>1770</v>
      </c>
      <c r="N409" s="1" t="s">
        <v>56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1913</v>
      </c>
      <c r="M410" s="1" t="s">
        <v>1773</v>
      </c>
      <c r="N410" s="1" t="s">
        <v>56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1913</v>
      </c>
      <c r="M411" s="1" t="s">
        <v>1764</v>
      </c>
      <c r="N411" s="1" t="s">
        <v>1777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1913</v>
      </c>
      <c r="M412" s="1" t="s">
        <v>1767</v>
      </c>
      <c r="N412" s="1" t="s">
        <v>1777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1913</v>
      </c>
      <c r="M413" s="1" t="s">
        <v>1770</v>
      </c>
      <c r="N413" s="1" t="s">
        <v>1777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1913</v>
      </c>
      <c r="M414" s="1" t="s">
        <v>1773</v>
      </c>
      <c r="N414" s="1" t="s">
        <v>1777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1913</v>
      </c>
      <c r="M415" s="1" t="s">
        <v>1764</v>
      </c>
      <c r="N415" s="1" t="s">
        <v>1789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1913</v>
      </c>
      <c r="M416" s="1" t="s">
        <v>1767</v>
      </c>
      <c r="N416" s="1" t="s">
        <v>1789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1913</v>
      </c>
      <c r="M417" s="1" t="s">
        <v>1770</v>
      </c>
      <c r="N417" s="1" t="s">
        <v>1789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1913</v>
      </c>
      <c r="M418" s="1" t="s">
        <v>1773</v>
      </c>
      <c r="N418" s="1" t="s">
        <v>1789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1913</v>
      </c>
      <c r="M419" s="1" t="s">
        <v>1802</v>
      </c>
      <c r="N419" s="1" t="s">
        <v>56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1913</v>
      </c>
      <c r="M420" s="1" t="s">
        <v>1806</v>
      </c>
      <c r="N420" s="1" t="s">
        <v>56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1913</v>
      </c>
      <c r="M421" s="1" t="s">
        <v>1811</v>
      </c>
      <c r="N421" s="1" t="s">
        <v>56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1913</v>
      </c>
      <c r="M422" s="1" t="s">
        <v>1814</v>
      </c>
      <c r="N422" s="1" t="s">
        <v>56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1913</v>
      </c>
      <c r="M423" s="1" t="s">
        <v>1802</v>
      </c>
      <c r="N423" s="1" t="s">
        <v>1777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1913</v>
      </c>
      <c r="M424" s="1" t="s">
        <v>1806</v>
      </c>
      <c r="N424" s="1" t="s">
        <v>1777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1913</v>
      </c>
      <c r="M425" s="1" t="s">
        <v>1811</v>
      </c>
      <c r="N425" s="1" t="s">
        <v>1777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1913</v>
      </c>
      <c r="M426" s="1" t="s">
        <v>1814</v>
      </c>
      <c r="N426" s="1" t="s">
        <v>1777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1913</v>
      </c>
      <c r="M427" s="1" t="s">
        <v>1802</v>
      </c>
      <c r="N427" s="1" t="s">
        <v>1789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1913</v>
      </c>
      <c r="M428" s="1" t="s">
        <v>1806</v>
      </c>
      <c r="N428" s="1" t="s">
        <v>1789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1913</v>
      </c>
      <c r="M429" s="1" t="s">
        <v>1811</v>
      </c>
      <c r="N429" s="1" t="s">
        <v>1789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1913</v>
      </c>
      <c r="M430" s="1" t="s">
        <v>1814</v>
      </c>
      <c r="N430" s="1" t="s">
        <v>1789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1913</v>
      </c>
      <c r="M431" s="1" t="s">
        <v>1842</v>
      </c>
      <c r="N431" s="1" t="s">
        <v>56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1913</v>
      </c>
      <c r="M432" s="1" t="s">
        <v>1846</v>
      </c>
      <c r="N432" s="1" t="s">
        <v>56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1913</v>
      </c>
      <c r="M433" s="1" t="s">
        <v>1850</v>
      </c>
      <c r="N433" s="1" t="s">
        <v>56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1913</v>
      </c>
      <c r="M434" s="1" t="s">
        <v>1854</v>
      </c>
      <c r="N434" s="1" t="s">
        <v>56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1913</v>
      </c>
      <c r="M435" s="1" t="s">
        <v>1842</v>
      </c>
      <c r="N435" s="1" t="s">
        <v>1777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1913</v>
      </c>
      <c r="M436" s="1" t="s">
        <v>1846</v>
      </c>
      <c r="N436" s="1" t="s">
        <v>1777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1913</v>
      </c>
      <c r="M437" s="1" t="s">
        <v>1850</v>
      </c>
      <c r="N437" s="1" t="s">
        <v>1777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1913</v>
      </c>
      <c r="M438" s="1" t="s">
        <v>1854</v>
      </c>
      <c r="N438" s="1" t="s">
        <v>1777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1913</v>
      </c>
      <c r="M439" s="1" t="s">
        <v>1842</v>
      </c>
      <c r="N439" s="1" t="s">
        <v>1789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1913</v>
      </c>
      <c r="M440" s="1" t="s">
        <v>1846</v>
      </c>
      <c r="N440" s="1" t="s">
        <v>1789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1913</v>
      </c>
      <c r="M441" s="1" t="s">
        <v>1850</v>
      </c>
      <c r="N441" s="1" t="s">
        <v>1789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1913</v>
      </c>
      <c r="M442" s="1" t="s">
        <v>1854</v>
      </c>
      <c r="N442" s="1" t="s">
        <v>1789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1913</v>
      </c>
      <c r="M443" s="1" t="s">
        <v>1880</v>
      </c>
      <c r="N443" s="1" t="s">
        <v>56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1913</v>
      </c>
      <c r="M444" s="1" t="s">
        <v>1883</v>
      </c>
      <c r="N444" s="1" t="s">
        <v>56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1913</v>
      </c>
      <c r="M445" s="1" t="s">
        <v>1887</v>
      </c>
      <c r="N445" s="1" t="s">
        <v>56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1913</v>
      </c>
      <c r="M446" s="1" t="s">
        <v>1880</v>
      </c>
      <c r="N446" s="1" t="s">
        <v>1777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1913</v>
      </c>
      <c r="M447" s="1" t="s">
        <v>1883</v>
      </c>
      <c r="N447" s="1" t="s">
        <v>1777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1913</v>
      </c>
      <c r="M448" s="1" t="s">
        <v>1887</v>
      </c>
      <c r="N448" s="1" t="s">
        <v>1777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1913</v>
      </c>
      <c r="M449" s="1" t="s">
        <v>1880</v>
      </c>
      <c r="N449" s="1" t="s">
        <v>1789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1913</v>
      </c>
      <c r="M450" s="1" t="s">
        <v>1883</v>
      </c>
      <c r="N450" s="1" t="s">
        <v>1789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1913</v>
      </c>
      <c r="M451" s="1" t="s">
        <v>1887</v>
      </c>
      <c r="N451" s="1" t="s">
        <v>1789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1916</v>
      </c>
      <c r="M452" s="1" t="s">
        <v>1764</v>
      </c>
      <c r="N452" s="1" t="s">
        <v>56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1916</v>
      </c>
      <c r="M453" s="1" t="s">
        <v>1767</v>
      </c>
      <c r="N453" s="1" t="s">
        <v>56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1916</v>
      </c>
      <c r="M454" s="1" t="s">
        <v>1770</v>
      </c>
      <c r="N454" s="1" t="s">
        <v>56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1916</v>
      </c>
      <c r="M455" s="1" t="s">
        <v>1773</v>
      </c>
      <c r="N455" s="1" t="s">
        <v>56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1916</v>
      </c>
      <c r="M456" s="1" t="s">
        <v>1764</v>
      </c>
      <c r="N456" s="1" t="s">
        <v>1777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1916</v>
      </c>
      <c r="M457" s="1" t="s">
        <v>1767</v>
      </c>
      <c r="N457" s="1" t="s">
        <v>1777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1916</v>
      </c>
      <c r="M458" s="1" t="s">
        <v>1770</v>
      </c>
      <c r="N458" s="1" t="s">
        <v>1777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1916</v>
      </c>
      <c r="M459" s="1" t="s">
        <v>1773</v>
      </c>
      <c r="N459" s="1" t="s">
        <v>1777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1916</v>
      </c>
      <c r="M460" s="1" t="s">
        <v>1764</v>
      </c>
      <c r="N460" s="1" t="s">
        <v>1789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1916</v>
      </c>
      <c r="M461" s="1" t="s">
        <v>1767</v>
      </c>
      <c r="N461" s="1" t="s">
        <v>1789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1916</v>
      </c>
      <c r="M462" s="1" t="s">
        <v>1770</v>
      </c>
      <c r="N462" s="1" t="s">
        <v>1789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1916</v>
      </c>
      <c r="M463" s="1" t="s">
        <v>1773</v>
      </c>
      <c r="N463" s="1" t="s">
        <v>1789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1916</v>
      </c>
      <c r="M464" s="1" t="s">
        <v>1802</v>
      </c>
      <c r="N464" s="1" t="s">
        <v>56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1916</v>
      </c>
      <c r="M465" s="1" t="s">
        <v>1806</v>
      </c>
      <c r="N465" s="1" t="s">
        <v>56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1916</v>
      </c>
      <c r="M466" s="1" t="s">
        <v>1811</v>
      </c>
      <c r="N466" s="1" t="s">
        <v>56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1916</v>
      </c>
      <c r="M467" s="1" t="s">
        <v>1814</v>
      </c>
      <c r="N467" s="1" t="s">
        <v>56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1916</v>
      </c>
      <c r="M468" s="1" t="s">
        <v>1802</v>
      </c>
      <c r="N468" s="1" t="s">
        <v>1777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1916</v>
      </c>
      <c r="M469" s="1" t="s">
        <v>1806</v>
      </c>
      <c r="N469" s="1" t="s">
        <v>1777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1916</v>
      </c>
      <c r="M470" s="1" t="s">
        <v>1811</v>
      </c>
      <c r="N470" s="1" t="s">
        <v>1777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1916</v>
      </c>
      <c r="M471" s="1" t="s">
        <v>1814</v>
      </c>
      <c r="N471" s="1" t="s">
        <v>1777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1916</v>
      </c>
      <c r="M472" s="1" t="s">
        <v>1802</v>
      </c>
      <c r="N472" s="1" t="s">
        <v>1789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1916</v>
      </c>
      <c r="M473" s="1" t="s">
        <v>1806</v>
      </c>
      <c r="N473" s="1" t="s">
        <v>1789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1916</v>
      </c>
      <c r="M474" s="1" t="s">
        <v>1811</v>
      </c>
      <c r="N474" s="1" t="s">
        <v>1789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1916</v>
      </c>
      <c r="M475" s="1" t="s">
        <v>1814</v>
      </c>
      <c r="N475" s="1" t="s">
        <v>1789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1916</v>
      </c>
      <c r="M476" s="1" t="s">
        <v>1842</v>
      </c>
      <c r="N476" s="1" t="s">
        <v>56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1916</v>
      </c>
      <c r="M477" s="1" t="s">
        <v>1846</v>
      </c>
      <c r="N477" s="1" t="s">
        <v>56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1916</v>
      </c>
      <c r="M478" s="1" t="s">
        <v>1850</v>
      </c>
      <c r="N478" s="1" t="s">
        <v>56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1916</v>
      </c>
      <c r="M479" s="1" t="s">
        <v>1854</v>
      </c>
      <c r="N479" s="1" t="s">
        <v>56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1916</v>
      </c>
      <c r="M480" s="1" t="s">
        <v>1842</v>
      </c>
      <c r="N480" s="1" t="s">
        <v>1777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1916</v>
      </c>
      <c r="M481" s="1" t="s">
        <v>1846</v>
      </c>
      <c r="N481" s="1" t="s">
        <v>1777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1916</v>
      </c>
      <c r="M482" s="1" t="s">
        <v>1850</v>
      </c>
      <c r="N482" s="1" t="s">
        <v>1777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1916</v>
      </c>
      <c r="M483" s="1" t="s">
        <v>1854</v>
      </c>
      <c r="N483" s="1" t="s">
        <v>1777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1916</v>
      </c>
      <c r="M484" s="1" t="s">
        <v>1842</v>
      </c>
      <c r="N484" s="1" t="s">
        <v>1789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1916</v>
      </c>
      <c r="M485" s="1" t="s">
        <v>1846</v>
      </c>
      <c r="N485" s="1" t="s">
        <v>1789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1916</v>
      </c>
      <c r="M486" s="1" t="s">
        <v>1850</v>
      </c>
      <c r="N486" s="1" t="s">
        <v>1789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1916</v>
      </c>
      <c r="M487" s="1" t="s">
        <v>1854</v>
      </c>
      <c r="N487" s="1" t="s">
        <v>1789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1916</v>
      </c>
      <c r="M488" s="1" t="s">
        <v>1880</v>
      </c>
      <c r="N488" s="1" t="s">
        <v>56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1916</v>
      </c>
      <c r="M489" s="1" t="s">
        <v>1883</v>
      </c>
      <c r="N489" s="1" t="s">
        <v>56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1916</v>
      </c>
      <c r="M490" s="1" t="s">
        <v>1887</v>
      </c>
      <c r="N490" s="1" t="s">
        <v>56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1916</v>
      </c>
      <c r="M491" s="1" t="s">
        <v>1880</v>
      </c>
      <c r="N491" s="1" t="s">
        <v>1777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1916</v>
      </c>
      <c r="M492" s="1" t="s">
        <v>1883</v>
      </c>
      <c r="N492" s="1" t="s">
        <v>1777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1916</v>
      </c>
      <c r="M493" s="1" t="s">
        <v>1887</v>
      </c>
      <c r="N493" s="1" t="s">
        <v>1777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1916</v>
      </c>
      <c r="M494" s="1" t="s">
        <v>1880</v>
      </c>
      <c r="N494" s="1" t="s">
        <v>1789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1916</v>
      </c>
      <c r="M495" s="1" t="s">
        <v>1883</v>
      </c>
      <c r="N495" s="1" t="s">
        <v>1789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1916</v>
      </c>
      <c r="M496" s="1" t="s">
        <v>1887</v>
      </c>
      <c r="N496" s="1" t="s">
        <v>1789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1918</v>
      </c>
      <c r="M497" s="1" t="s">
        <v>1764</v>
      </c>
      <c r="N497" s="1" t="s">
        <v>56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1918</v>
      </c>
      <c r="M498" s="1" t="s">
        <v>1767</v>
      </c>
      <c r="N498" s="1" t="s">
        <v>56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1918</v>
      </c>
      <c r="M499" s="1" t="s">
        <v>1770</v>
      </c>
      <c r="N499" s="1" t="s">
        <v>56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1918</v>
      </c>
      <c r="M500" s="1" t="s">
        <v>1773</v>
      </c>
      <c r="N500" s="1" t="s">
        <v>56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1918</v>
      </c>
      <c r="M501" s="1" t="s">
        <v>1764</v>
      </c>
      <c r="N501" s="1" t="s">
        <v>1777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1918</v>
      </c>
      <c r="M502" s="1" t="s">
        <v>1767</v>
      </c>
      <c r="N502" s="1" t="s">
        <v>1777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1918</v>
      </c>
      <c r="M503" s="1" t="s">
        <v>1770</v>
      </c>
      <c r="N503" s="1" t="s">
        <v>1777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1918</v>
      </c>
      <c r="M504" s="1" t="s">
        <v>1773</v>
      </c>
      <c r="N504" s="1" t="s">
        <v>1777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1918</v>
      </c>
      <c r="M505" s="1" t="s">
        <v>1764</v>
      </c>
      <c r="N505" s="1" t="s">
        <v>1789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1918</v>
      </c>
      <c r="M506" s="1" t="s">
        <v>1767</v>
      </c>
      <c r="N506" s="1" t="s">
        <v>1789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1918</v>
      </c>
      <c r="M507" s="1" t="s">
        <v>1770</v>
      </c>
      <c r="N507" s="1" t="s">
        <v>1789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1918</v>
      </c>
      <c r="M508" s="1" t="s">
        <v>1773</v>
      </c>
      <c r="N508" s="1" t="s">
        <v>1789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1918</v>
      </c>
      <c r="M509" s="1" t="s">
        <v>1802</v>
      </c>
      <c r="N509" s="1" t="s">
        <v>56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1918</v>
      </c>
      <c r="M510" s="1" t="s">
        <v>1806</v>
      </c>
      <c r="N510" s="1" t="s">
        <v>56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1918</v>
      </c>
      <c r="M511" s="1" t="s">
        <v>1811</v>
      </c>
      <c r="N511" s="1" t="s">
        <v>56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1918</v>
      </c>
      <c r="M512" s="1" t="s">
        <v>1814</v>
      </c>
      <c r="N512" s="1" t="s">
        <v>56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1918</v>
      </c>
      <c r="M513" s="1" t="s">
        <v>1802</v>
      </c>
      <c r="N513" s="1" t="s">
        <v>1777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1918</v>
      </c>
      <c r="M514" s="1" t="s">
        <v>1806</v>
      </c>
      <c r="N514" s="1" t="s">
        <v>1777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1918</v>
      </c>
      <c r="M515" s="1" t="s">
        <v>1811</v>
      </c>
      <c r="N515" s="1" t="s">
        <v>1777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1918</v>
      </c>
      <c r="M516" s="1" t="s">
        <v>1814</v>
      </c>
      <c r="N516" s="1" t="s">
        <v>1777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1918</v>
      </c>
      <c r="M517" s="1" t="s">
        <v>1802</v>
      </c>
      <c r="N517" s="1" t="s">
        <v>1789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1918</v>
      </c>
      <c r="M518" s="1" t="s">
        <v>1806</v>
      </c>
      <c r="N518" s="1" t="s">
        <v>1789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1918</v>
      </c>
      <c r="M519" s="1" t="s">
        <v>1811</v>
      </c>
      <c r="N519" s="1" t="s">
        <v>1789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1918</v>
      </c>
      <c r="M520" s="1" t="s">
        <v>1814</v>
      </c>
      <c r="N520" s="1" t="s">
        <v>1789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1918</v>
      </c>
      <c r="M521" s="1" t="s">
        <v>1842</v>
      </c>
      <c r="N521" s="1" t="s">
        <v>56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1918</v>
      </c>
      <c r="M522" s="1" t="s">
        <v>1846</v>
      </c>
      <c r="N522" s="1" t="s">
        <v>56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1918</v>
      </c>
      <c r="M523" s="1" t="s">
        <v>1850</v>
      </c>
      <c r="N523" s="1" t="s">
        <v>56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1918</v>
      </c>
      <c r="M524" s="1" t="s">
        <v>1854</v>
      </c>
      <c r="N524" s="1" t="s">
        <v>56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1918</v>
      </c>
      <c r="M525" s="1" t="s">
        <v>1842</v>
      </c>
      <c r="N525" s="1" t="s">
        <v>1777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1918</v>
      </c>
      <c r="M526" s="1" t="s">
        <v>1846</v>
      </c>
      <c r="N526" s="1" t="s">
        <v>1777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1918</v>
      </c>
      <c r="M527" s="1" t="s">
        <v>1850</v>
      </c>
      <c r="N527" s="1" t="s">
        <v>1777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1918</v>
      </c>
      <c r="M528" s="1" t="s">
        <v>1854</v>
      </c>
      <c r="N528" s="1" t="s">
        <v>1777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1918</v>
      </c>
      <c r="M529" s="1" t="s">
        <v>1842</v>
      </c>
      <c r="N529" s="1" t="s">
        <v>1789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1918</v>
      </c>
      <c r="M530" s="1" t="s">
        <v>1846</v>
      </c>
      <c r="N530" s="1" t="s">
        <v>1789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1918</v>
      </c>
      <c r="M531" s="1" t="s">
        <v>1850</v>
      </c>
      <c r="N531" s="1" t="s">
        <v>1789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1918</v>
      </c>
      <c r="M532" s="1" t="s">
        <v>1854</v>
      </c>
      <c r="N532" s="1" t="s">
        <v>1789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1918</v>
      </c>
      <c r="M533" s="1" t="s">
        <v>1880</v>
      </c>
      <c r="N533" s="1" t="s">
        <v>56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1918</v>
      </c>
      <c r="M534" s="1" t="s">
        <v>1883</v>
      </c>
      <c r="N534" s="1" t="s">
        <v>56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1918</v>
      </c>
      <c r="M535" s="1" t="s">
        <v>1887</v>
      </c>
      <c r="N535" s="1" t="s">
        <v>56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1918</v>
      </c>
      <c r="M536" s="1" t="s">
        <v>1880</v>
      </c>
      <c r="N536" s="1" t="s">
        <v>1777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1918</v>
      </c>
      <c r="M537" s="1" t="s">
        <v>1883</v>
      </c>
      <c r="N537" s="1" t="s">
        <v>1777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1918</v>
      </c>
      <c r="M538" s="1" t="s">
        <v>1887</v>
      </c>
      <c r="N538" s="1" t="s">
        <v>1777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1918</v>
      </c>
      <c r="M539" s="1" t="s">
        <v>1880</v>
      </c>
      <c r="N539" s="1" t="s">
        <v>1789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1918</v>
      </c>
      <c r="M540" s="1" t="s">
        <v>1883</v>
      </c>
      <c r="N540" s="1" t="s">
        <v>1789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1918</v>
      </c>
      <c r="M541" s="1" t="s">
        <v>1887</v>
      </c>
      <c r="N541" s="1" t="s">
        <v>1789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ExistingLoans&amp;Facilities&amp;RTR</vt:lpstr>
      <vt:lpstr>Banking - Non PDF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Ashish Agarwal</cp:lastModifiedBy>
  <dcterms:created xsi:type="dcterms:W3CDTF">2018-07-07T16:14:00Z</dcterms:created>
  <dcterms:modified xsi:type="dcterms:W3CDTF">2024-03-07T12:00:51Z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1033-10.2.0.7549</vt:lpwstr>
  </property>
</Properties>
</file>