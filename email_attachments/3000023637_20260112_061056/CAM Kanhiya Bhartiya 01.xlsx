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Happy Flow Docs\"/>
    </mc:Choice>
  </mc:AlternateContent>
  <xr:revisionPtr revIDLastSave="0" documentId="13_ncr:1_{A9CE603C-3493-4918-BEDC-634F025C4047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<sst xmlns="http://schemas.openxmlformats.org/spreadsheetml/2006/main" count="13480" uniqueCount="2051">
  <si>
    <t>Segment (select from dropdown):</t>
  </si>
  <si>
    <t>Affordable</t>
  </si>
  <si>
    <t>Customer Type (select from dropdown):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</si>
  <si>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</si>
  <si>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</si>
  <si>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</si>
  <si>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</si>
  <si>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</si>
  <si>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</si>
  <si>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</si>
  <si>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</si>
  <si>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</si>
  <si>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</si>
  <si>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</si>
  <si>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</si>
  <si>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</si>
  <si>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</si>
  <si>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</si>
  <si>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</si>
  <si>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</si>
  <si>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</si>
  <si>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</si>
  <si>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</si>
  <si>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</si>
  <si>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</si>
  <si>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</si>
  <si>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</si>
  <si>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</si>
  <si>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</si>
  <si>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</si>
  <si>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</si>
  <si>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</si>
  <si>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</si>
  <si>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</si>
  <si>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</si>
  <si>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</si>
  <si>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</si>
  <si>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</si>
  <si>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</si>
  <si>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</si>
  <si>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</si>
  <si>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</si>
  <si>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</si>
  <si>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</si>
  <si>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</si>
  <si>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</si>
  <si>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</si>
  <si>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</si>
  <si>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</si>
  <si>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</si>
  <si>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</si>
  <si>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</si>
  <si>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</si>
  <si>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</si>
  <si>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</si>
  <si>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</si>
  <si>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</si>
  <si>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</si>
  <si>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</si>
  <si>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</si>
  <si>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</si>
  <si>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</si>
  <si>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</si>
  <si>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</si>
  <si>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</si>
  <si>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</si>
  <si>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</si>
  <si>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</si>
  <si>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</si>
  <si>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</si>
  <si>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</si>
  <si>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</si>
  <si>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</si>
  <si>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</si>
  <si>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</si>
  <si>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</si>
  <si>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</si>
  <si>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</si>
  <si>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</si>
  <si>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</si>
  <si>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</si>
  <si>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</si>
  <si>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</si>
  <si>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</si>
  <si>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</si>
  <si>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</si>
  <si>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</si>
  <si>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</si>
  <si>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</si>
  <si>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</si>
  <si>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</si>
  <si>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</si>
  <si>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</si>
  <si>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</si>
  <si>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</si>
  <si>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</si>
  <si>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</si>
  <si>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</si>
  <si>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</si>
  <si>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</si>
  <si>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</si>
  <si>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</si>
  <si>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</si>
  <si>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</si>
  <si>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</si>
  <si>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</si>
  <si>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</si>
  <si>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</si>
  <si>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</si>
  <si>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</si>
  <si>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</si>
  <si>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</si>
  <si>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</si>
  <si>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</si>
  <si>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</si>
  <si>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</si>
  <si>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</si>
  <si>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</si>
  <si>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</si>
  <si>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</si>
  <si>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</si>
  <si>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</si>
  <si>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</si>
  <si>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</si>
  <si>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</si>
  <si>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</si>
  <si>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</si>
  <si>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</si>
  <si>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</si>
  <si>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</si>
  <si>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</si>
  <si>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</si>
  <si>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</si>
  <si>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</si>
  <si>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</si>
  <si>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</si>
  <si>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</si>
  <si>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</si>
  <si>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</si>
  <si>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</si>
  <si>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</si>
  <si>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</si>
  <si>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</si>
  <si>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</si>
  <si>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</si>
  <si>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</si>
  <si>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</si>
  <si>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</si>
  <si>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</si>
  <si>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</si>
  <si>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</si>
  <si>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</si>
  <si>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</si>
  <si>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</si>
  <si>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</si>
  <si>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</si>
  <si>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</si>
  <si>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</si>
  <si>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</si>
  <si>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</si>
  <si>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</si>
  <si>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</si>
  <si>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</si>
  <si>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</si>
  <si>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</si>
  <si>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</si>
  <si>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</si>
  <si>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</si>
  <si>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</si>
  <si>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</si>
  <si>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</si>
  <si>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</si>
  <si>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</si>
  <si>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</si>
  <si>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</si>
  <si>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</si>
  <si>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</si>
  <si>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</si>
  <si>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</si>
  <si>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</si>
  <si>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</si>
  <si>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</si>
  <si>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</si>
  <si>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</si>
  <si>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</si>
  <si>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</si>
  <si>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</si>
  <si>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</si>
  <si>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</si>
  <si>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</si>
  <si>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</si>
  <si>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</si>
  <si>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</si>
  <si>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</si>
  <si>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</si>
  <si>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</si>
  <si>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</si>
  <si>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</si>
  <si>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</si>
  <si>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</si>
  <si>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</si>
  <si>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</si>
  <si>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</si>
  <si>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</si>
  <si>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</si>
  <si>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</si>
  <si>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</si>
  <si>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</si>
  <si>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</si>
  <si>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</si>
  <si>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</si>
  <si>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</si>
  <si>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</si>
  <si>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</si>
  <si>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</si>
  <si>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</si>
  <si>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</si>
  <si>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</si>
  <si>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</si>
  <si>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</si>
  <si>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</si>
  <si>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</si>
  <si>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</si>
  <si>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</si>
  <si>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</si>
  <si>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</si>
  <si>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</si>
  <si>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</si>
  <si>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</si>
  <si>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</si>
  <si>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</si>
  <si>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</si>
  <si>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</si>
  <si>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</si>
  <si>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</si>
  <si>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</si>
  <si>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</si>
  <si>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</si>
  <si>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</si>
  <si>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</si>
  <si>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</si>
  <si>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</si>
  <si>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</si>
  <si>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</si>
  <si>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</si>
  <si>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</si>
  <si>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</si>
  <si>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</si>
  <si>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</si>
  <si>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</si>
  <si>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</si>
  <si>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</si>
  <si>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</si>
  <si>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</si>
  <si>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</si>
  <si>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</si>
  <si>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</si>
  <si>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</si>
  <si>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</si>
  <si>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</si>
  <si>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</si>
  <si>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</si>
  <si>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</si>
  <si>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</si>
  <si>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</si>
  <si>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</si>
  <si>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</si>
  <si>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</si>
  <si>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</si>
  <si>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</si>
  <si>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</si>
  <si>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</si>
  <si>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</si>
  <si>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</si>
  <si>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</si>
  <si>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</si>
  <si>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</si>
  <si>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</si>
  <si>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</si>
  <si>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</si>
  <si>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</si>
  <si>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</si>
  <si>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</si>
  <si>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</si>
  <si>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</si>
  <si>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</si>
  <si>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</si>
  <si>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</si>
  <si>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</si>
  <si>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</si>
  <si>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</si>
  <si>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</si>
  <si>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</si>
  <si>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</si>
  <si>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</si>
  <si>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</si>
  <si>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</si>
  <si>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</si>
  <si>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</si>
  <si>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</si>
  <si>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</si>
  <si>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</si>
  <si>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</si>
  <si>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</si>
  <si>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</si>
  <si>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</si>
  <si>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</si>
  <si>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</si>
  <si>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</si>
  <si>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</si>
  <si>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</si>
  <si>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</si>
  <si>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</si>
  <si>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</si>
  <si>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</si>
  <si>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</si>
  <si>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</si>
  <si>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</si>
  <si>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</si>
  <si>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</si>
  <si>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</si>
  <si>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</si>
  <si>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</si>
  <si>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</si>
  <si>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</si>
  <si>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</si>
  <si>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</si>
  <si>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</si>
  <si>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</si>
  <si>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</si>
  <si>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</si>
  <si>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</si>
  <si>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</si>
  <si>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</si>
  <si>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</si>
  <si>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</si>
  <si>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</si>
  <si>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</si>
  <si>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</si>
  <si>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</si>
  <si>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</si>
  <si>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</si>
  <si>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</si>
  <si>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</si>
  <si>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</si>
  <si>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</si>
  <si>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</si>
  <si>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</si>
  <si>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</si>
  <si>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</si>
  <si>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</si>
  <si>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</si>
  <si>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</si>
  <si>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</si>
  <si>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</si>
  <si>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</si>
  <si>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</si>
  <si>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</si>
  <si>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</si>
  <si>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</si>
  <si>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</si>
  <si>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</si>
  <si>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</si>
  <si>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</si>
  <si>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</si>
  <si>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</si>
  <si>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</si>
  <si>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</si>
  <si>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</si>
  <si>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</si>
  <si>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</si>
  <si>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</si>
  <si>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</si>
  <si>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</si>
  <si>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</si>
  <si>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</si>
  <si>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</si>
  <si>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</si>
  <si>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</si>
  <si>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</si>
  <si>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</si>
  <si>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</si>
  <si>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</si>
  <si>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</si>
  <si>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</si>
  <si>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</si>
  <si>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</si>
  <si>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</si>
  <si>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</si>
  <si>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</si>
  <si>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</si>
  <si>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</si>
  <si>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</si>
  <si>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</si>
  <si>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</si>
  <si>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</si>
  <si>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</si>
  <si>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</si>
  <si>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</si>
  <si>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</si>
  <si>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</si>
  <si>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</si>
  <si>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</si>
  <si>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</si>
  <si>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</si>
  <si>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</si>
  <si>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</si>
  <si>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</si>
  <si>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</si>
  <si>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</si>
  <si>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</si>
  <si>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</si>
  <si>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</si>
  <si>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</si>
  <si>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</si>
  <si>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</si>
  <si>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</si>
  <si>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</si>
  <si>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</si>
  <si>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</si>
  <si>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</si>
  <si>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</si>
  <si>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</si>
  <si>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</si>
  <si>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</si>
  <si>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</si>
  <si>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</si>
  <si>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</si>
  <si>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</si>
  <si>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</si>
  <si>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</si>
  <si>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</si>
  <si>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</si>
  <si>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</si>
  <si>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</si>
  <si>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</si>
  <si>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</si>
  <si>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</si>
  <si>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</si>
  <si>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</si>
  <si>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</si>
  <si>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</si>
  <si>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</si>
  <si>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</si>
  <si>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</si>
  <si>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</si>
  <si>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</si>
  <si>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</si>
  <si>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</si>
  <si>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</si>
  <si>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</si>
  <si>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</si>
  <si>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</si>
  <si>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</si>
  <si>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</si>
  <si>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</si>
  <si>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</si>
  <si>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</si>
  <si>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</si>
  <si>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</si>
  <si>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</si>
  <si>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</si>
  <si>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</si>
  <si>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</si>
  <si>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</si>
  <si>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</si>
  <si>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</si>
  <si>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</si>
  <si>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</si>
  <si>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</si>
  <si>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</si>
  <si>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</si>
  <si>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</si>
  <si>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</si>
  <si>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</si>
  <si>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</si>
  <si>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</si>
  <si>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</si>
  <si>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</si>
  <si>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</si>
  <si>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</si>
  <si>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</si>
  <si>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</si>
  <si>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</si>
  <si>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</si>
  <si>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</si>
  <si>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</si>
  <si>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</si>
  <si>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</si>
  <si>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</si>
  <si>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</si>
  <si>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</si>
  <si>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</si>
  <si>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</si>
  <si>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</si>
  <si>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</si>
  <si>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</si>
  <si>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</si>
  <si>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</si>
  <si>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</si>
  <si>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</si>
  <si>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</si>
  <si>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</si>
  <si>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</si>
  <si>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</si>
  <si>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</si>
  <si>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</si>
  <si>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</si>
  <si>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</si>
  <si>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</si>
  <si>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</si>
  <si>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</si>
  <si>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</si>
  <si>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</si>
  <si>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</si>
  <si>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</si>
  <si>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</si>
  <si>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</si>
  <si>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</si>
  <si>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</si>
  <si>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</si>
  <si>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</si>
  <si>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</si>
  <si>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</si>
  <si>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</si>
  <si>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</si>
  <si>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</si>
  <si>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</si>
  <si>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</si>
  <si>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</si>
  <si>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</si>
  <si>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</si>
  <si>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</si>
  <si>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</si>
  <si>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</si>
  <si>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</si>
  <si>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</si>
  <si>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</si>
  <si>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</si>
  <si>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</si>
  <si>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</si>
  <si>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</si>
  <si>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</si>
  <si>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</si>
  <si>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</si>
  <si>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</si>
  <si>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</si>
  <si>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</si>
  <si>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</si>
  <si>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</si>
  <si>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</si>
  <si>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</si>
  <si>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</si>
  <si>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</si>
  <si>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</si>
  <si>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</si>
  <si>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</si>
  <si>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</si>
  <si>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</si>
  <si>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</si>
  <si>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</si>
  <si>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</si>
  <si>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</si>
  <si>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</si>
  <si>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</si>
  <si>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</si>
  <si>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</si>
  <si>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</si>
  <si>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</si>
  <si>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</si>
  <si>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</si>
  <si>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</si>
  <si>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</si>
  <si>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</si>
  <si>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</si>
  <si>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</si>
  <si>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</si>
  <si>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</si>
  <si>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</si>
  <si>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</si>
  <si>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</si>
  <si>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</si>
  <si>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</si>
  <si>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</si>
  <si>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</si>
  <si>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</si>
  <si>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</si>
  <si>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</si>
  <si>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</si>
  <si>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</si>
  <si>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</si>
  <si>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</si>
  <si>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</si>
  <si>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</si>
  <si>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</si>
  <si>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</si>
  <si>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</si>
  <si>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</si>
  <si>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</si>
  <si>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</si>
  <si>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</si>
  <si>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</si>
  <si>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</si>
  <si>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</si>
  <si>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</si>
  <si>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</si>
  <si>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</si>
  <si>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</si>
  <si>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</si>
  <si>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</si>
  <si>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</si>
  <si>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</si>
  <si>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</si>
  <si>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</si>
  <si>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</si>
  <si>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</si>
  <si>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</si>
  <si>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</si>
  <si>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</si>
  <si>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</si>
  <si>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</si>
  <si>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</si>
  <si>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</si>
  <si>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</si>
  <si>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</si>
  <si>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</si>
  <si>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</si>
  <si>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</si>
  <si>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</si>
  <si>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</si>
  <si>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</si>
  <si>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</si>
  <si>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</si>
  <si>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</si>
  <si>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</si>
  <si>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</si>
  <si>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</si>
  <si>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</si>
  <si>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</si>
  <si>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</si>
  <si>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</si>
  <si>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</si>
  <si>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</si>
  <si>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</si>
  <si>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</si>
  <si>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</si>
  <si>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</si>
  <si>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</si>
  <si>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</si>
  <si>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</si>
  <si>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</si>
  <si>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</si>
  <si>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</si>
  <si>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</si>
  <si>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</si>
  <si>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</si>
  <si>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</si>
  <si>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</si>
  <si>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</si>
  <si>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</si>
  <si>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</si>
  <si>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</si>
  <si>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</si>
  <si>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</si>
  <si>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</si>
  <si>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</si>
  <si>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</si>
  <si>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</si>
  <si>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</si>
  <si>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</si>
  <si>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</si>
  <si>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</si>
  <si>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</si>
  <si>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</si>
  <si>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</si>
  <si>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</si>
  <si>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</si>
  <si>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</si>
  <si>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</si>
  <si>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</si>
  <si>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</si>
  <si>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</si>
  <si>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</si>
  <si>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</si>
  <si>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</si>
  <si>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</si>
  <si>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</si>
  <si>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</si>
  <si>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</si>
  <si>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</si>
  <si>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</si>
  <si>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</si>
  <si>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</si>
  <si>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</si>
  <si>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</si>
  <si>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</si>
  <si>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</si>
  <si>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</si>
  <si>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</si>
  <si>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</si>
  <si>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</si>
  <si>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</si>
  <si>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</si>
  <si>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</si>
  <si>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</si>
  <si>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</si>
  <si>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</si>
  <si>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</si>
  <si>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</si>
  <si>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</si>
  <si>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</si>
  <si>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</si>
  <si>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</si>
  <si>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</si>
  <si>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</si>
  <si>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</si>
  <si>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</si>
  <si>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</si>
  <si>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</si>
  <si>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</si>
  <si>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</si>
  <si>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</si>
  <si>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</si>
  <si>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</si>
  <si>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</si>
  <si>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</si>
  <si>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</si>
  <si>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</si>
  <si>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</si>
  <si>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</si>
  <si>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</si>
  <si>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</si>
  <si>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</si>
  <si>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</si>
  <si>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</si>
  <si>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</si>
  <si>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</si>
  <si>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</si>
  <si>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</si>
  <si>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</si>
  <si>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</si>
  <si>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</si>
  <si>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</si>
  <si>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</si>
  <si>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</si>
  <si>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</si>
  <si>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</si>
  <si>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</si>
  <si>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</si>
  <si>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</si>
  <si>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</si>
  <si>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</si>
  <si>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</si>
  <si>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</si>
  <si>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</si>
  <si>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</si>
  <si>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</si>
  <si>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</si>
  <si>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</si>
  <si>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</si>
  <si>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</si>
  <si>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</si>
  <si>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</si>
  <si>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</si>
  <si>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</si>
  <si>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</si>
  <si>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</si>
  <si>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</si>
  <si>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</si>
  <si>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</si>
  <si>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</si>
  <si>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</si>
  <si>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</si>
  <si>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</si>
  <si>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</si>
  <si>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</si>
  <si>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</si>
  <si>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</si>
  <si>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</si>
  <si>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</si>
  <si>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</si>
  <si>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</si>
  <si>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</si>
  <si>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</si>
  <si>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</si>
  <si>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</si>
  <si>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</si>
  <si>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</si>
  <si>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</si>
  <si>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</si>
  <si>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</si>
  <si>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</si>
  <si>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</si>
  <si>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</si>
  <si>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</si>
  <si>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</si>
  <si>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</si>
  <si>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</si>
  <si>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</si>
  <si>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</si>
  <si>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</si>
  <si>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</si>
  <si>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</si>
  <si>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</si>
  <si>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</si>
  <si>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</si>
  <si>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</si>
  <si>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</si>
  <si>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</si>
  <si>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</si>
  <si>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</si>
  <si>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</si>
  <si>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</si>
  <si>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</si>
  <si>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</si>
  <si>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</si>
  <si>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</si>
  <si>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</si>
  <si>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</si>
  <si>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</si>
  <si>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</si>
  <si>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</si>
  <si>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</si>
  <si>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</si>
  <si>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</si>
  <si>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</si>
  <si>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</si>
  <si>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</si>
  <si>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</si>
  <si>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</si>
  <si>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</si>
  <si>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</si>
  <si>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</si>
  <si>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</si>
  <si>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</si>
  <si>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</si>
  <si>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</si>
  <si>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</si>
  <si>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</si>
  <si>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</si>
  <si>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</si>
  <si>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</si>
  <si>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</si>
  <si>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</si>
  <si>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</si>
  <si>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</si>
  <si>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</si>
  <si>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</si>
  <si>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</si>
  <si>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</si>
  <si>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</si>
  <si>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</si>
  <si>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</si>
  <si>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</si>
  <si>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</si>
  <si>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</si>
  <si>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</si>
  <si>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</si>
  <si>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</si>
  <si>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</si>
  <si>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</si>
  <si>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</si>
  <si>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</si>
  <si>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</si>
  <si>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</si>
  <si>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</si>
  <si>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</si>
  <si>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</si>
  <si>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</si>
  <si>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</si>
  <si>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</si>
  <si>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</si>
  <si>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</si>
  <si>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</si>
  <si>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</si>
  <si>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</si>
  <si>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</si>
  <si>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</si>
  <si>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</si>
  <si>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</si>
  <si>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</si>
  <si>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</si>
  <si>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</si>
  <si>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</si>
  <si>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</si>
  <si>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</si>
  <si>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</si>
  <si>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</si>
  <si>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</si>
  <si>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</si>
  <si>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</si>
  <si>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</si>
  <si>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</si>
  <si>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</si>
  <si>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</si>
  <si>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</si>
  <si>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</si>
  <si>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</si>
  <si>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</si>
  <si>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</si>
  <si>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</si>
  <si>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</si>
  <si>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</si>
  <si>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</si>
  <si>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</si>
  <si>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</si>
  <si>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</si>
  <si>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</si>
  <si>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</si>
  <si>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</si>
  <si>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</si>
  <si>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</si>
  <si>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</si>
  <si>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</si>
  <si>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</si>
  <si>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</si>
  <si>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</si>
  <si>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</si>
  <si>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</si>
  <si>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</si>
  <si>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</si>
  <si>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</si>
  <si>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</si>
  <si>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</si>
  <si>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</si>
  <si>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</si>
  <si>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</si>
  <si>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</si>
  <si>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</si>
  <si>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</si>
  <si>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</si>
  <si>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</si>
  <si>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</si>
  <si>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</si>
  <si>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</si>
  <si>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</si>
  <si>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</si>
  <si>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</si>
  <si>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</si>
  <si>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</si>
  <si>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</si>
  <si>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</si>
  <si>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</si>
  <si>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</si>
  <si>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</si>
  <si>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</si>
  <si>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</si>
  <si>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</si>
  <si>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</si>
  <si>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</si>
  <si>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</si>
  <si>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</si>
  <si>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</si>
  <si>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</si>
  <si>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</si>
  <si>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</si>
  <si>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</si>
  <si>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</si>
  <si>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</si>
  <si>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</si>
  <si>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</si>
  <si>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</si>
  <si>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</si>
  <si>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</si>
  <si>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</si>
  <si>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</si>
  <si>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</si>
  <si>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</si>
  <si>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</si>
  <si>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</si>
  <si>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</si>
  <si>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</si>
  <si>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</si>
  <si>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</si>
  <si>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</si>
  <si>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</si>
  <si>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</si>
  <si>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</si>
  <si>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</si>
  <si>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</si>
  <si>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</si>
  <si>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</si>
  <si>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</si>
  <si>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</si>
  <si>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</si>
  <si>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</si>
  <si>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</si>
  <si>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</si>
  <si>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</si>
  <si>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</si>
  <si>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</si>
  <si>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</si>
  <si>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</si>
  <si>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</si>
  <si>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</si>
  <si>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</si>
  <si>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</si>
  <si>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</si>
  <si>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</si>
  <si>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</si>
  <si>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</si>
  <si>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</si>
  <si>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</si>
  <si>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</si>
  <si>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</si>
  <si>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</si>
  <si>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</si>
  <si>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</si>
  <si>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</si>
  <si>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</si>
  <si>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</si>
  <si>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</si>
  <si>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</si>
  <si>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</si>
  <si>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</si>
  <si>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</si>
  <si>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</si>
  <si>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</si>
  <si>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</si>
  <si>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</si>
  <si>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</si>
  <si>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</si>
  <si>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</si>
  <si>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</si>
  <si>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</si>
  <si>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</si>
  <si>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</si>
  <si>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</si>
  <si>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</si>
  <si>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</si>
  <si>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</si>
  <si>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</si>
  <si>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</si>
  <si>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</si>
  <si>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</si>
  <si>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</si>
  <si>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</si>
  <si>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</si>
  <si>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</si>
  <si>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</si>
  <si>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</si>
  <si>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</si>
  <si>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</si>
  <si>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</si>
  <si>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</si>
  <si>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</si>
  <si>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</si>
  <si>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</si>
  <si>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</si>
  <si>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</si>
  <si>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</si>
  <si>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</si>
  <si>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</si>
  <si>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</si>
  <si>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</si>
  <si>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</si>
  <si>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</si>
  <si>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</si>
  <si>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</si>
  <si>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</si>
  <si>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</si>
  <si>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</si>
  <si>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</si>
  <si>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</si>
  <si>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</si>
  <si>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</si>
  <si>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</si>
  <si>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</si>
  <si>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</si>
  <si>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</si>
  <si>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</si>
  <si>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</si>
  <si>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</si>
  <si>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</si>
  <si>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</si>
  <si>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</si>
  <si>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</si>
  <si>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</si>
  <si>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</si>
  <si>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</si>
  <si>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</si>
  <si>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</si>
  <si>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</si>
  <si>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</si>
  <si>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</si>
  <si>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</si>
  <si>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</si>
  <si>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</si>
  <si>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</si>
  <si>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</si>
  <si>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</si>
  <si>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</si>
  <si>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</si>
  <si>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</si>
  <si>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</si>
  <si>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</si>
  <si>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</si>
  <si>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</si>
  <si>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</si>
  <si>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</si>
  <si>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</si>
  <si>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</si>
  <si>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</si>
  <si>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</si>
  <si>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</si>
  <si>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</si>
  <si>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</si>
  <si>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</si>
  <si>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</si>
  <si>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</si>
  <si>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</si>
  <si>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</si>
  <si>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</si>
  <si>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</si>
  <si>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</si>
  <si>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</si>
  <si>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</si>
  <si>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</si>
  <si>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</si>
  <si>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</si>
  <si>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</si>
  <si>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</si>
  <si>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</si>
  <si>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</si>
  <si>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</si>
  <si>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</si>
  <si>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</si>
  <si>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</si>
  <si>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</si>
  <si>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</si>
  <si>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</si>
  <si>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</si>
  <si>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</si>
  <si>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</si>
  <si>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</si>
  <si>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</si>
  <si>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</si>
  <si>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</si>
  <si>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</si>
  <si>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</si>
  <si>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</si>
  <si>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</si>
  <si>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</si>
  <si>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</si>
  <si>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</si>
  <si>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</si>
  <si>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</si>
  <si>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</si>
  <si>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</si>
  <si>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</si>
  <si>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</si>
  <si>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</si>
  <si>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</si>
  <si>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</si>
  <si>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</si>
  <si>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</si>
  <si>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</si>
  <si>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</si>
  <si>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</si>
  <si>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</si>
  <si>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</si>
  <si>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</si>
  <si>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</si>
  <si>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</si>
  <si>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</si>
  <si>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</si>
  <si>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</si>
  <si>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</si>
  <si>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</si>
  <si>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</si>
  <si>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</si>
  <si>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</si>
  <si>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</si>
  <si>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</si>
  <si>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</si>
  <si>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</si>
  <si>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</si>
  <si>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</si>
  <si>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</si>
  <si>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</si>
  <si>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</si>
  <si>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</si>
  <si>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</si>
  <si>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</si>
  <si>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</si>
  <si>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</si>
  <si>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</si>
  <si>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</si>
  <si>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</si>
  <si>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</si>
  <si>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</si>
  <si>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</si>
  <si>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</si>
  <si>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</si>
  <si>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</si>
  <si>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</si>
  <si>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</si>
  <si>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</si>
  <si>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</si>
  <si>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</si>
  <si>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</si>
  <si>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</si>
  <si>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</si>
  <si>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</si>
  <si>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</si>
  <si>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</si>
  <si>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</si>
  <si>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</si>
  <si>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</si>
  <si>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</si>
  <si>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</si>
  <si>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</si>
  <si>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</si>
  <si>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</si>
  <si>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</si>
  <si>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</si>
  <si>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</si>
  <si>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</si>
  <si>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</si>
  <si>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</si>
  <si>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</si>
  <si>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</si>
  <si>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</si>
  <si>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</si>
  <si>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</si>
  <si>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</si>
  <si>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</si>
  <si>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</si>
  <si>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</si>
  <si>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</si>
  <si>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</si>
  <si>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</si>
  <si>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</si>
  <si>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</si>
  <si>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</si>
  <si>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</si>
  <si>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</si>
  <si>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</si>
  <si>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</si>
  <si>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</si>
  <si>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</si>
  <si>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</si>
  <si>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</si>
  <si>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</si>
  <si>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</si>
  <si>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</si>
  <si>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</si>
  <si>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</si>
  <si>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</si>
  <si>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</si>
  <si>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</si>
  <si>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</si>
  <si>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</si>
  <si>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</si>
  <si>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</si>
  <si>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</si>
  <si>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</si>
  <si>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</si>
  <si>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</si>
  <si>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</si>
  <si>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</si>
  <si>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</si>
  <si>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</si>
  <si>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</si>
  <si>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</si>
  <si>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</si>
  <si>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</si>
  <si>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</si>
  <si>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</si>
  <si>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</si>
  <si>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</si>
  <si>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</si>
  <si>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</si>
  <si>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</si>
  <si>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</si>
  <si>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</si>
  <si>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</si>
  <si>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</si>
  <si>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</si>
  <si>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</si>
  <si>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</si>
  <si>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</si>
  <si>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</si>
  <si>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</si>
  <si>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</si>
  <si>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</si>
  <si>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</si>
  <si>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</si>
  <si>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</si>
  <si>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</si>
  <si>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</si>
  <si>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</si>
  <si>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</si>
  <si>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</si>
  <si>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</si>
  <si>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</si>
  <si>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</si>
  <si>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</si>
  <si>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</si>
  <si>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</si>
  <si>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</si>
  <si>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</si>
  <si>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</si>
  <si>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</si>
  <si>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</si>
  <si>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</si>
  <si>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</si>
  <si>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</si>
  <si>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</si>
  <si>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</si>
  <si>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</si>
  <si>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</si>
  <si>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</si>
  <si>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</si>
  <si>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</si>
  <si>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</si>
  <si>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</si>
  <si>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</si>
  <si>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</si>
  <si>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</si>
  <si>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</si>
  <si>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</si>
  <si>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</si>
  <si>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</si>
  <si>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</si>
  <si>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</si>
  <si>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</si>
  <si>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</si>
  <si>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</si>
  <si>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</si>
  <si>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</si>
  <si>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</si>
  <si>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</si>
  <si>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</si>
  <si>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</si>
  <si>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</si>
  <si>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</si>
  <si>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</si>
  <si>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</si>
  <si>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</si>
  <si>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</si>
  <si>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</si>
  <si>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</si>
  <si>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</si>
  <si>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</si>
  <si>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</si>
  <si>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</si>
  <si>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</si>
  <si>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</si>
  <si>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</si>
  <si>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</si>
  <si>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</si>
  <si>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</si>
  <si>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</si>
  <si>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</si>
  <si>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</si>
  <si>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</si>
  <si>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</si>
  <si>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</si>
  <si>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</si>
  <si>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</si>
  <si>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</si>
  <si>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</si>
  <si>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</si>
  <si>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</si>
  <si>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</si>
  <si>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</si>
  <si>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</si>
  <si>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</si>
  <si>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</si>
  <si>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</si>
  <si>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</si>
  <si>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</si>
  <si>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</si>
  <si>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</si>
  <si>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</si>
  <si>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</si>
  <si>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</si>
  <si>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</si>
  <si>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</si>
  <si>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</si>
  <si>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</si>
  <si>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</si>
  <si>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</si>
  <si>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</si>
  <si>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</si>
  <si>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</si>
  <si>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</si>
  <si>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</si>
  <si>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</si>
  <si>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</si>
  <si>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</si>
  <si>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</si>
  <si>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</si>
  <si>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</si>
  <si>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</si>
  <si>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</si>
  <si>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</si>
  <si>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</si>
  <si>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</si>
  <si>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</si>
  <si>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</si>
  <si>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</si>
  <si>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</si>
  <si>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</si>
  <si>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</si>
  <si>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</si>
  <si>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</si>
  <si>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</si>
  <si>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</si>
  <si>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</si>
  <si>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</si>
  <si>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</si>
  <si>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</si>
  <si>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</si>
  <si>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</si>
  <si>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</si>
  <si>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</si>
  <si>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</si>
  <si>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</si>
  <si>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</si>
  <si>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</si>
  <si>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</si>
  <si>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</si>
  <si>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</si>
  <si>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</si>
  <si>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</si>
  <si>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</si>
  <si>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</si>
  <si>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</si>
  <si>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</si>
  <si>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</si>
  <si>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</si>
  <si>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</si>
  <si>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</si>
  <si>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</si>
  <si>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</si>
  <si>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</si>
  <si>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</si>
  <si>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</si>
  <si>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</si>
  <si>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</si>
  <si>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</si>
  <si>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</si>
  <si>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</si>
  <si>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</si>
  <si>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</si>
  <si>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</si>
  <si>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</si>
  <si>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</si>
  <si>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</si>
  <si>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</si>
  <si>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</si>
  <si>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</si>
  <si>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</si>
  <si>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</si>
  <si>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</si>
  <si>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</si>
  <si>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</si>
  <si>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</si>
  <si>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</si>
  <si>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</si>
  <si>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</si>
  <si>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</si>
  <si>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</si>
  <si>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</si>
  <si>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</si>
  <si>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</si>
  <si>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</si>
  <si>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</si>
  <si>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</si>
  <si>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</si>
  <si>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</si>
  <si>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</si>
  <si>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</si>
  <si>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</si>
  <si>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</si>
  <si>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</si>
  <si>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</si>
  <si>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</si>
  <si>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</si>
  <si>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</si>
  <si>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</si>
  <si>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</si>
  <si>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</si>
  <si>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</si>
  <si>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</si>
  <si>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</si>
  <si>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</si>
  <si>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</si>
  <si>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</si>
  <si>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</si>
  <si>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</si>
  <si>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</si>
  <si>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</si>
  <si>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</si>
  <si>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</si>
  <si>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</si>
  <si>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</si>
  <si>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</si>
  <si>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</si>
  <si>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</si>
  <si>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</si>
  <si>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</si>
  <si>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</si>
  <si>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</si>
  <si>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</si>
  <si>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</si>
  <si>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</si>
  <si>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</si>
  <si>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</si>
  <si>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</si>
  <si>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</si>
  <si>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</si>
  <si>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</si>
  <si>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</si>
  <si>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</si>
  <si>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</si>
  <si>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</si>
  <si>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</si>
  <si>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</si>
  <si>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</si>
  <si>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</si>
  <si>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</si>
  <si>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</si>
  <si>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</si>
  <si>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</si>
  <si>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</si>
  <si>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</si>
  <si>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</si>
  <si>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</si>
  <si>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</si>
  <si>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</si>
  <si>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</si>
  <si>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</si>
  <si>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</si>
  <si>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</si>
  <si>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</si>
  <si>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</si>
  <si>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</si>
  <si>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</si>
  <si>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</si>
  <si>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</si>
  <si>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</si>
  <si>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</si>
  <si>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</si>
  <si>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</si>
  <si>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</si>
  <si>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</si>
  <si>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</si>
  <si>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</si>
  <si>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</si>
  <si>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</si>
  <si>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</si>
  <si>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</si>
  <si>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</si>
  <si>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</si>
  <si>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</si>
  <si>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</si>
  <si>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</si>
  <si>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</si>
  <si>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</si>
  <si>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</si>
  <si>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</si>
  <si>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</si>
  <si>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</si>
  <si>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</si>
  <si>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</si>
  <si>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</si>
  <si>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</si>
  <si>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</si>
  <si>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</si>
  <si>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</si>
  <si>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</si>
  <si>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</si>
  <si>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</si>
  <si>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</si>
  <si>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</si>
  <si>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</si>
  <si>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</si>
  <si>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</si>
  <si>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</si>
  <si>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</si>
  <si>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</si>
  <si>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</si>
  <si>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</si>
  <si>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</si>
  <si>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</si>
  <si>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</si>
  <si>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</si>
  <si>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</si>
  <si>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</si>
  <si>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</si>
  <si>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</si>
  <si>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</si>
  <si>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</si>
  <si>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</si>
  <si>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</si>
  <si>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</si>
  <si>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</si>
  <si>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</si>
  <si>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</si>
  <si>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</si>
  <si>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</si>
  <si>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</si>
  <si>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</si>
  <si>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</si>
  <si>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</si>
  <si>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</si>
  <si>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</si>
  <si>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</si>
  <si>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</si>
  <si>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</si>
  <si>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</si>
  <si>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</si>
  <si>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</si>
  <si>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</si>
  <si>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</si>
  <si>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</si>
  <si>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</si>
  <si>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</si>
  <si>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</si>
  <si>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</si>
  <si>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</si>
  <si>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</si>
  <si>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</si>
  <si>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</si>
  <si>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</si>
  <si>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</si>
  <si>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</si>
  <si>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</si>
  <si>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</si>
  <si>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</si>
  <si>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</si>
  <si>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</si>
  <si>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</si>
  <si>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</si>
  <si>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</si>
  <si>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</si>
  <si>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</si>
  <si>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</si>
  <si>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</si>
  <si>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</si>
  <si>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</si>
  <si>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</si>
  <si>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</si>
  <si>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</si>
  <si>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</si>
  <si>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</si>
  <si>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</si>
  <si>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</si>
  <si>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</si>
  <si>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</si>
  <si>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</si>
  <si>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</si>
  <si>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</si>
  <si>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</si>
  <si>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</si>
  <si>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</si>
  <si>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</si>
  <si>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</si>
  <si>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</si>
  <si>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</si>
  <si>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</si>
  <si>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</si>
  <si>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</si>
  <si>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</si>
  <si>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</si>
  <si>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</si>
  <si>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</si>
  <si>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</si>
  <si>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</si>
  <si>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</si>
  <si>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</si>
  <si>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</si>
  <si>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</si>
  <si>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</si>
  <si>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</si>
  <si>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</si>
  <si>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</si>
  <si>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</si>
  <si>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</si>
  <si>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</si>
  <si>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</si>
  <si>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</si>
  <si>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</si>
  <si>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</si>
  <si>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</si>
  <si>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</si>
  <si>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</si>
  <si>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</si>
  <si>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</si>
  <si>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</si>
  <si>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</si>
  <si>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</si>
  <si>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</si>
  <si>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</si>
  <si>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</si>
  <si>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</si>
  <si>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</si>
  <si>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</si>
  <si>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</si>
  <si>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</si>
  <si>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</si>
  <si>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</si>
  <si>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</si>
  <si>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</si>
  <si>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</si>
  <si>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</si>
  <si>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</si>
  <si>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</si>
  <si>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</si>
  <si>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</si>
  <si>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</si>
  <si>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</si>
  <si>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</si>
  <si>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</si>
  <si>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</si>
  <si>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</si>
  <si>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</si>
  <si>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</si>
  <si>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</si>
  <si>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</si>
  <si>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</si>
  <si>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</si>
  <si>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</si>
  <si>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</si>
  <si>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</si>
  <si>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</si>
  <si>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</si>
  <si>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</si>
  <si>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</si>
  <si>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</si>
  <si>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</si>
  <si>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</si>
  <si>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</si>
  <si>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</si>
  <si>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</si>
  <si>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</si>
  <si>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</si>
  <si>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</si>
  <si>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</si>
  <si>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</si>
  <si>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</si>
  <si>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</si>
  <si>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</si>
  <si>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</si>
  <si>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</si>
  <si>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</si>
  <si>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</si>
  <si>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</si>
  <si>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</si>
  <si>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</si>
  <si>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</si>
  <si>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</si>
  <si>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</si>
  <si>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</si>
  <si>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</si>
  <si>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</si>
  <si>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</si>
  <si>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</si>
  <si>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</si>
  <si>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</si>
  <si>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</si>
  <si>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</si>
  <si>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</si>
  <si>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</si>
  <si>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</si>
  <si>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</si>
  <si>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</si>
  <si>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</si>
  <si>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</si>
  <si>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</si>
  <si>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</si>
  <si>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</si>
  <si>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</si>
  <si>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</si>
  <si>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</si>
  <si>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</si>
  <si>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</si>
  <si>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</si>
  <si>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</si>
  <si>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</si>
  <si>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</si>
  <si>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</si>
  <si>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</si>
  <si>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</si>
  <si>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</si>
  <si>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</si>
  <si>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</si>
  <si>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</si>
  <si>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</si>
  <si>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</si>
  <si>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</si>
  <si>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</si>
  <si>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</si>
  <si>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</si>
  <si>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</si>
  <si>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</si>
  <si>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</si>
  <si>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</si>
  <si>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</si>
  <si>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</si>
  <si>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</si>
  <si>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</si>
  <si>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</si>
  <si>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</si>
  <si>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</si>
  <si>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</si>
  <si>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</si>
  <si>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</si>
  <si>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</si>
  <si>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</si>
  <si>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</si>
  <si>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</si>
  <si>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</si>
  <si>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</si>
  <si>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</si>
  <si>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</si>
  <si>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</si>
  <si>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</si>
  <si>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</si>
  <si>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</si>
  <si>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</si>
  <si>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</si>
  <si>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</si>
  <si>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</si>
  <si>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</si>
  <si>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</si>
  <si>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</si>
  <si>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</si>
  <si>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</si>
  <si>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</si>
  <si>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</si>
  <si>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</si>
  <si>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</si>
  <si>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</si>
  <si>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</si>
  <si>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</si>
  <si>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</si>
  <si>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</si>
  <si>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</si>
  <si>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</si>
  <si>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</si>
  <si>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</si>
  <si>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</si>
  <si>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</si>
  <si>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</si>
  <si>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</si>
  <si>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</si>
  <si>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</si>
  <si>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</si>
  <si>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</si>
  <si>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</si>
  <si>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</si>
  <si>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</si>
  <si>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</si>
  <si>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</si>
  <si>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</si>
  <si>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</si>
  <si>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</si>
  <si>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</si>
  <si>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</si>
  <si>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</si>
  <si>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</si>
  <si>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</si>
  <si>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</si>
  <si>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</si>
  <si>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</si>
  <si>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</si>
  <si>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</si>
  <si>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</si>
  <si>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</si>
  <si>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</si>
  <si>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</si>
  <si>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</si>
  <si>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</si>
  <si>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</si>
  <si>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</si>
  <si>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</si>
  <si>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</si>
  <si>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</si>
  <si>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</si>
  <si>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</si>
  <si>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</si>
  <si>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</si>
  <si>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</si>
  <si>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</si>
  <si>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</si>
  <si>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</si>
  <si>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</si>
  <si>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</si>
  <si>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</si>
  <si>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</si>
  <si>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</si>
  <si>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</si>
  <si>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</si>
  <si>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</si>
  <si>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</si>
  <si>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</si>
  <si>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</si>
  <si>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</si>
  <si>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</si>
  <si>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</si>
  <si>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</si>
  <si>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</si>
  <si>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</si>
  <si>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</si>
  <si>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</si>
  <si>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</si>
  <si>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</si>
  <si>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</si>
  <si>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</si>
  <si>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</si>
  <si>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</si>
  <si>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</si>
  <si>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</si>
  <si>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</si>
  <si>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</si>
  <si>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</si>
  <si>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</si>
  <si>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</si>
  <si>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</si>
  <si>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</si>
  <si>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</si>
  <si>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</si>
  <si>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</si>
  <si>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</si>
  <si>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</si>
  <si>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</si>
  <si>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</si>
  <si>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</si>
  <si>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</si>
  <si>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</si>
  <si>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</si>
  <si>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</si>
  <si>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</si>
  <si>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</si>
  <si>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</si>
  <si>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</si>
  <si>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</si>
  <si>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</si>
  <si>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</si>
  <si>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</si>
  <si>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</si>
  <si>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</si>
  <si>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</si>
  <si>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</si>
  <si>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</si>
  <si>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</si>
  <si>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</si>
  <si>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</si>
  <si>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</si>
  <si>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</si>
  <si>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</si>
  <si>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</si>
  <si>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</si>
  <si>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</si>
  <si>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</si>
  <si>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</si>
  <si>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</si>
  <si>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</si>
  <si>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</si>
  <si>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</si>
  <si>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</si>
  <si>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</si>
  <si>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</si>
  <si>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</si>
  <si>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</si>
  <si>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</si>
  <si>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</si>
  <si>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</si>
  <si>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</si>
  <si>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</si>
  <si>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</si>
  <si>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</si>
  <si>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</si>
  <si>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</si>
  <si>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</si>
  <si>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</si>
  <si>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</si>
  <si>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</si>
  <si>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</si>
  <si>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</si>
  <si>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</si>
  <si>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</si>
  <si>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</si>
  <si>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</si>
  <si>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</si>
  <si>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</si>
  <si>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</si>
  <si>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</si>
  <si>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</si>
  <si>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</si>
  <si>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</si>
  <si>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</si>
  <si>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</si>
  <si>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</si>
  <si>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</si>
  <si>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</si>
  <si>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</si>
  <si>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</si>
  <si>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</si>
  <si>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</si>
  <si>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</si>
  <si>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</si>
  <si>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</si>
  <si>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</si>
  <si>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</si>
  <si>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</si>
  <si>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</si>
  <si>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</si>
  <si>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</si>
  <si>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</si>
  <si>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</si>
  <si>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</si>
  <si>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</si>
  <si>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</si>
  <si>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</si>
  <si>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</si>
  <si>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</si>
  <si>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</si>
  <si>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</si>
  <si>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</si>
  <si>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</si>
  <si>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</si>
  <si>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</si>
  <si>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</si>
  <si>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</si>
  <si>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</si>
  <si>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</si>
  <si>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</si>
  <si>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</si>
  <si>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</si>
  <si>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</si>
  <si>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</si>
  <si>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</si>
  <si>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</si>
  <si>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</si>
  <si>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</si>
  <si>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</si>
  <si>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</si>
  <si>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</si>
  <si>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</si>
  <si>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</si>
  <si>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</si>
  <si>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</si>
  <si>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</si>
  <si>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</si>
  <si>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Self-employed Non-Professional (SENP)</t>
  </si>
  <si>
    <t>12.32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</si>
</sst>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49" fontId="42" fillId="5" borderId="1" xfId="0" applyNumberFormat="1" applyFont="1" applyFill="1" applyBorder="1" applyAlignment="1" applyProtection="1">
      <alignment horizontal="center" vertical="top" wrapText="1"/>
      <protection locked="0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32" fillId="34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2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2" fillId="32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 applyProtection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45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2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topLeftCell="A8" workbookViewId="0">
      <selection activeCell="F22" sqref="F22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65" t="s">
        <v>2</v>
      </c>
      <c r="F1" s="366"/>
      <c r="G1" s="367"/>
      <c r="H1" s="368" t="s">
        <v>2049</v>
      </c>
      <c r="I1" s="369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63" t="s">
        <v>3</v>
      </c>
      <c r="B4" s="363"/>
      <c r="C4" s="363"/>
      <c r="D4" s="363"/>
      <c r="E4" s="363"/>
      <c r="F4" s="363"/>
      <c r="G4" s="363"/>
      <c r="H4" s="363"/>
      <c r="I4" s="363"/>
      <c r="J4" s="36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0" t="s">
        <v>4</v>
      </c>
      <c r="B5" s="350" t="s">
        <v>5</v>
      </c>
      <c r="C5" s="350" t="s">
        <v>6</v>
      </c>
      <c r="D5" s="350" t="s">
        <v>7</v>
      </c>
      <c r="E5" s="350" t="s">
        <v>8</v>
      </c>
      <c r="F5" s="350"/>
      <c r="G5" s="350" t="s">
        <v>9</v>
      </c>
      <c r="H5" s="350" t="s">
        <v>10</v>
      </c>
      <c r="I5" s="350" t="s">
        <v>11</v>
      </c>
      <c r="J5" s="350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0"/>
      <c r="B6" s="350"/>
      <c r="C6" s="350"/>
      <c r="D6" s="350"/>
      <c r="E6" s="2" t="s">
        <v>13</v>
      </c>
      <c r="F6" s="2" t="s">
        <v>14</v>
      </c>
      <c r="G6" s="350"/>
      <c r="H6" s="350"/>
      <c r="I6" s="350"/>
      <c r="J6" s="35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15</v>
      </c>
      <c r="C7" s="183" t="s">
        <v>16</v>
      </c>
      <c r="D7" s="324" t="s">
        <v>17</v>
      </c>
      <c r="E7" s="325">
        <f>2024-1975</f>
        <v>49</v>
      </c>
      <c r="F7" s="325">
        <f t="shared" ref="F7:F8" si="0">E7+20</f>
        <v>69</v>
      </c>
      <c r="G7" s="324" t="s">
        <v>18</v>
      </c>
      <c r="H7" s="325">
        <v>781</v>
      </c>
      <c r="I7" s="325" t="s">
        <v>19</v>
      </c>
      <c r="J7" s="325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20</v>
      </c>
      <c r="C8" s="183" t="s">
        <v>16</v>
      </c>
      <c r="D8" s="324" t="s">
        <v>21</v>
      </c>
      <c r="E8" s="325">
        <f>2024-1982</f>
        <v>42</v>
      </c>
      <c r="F8" s="325">
        <f t="shared" si="0"/>
        <v>62</v>
      </c>
      <c r="G8" s="324" t="s">
        <v>22</v>
      </c>
      <c r="H8" s="325">
        <v>-1</v>
      </c>
      <c r="I8" s="325" t="s">
        <v>23</v>
      </c>
      <c r="J8" s="325" t="s">
        <v>23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63" t="s">
        <v>24</v>
      </c>
      <c r="B19" s="363"/>
      <c r="C19" s="363"/>
      <c r="D19" s="363"/>
      <c r="E19" s="363"/>
      <c r="F19" s="363"/>
      <c r="G19" s="36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5"/>
      <c r="B20" s="355"/>
      <c r="C20" s="355"/>
      <c r="D20" s="355"/>
      <c r="E20" s="355"/>
      <c r="F20" s="355"/>
      <c r="G20" s="35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31</v>
      </c>
      <c r="C22" s="194" t="s">
        <v>32</v>
      </c>
      <c r="D22" s="326">
        <v>3000000</v>
      </c>
      <c r="E22" s="327">
        <v>240</v>
      </c>
      <c r="F22" s="347" t="s">
        <v>2050</v>
      </c>
      <c r="G22" s="12">
        <f>IFERROR(CEILING(PMT(F22/12,E22,-D22),1),0)</f>
        <v>3080000</v>
      </c>
      <c r="H22" s="329" t="s">
        <v>33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34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35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36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37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38</v>
      </c>
      <c r="B27" s="361"/>
      <c r="C27" s="362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0</v>
      </c>
      <c r="G27" s="331">
        <f>SUM(G22:G26)</f>
        <v>3080000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39</v>
      </c>
      <c r="D28" s="334">
        <f>D27-SUMIF(B22:B26,Validation!A37,D22:D26)-SUMIF(B22:B26,Validation!A38,D22:D26)</f>
        <v>3000000</v>
      </c>
      <c r="F28" s="335">
        <f>G27/D27</f>
        <v>1.0266666666666666</v>
      </c>
      <c r="G28" s="334">
        <f>G27-SUMIF(B22:B26,Validation!A37,G22:G26)-SUMIF(B22:B26,Validation!A38,G22:G26)</f>
        <v>3080000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63" t="s">
        <v>40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44"/>
      <c r="P31" s="44"/>
      <c r="Q31" s="44"/>
      <c r="R31" s="44"/>
      <c r="S31" s="44"/>
      <c r="T31" s="44"/>
      <c r="U31" s="44"/>
    </row>
    <row r="32" spans="1:21">
      <c r="A32" s="364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36" t="s">
        <v>41</v>
      </c>
      <c r="C33" s="2" t="s">
        <v>42</v>
      </c>
      <c r="D33" s="336" t="s">
        <v>43</v>
      </c>
      <c r="E33" s="336" t="s">
        <v>44</v>
      </c>
      <c r="F33" s="2" t="s">
        <v>45</v>
      </c>
      <c r="G33" s="336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336" t="s">
        <v>51</v>
      </c>
      <c r="M33" s="2" t="s">
        <v>52</v>
      </c>
      <c r="N33" s="2" t="s">
        <v>53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6" t="str">
        <f>IF(OR(I34="",J34=""),"",IF(M34&gt;15%,"3rd Valuation to be fired if Lowest Valuation not sufficient for Eligibility",""))</f>
        <v/>
      </c>
      <c r="P34" s="357"/>
      <c r="Q34" s="357"/>
      <c r="R34" s="357"/>
      <c r="S34" s="357"/>
      <c r="T34" s="357"/>
      <c r="U34" s="357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6" t="str">
        <f t="shared" ref="O35:O38" si="4">IF(OR(I35="",J35=""),"",IF(M35&gt;15%,"3rd Valuation to be fired if Lowest Valuation not sufficient for Eligibility",""))</f>
        <v/>
      </c>
      <c r="P35" s="357"/>
      <c r="Q35" s="357"/>
      <c r="R35" s="357"/>
      <c r="S35" s="357"/>
      <c r="T35" s="357"/>
      <c r="U35" s="357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6" t="str">
        <f t="shared" si="4"/>
        <v/>
      </c>
      <c r="P36" s="357"/>
      <c r="Q36" s="357"/>
      <c r="R36" s="357"/>
      <c r="S36" s="357"/>
      <c r="T36" s="357"/>
      <c r="U36" s="357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6" t="str">
        <f t="shared" si="4"/>
        <v/>
      </c>
      <c r="P37" s="357"/>
      <c r="Q37" s="357"/>
      <c r="R37" s="357"/>
      <c r="S37" s="357"/>
      <c r="T37" s="357"/>
      <c r="U37" s="357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6" t="str">
        <f t="shared" si="4"/>
        <v/>
      </c>
      <c r="P38" s="357"/>
      <c r="Q38" s="357"/>
      <c r="R38" s="357"/>
      <c r="S38" s="357"/>
      <c r="T38" s="357"/>
      <c r="U38" s="357"/>
    </row>
    <row r="39" spans="1:21">
      <c r="A39" s="358" t="s">
        <v>38</v>
      </c>
      <c r="B39" s="359"/>
      <c r="C39" s="359"/>
      <c r="D39" s="359"/>
      <c r="E39" s="359"/>
      <c r="F39" s="360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54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53" t="s">
        <v>55</v>
      </c>
      <c r="B43" s="353"/>
      <c r="C43" s="353"/>
      <c r="D43" s="353"/>
      <c r="E43" s="35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54" t="s">
        <v>56</v>
      </c>
      <c r="E44" s="35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0" t="s">
        <v>57</v>
      </c>
      <c r="B45" s="350"/>
      <c r="C45" s="350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1" t="s">
        <v>58</v>
      </c>
      <c r="B46" s="351"/>
      <c r="C46" s="351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1" t="s">
        <v>59</v>
      </c>
      <c r="B47" s="351"/>
      <c r="C47" s="351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1" t="s">
        <v>60</v>
      </c>
      <c r="B48" s="351"/>
      <c r="C48" s="351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1" t="s">
        <v>61</v>
      </c>
      <c r="B49" s="351"/>
      <c r="C49" s="351"/>
      <c r="D49" s="326"/>
      <c r="E49" s="34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2" t="s">
        <v>62</v>
      </c>
      <c r="B50" s="351"/>
      <c r="C50" s="351"/>
      <c r="D50" s="326"/>
      <c r="E50" s="34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1" t="s">
        <v>63</v>
      </c>
      <c r="B51" s="351"/>
      <c r="C51" s="351"/>
      <c r="D51" s="326"/>
      <c r="E51" s="34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1" t="s">
        <v>64</v>
      </c>
      <c r="B52" s="351"/>
      <c r="C52" s="351"/>
      <c r="D52" s="326"/>
      <c r="E52" s="34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1" t="s">
        <v>65</v>
      </c>
      <c r="B53" s="351"/>
      <c r="C53" s="351"/>
      <c r="D53" s="326"/>
      <c r="E53" s="34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1" t="s">
        <v>66</v>
      </c>
      <c r="B54" s="351"/>
      <c r="C54" s="351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94" t="s">
        <v>67</v>
      </c>
      <c r="B1" s="394"/>
      <c r="C1" s="394"/>
      <c r="D1" s="394"/>
      <c r="E1" s="394"/>
      <c r="F1" s="394"/>
    </row>
    <row r="2" spans="1:6" s="295" customFormat="1">
      <c r="A2" s="299" t="s">
        <v>68</v>
      </c>
      <c r="B2" s="392">
        <f>BasicInput!$D$27</f>
        <v>3000000</v>
      </c>
      <c r="C2" s="392"/>
      <c r="D2" s="392"/>
      <c r="E2" s="392"/>
      <c r="F2" s="392"/>
    </row>
    <row r="3" spans="1:6" s="295" customFormat="1">
      <c r="A3" s="299" t="s">
        <v>69</v>
      </c>
      <c r="B3" s="395">
        <f>BasicInput!$F$27</f>
        <v>0</v>
      </c>
      <c r="C3" s="395"/>
      <c r="D3" s="396"/>
      <c r="E3" s="396"/>
      <c r="F3" s="396"/>
    </row>
    <row r="4" spans="1:6" s="295" customFormat="1">
      <c r="A4" s="299" t="s">
        <v>70</v>
      </c>
      <c r="B4" s="397">
        <f>BasicInput!$E$27</f>
        <v>240</v>
      </c>
      <c r="C4" s="396"/>
      <c r="D4" s="396"/>
      <c r="E4" s="396"/>
      <c r="F4" s="396"/>
    </row>
    <row r="5" spans="1:6" s="295" customFormat="1">
      <c r="A5" s="299" t="s">
        <v>71</v>
      </c>
      <c r="B5" s="397">
        <f>BasicInput!$G$27</f>
        <v>3080000</v>
      </c>
      <c r="C5" s="397"/>
      <c r="D5" s="397"/>
      <c r="E5" s="397"/>
      <c r="F5" s="397"/>
    </row>
    <row r="6" spans="1:6" s="295" customFormat="1">
      <c r="A6" s="128"/>
      <c r="B6" s="379"/>
      <c r="C6" s="380"/>
      <c r="D6" s="380"/>
      <c r="E6" s="380"/>
      <c r="F6" s="381"/>
    </row>
    <row r="7" spans="1:6" s="295" customFormat="1">
      <c r="A7" s="299" t="s">
        <v>72</v>
      </c>
      <c r="B7" s="393" t="s">
        <v>31</v>
      </c>
      <c r="C7" s="393"/>
      <c r="D7" s="393"/>
      <c r="E7" s="393"/>
      <c r="F7" s="393"/>
    </row>
    <row r="8" spans="1:6" s="295" customFormat="1">
      <c r="A8" s="300" t="s">
        <v>73</v>
      </c>
      <c r="B8" s="391" t="s">
        <v>74</v>
      </c>
      <c r="C8" s="391"/>
      <c r="D8" s="391"/>
      <c r="E8" s="391"/>
      <c r="F8" s="391"/>
    </row>
    <row r="9" spans="1:6" s="295" customFormat="1">
      <c r="A9" s="128" t="s">
        <v>75</v>
      </c>
      <c r="B9" s="392">
        <f>BasicInput!$I$39</f>
        <v>0</v>
      </c>
      <c r="C9" s="392"/>
      <c r="D9" s="392"/>
      <c r="E9" s="392"/>
      <c r="F9" s="392"/>
    </row>
    <row r="10" spans="1:6" s="295" customFormat="1">
      <c r="A10" s="128" t="s">
        <v>76</v>
      </c>
      <c r="B10" s="392">
        <f>BasicInput!$J$39</f>
        <v>0</v>
      </c>
      <c r="C10" s="392"/>
      <c r="D10" s="392"/>
      <c r="E10" s="392"/>
      <c r="F10" s="392"/>
    </row>
    <row r="11" spans="1:6" s="295" customFormat="1">
      <c r="A11" s="130" t="s">
        <v>77</v>
      </c>
      <c r="B11" s="390">
        <f>IF($B$2&lt;5000000,$B$9,MIN($B$9,$B$10))</f>
        <v>0</v>
      </c>
      <c r="C11" s="390"/>
      <c r="D11" s="390"/>
      <c r="E11" s="390"/>
      <c r="F11" s="390"/>
    </row>
    <row r="12" spans="1:6" s="295" customFormat="1">
      <c r="A12" s="128"/>
      <c r="B12" s="379"/>
      <c r="C12" s="380"/>
      <c r="D12" s="380"/>
      <c r="E12" s="380"/>
      <c r="F12" s="381"/>
    </row>
    <row r="13" spans="1:6" s="295" customFormat="1">
      <c r="A13" s="300" t="s">
        <v>78</v>
      </c>
      <c r="B13" s="391" t="s">
        <v>74</v>
      </c>
      <c r="C13" s="391"/>
      <c r="D13" s="391"/>
      <c r="E13" s="391"/>
      <c r="F13" s="391"/>
    </row>
    <row r="14" spans="1:6" s="295" customFormat="1" ht="25.5">
      <c r="A14" s="128" t="s">
        <v>79</v>
      </c>
      <c r="B14" s="392">
        <f>'ExistingLoans&amp;Facilities&amp;RTR'!$N$103</f>
        <v>0</v>
      </c>
      <c r="C14" s="392"/>
      <c r="D14" s="392"/>
      <c r="E14" s="392"/>
      <c r="F14" s="392"/>
    </row>
    <row r="15" spans="1:6" s="295" customFormat="1">
      <c r="A15" s="128" t="s">
        <v>80</v>
      </c>
      <c r="B15" s="392">
        <f>'ExistingLoans&amp;Facilities&amp;RTR'!$N$105</f>
        <v>0</v>
      </c>
      <c r="C15" s="392"/>
      <c r="D15" s="392"/>
      <c r="E15" s="392"/>
      <c r="F15" s="392"/>
    </row>
    <row r="16" spans="1:6">
      <c r="A16" s="128"/>
      <c r="B16" s="379"/>
      <c r="C16" s="380"/>
      <c r="D16" s="380"/>
      <c r="E16" s="380"/>
      <c r="F16" s="381"/>
    </row>
    <row r="17" spans="1:35">
      <c r="A17" s="382" t="s">
        <v>81</v>
      </c>
      <c r="B17" s="382"/>
      <c r="C17" s="382"/>
      <c r="D17" s="382"/>
      <c r="E17" s="382"/>
      <c r="F17" s="382"/>
    </row>
    <row r="18" spans="1:35" s="296" customFormat="1">
      <c r="A18" s="302" t="s">
        <v>82</v>
      </c>
      <c r="B18" s="303" t="s">
        <v>83</v>
      </c>
      <c r="C18" s="303" t="s">
        <v>84</v>
      </c>
      <c r="D18" s="303" t="s">
        <v>85</v>
      </c>
      <c r="E18" s="303" t="s">
        <v>86</v>
      </c>
      <c r="F18" s="303" t="s">
        <v>87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4" t="s">
        <v>88</v>
      </c>
      <c r="B19" s="384"/>
      <c r="C19" s="384"/>
      <c r="D19" s="384"/>
      <c r="E19" s="384"/>
      <c r="F19" s="384"/>
    </row>
    <row r="20" spans="1:35">
      <c r="A20" s="305" t="s">
        <v>89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90</v>
      </c>
      <c r="F20" s="127"/>
    </row>
    <row r="21" spans="1:35">
      <c r="A21" s="305" t="s">
        <v>91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90</v>
      </c>
      <c r="F21" s="127"/>
    </row>
    <row r="22" spans="1:35">
      <c r="A22" s="305" t="s">
        <v>92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90</v>
      </c>
      <c r="F22" s="127"/>
    </row>
    <row r="23" spans="1:35">
      <c r="A23" s="305" t="s">
        <v>93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90</v>
      </c>
      <c r="F23" s="127"/>
    </row>
    <row r="24" spans="1:35">
      <c r="A24" s="309" t="s">
        <v>94</v>
      </c>
      <c r="B24" s="306">
        <v>1</v>
      </c>
      <c r="C24" s="264"/>
      <c r="D24" s="310">
        <f>SUM(D20:D23)</f>
        <v>0</v>
      </c>
      <c r="E24" s="308" t="s">
        <v>90</v>
      </c>
      <c r="F24" s="127"/>
    </row>
    <row r="25" spans="1:35">
      <c r="A25" s="305" t="s">
        <v>95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90</v>
      </c>
      <c r="F25" s="127"/>
    </row>
    <row r="26" spans="1:35">
      <c r="A26" s="130" t="s">
        <v>96</v>
      </c>
      <c r="B26" s="311">
        <v>1</v>
      </c>
      <c r="C26" s="312"/>
      <c r="D26" s="301">
        <f>D24-D25</f>
        <v>0</v>
      </c>
      <c r="E26" s="313" t="s">
        <v>90</v>
      </c>
      <c r="F26" s="313">
        <f t="shared" ref="F26:F30" si="0">IF(E26="Monthly",(D26*B26)*12,(D26*B26))</f>
        <v>0</v>
      </c>
    </row>
    <row r="27" spans="1:35">
      <c r="A27" s="384" t="s">
        <v>97</v>
      </c>
      <c r="B27" s="384"/>
      <c r="C27" s="384"/>
      <c r="D27" s="384"/>
      <c r="E27" s="384"/>
      <c r="F27" s="384"/>
    </row>
    <row r="28" spans="1:35">
      <c r="A28" s="128" t="s">
        <v>98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99</v>
      </c>
      <c r="F28" s="308">
        <f t="shared" si="0"/>
        <v>0</v>
      </c>
    </row>
    <row r="29" spans="1:35">
      <c r="A29" s="128" t="s">
        <v>100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99</v>
      </c>
      <c r="F29" s="308">
        <f t="shared" si="0"/>
        <v>0</v>
      </c>
    </row>
    <row r="30" spans="1:35">
      <c r="A30" s="128" t="s">
        <v>101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99</v>
      </c>
      <c r="F30" s="308">
        <f t="shared" si="0"/>
        <v>0</v>
      </c>
    </row>
    <row r="31" spans="1:35">
      <c r="A31" s="384" t="s">
        <v>102</v>
      </c>
      <c r="B31" s="384"/>
      <c r="C31" s="384"/>
      <c r="D31" s="384"/>
      <c r="E31" s="384"/>
      <c r="F31" s="384"/>
    </row>
    <row r="32" spans="1:35" ht="25.5">
      <c r="A32" s="128" t="s">
        <v>103</v>
      </c>
      <c r="B32" s="314">
        <v>1</v>
      </c>
      <c r="C32" s="312"/>
      <c r="D32" s="315"/>
      <c r="E32" s="308" t="s">
        <v>90</v>
      </c>
      <c r="F32" s="308"/>
    </row>
    <row r="33" spans="1:6" ht="25.5">
      <c r="A33" s="342" t="s">
        <v>104</v>
      </c>
      <c r="B33" s="314">
        <v>1</v>
      </c>
      <c r="C33" s="312"/>
      <c r="D33" s="315"/>
      <c r="E33" s="308" t="s">
        <v>90</v>
      </c>
      <c r="F33" s="308"/>
    </row>
    <row r="34" spans="1:6">
      <c r="A34" s="128" t="s">
        <v>105</v>
      </c>
      <c r="B34" s="312"/>
      <c r="C34" s="312"/>
      <c r="D34" s="315"/>
      <c r="E34" s="312"/>
      <c r="F34" s="312"/>
    </row>
    <row r="35" spans="1:6">
      <c r="A35" s="384" t="s">
        <v>106</v>
      </c>
      <c r="B35" s="384"/>
      <c r="C35" s="384"/>
      <c r="D35" s="384"/>
      <c r="E35" s="384"/>
      <c r="F35" s="384"/>
    </row>
    <row r="36" spans="1:6" s="295" customFormat="1">
      <c r="A36" s="128" t="s">
        <v>107</v>
      </c>
      <c r="B36" s="314">
        <v>0.5</v>
      </c>
      <c r="C36" s="317"/>
      <c r="D36" s="316">
        <f>BasicInput!D49</f>
        <v>0</v>
      </c>
      <c r="E36" s="316" t="s">
        <v>99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108</v>
      </c>
      <c r="B37" s="314">
        <v>0.5</v>
      </c>
      <c r="C37" s="316"/>
      <c r="D37" s="316"/>
      <c r="E37" s="316" t="s">
        <v>99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109</v>
      </c>
      <c r="B38" s="314">
        <v>0.5</v>
      </c>
      <c r="C38" s="316"/>
      <c r="D38" s="316">
        <f>BasicInput!D50</f>
        <v>0</v>
      </c>
      <c r="E38" s="316" t="s">
        <v>99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110</v>
      </c>
      <c r="B39" s="314">
        <v>1</v>
      </c>
      <c r="C39" s="316"/>
      <c r="D39" s="316">
        <f>BasicInput!D51</f>
        <v>0</v>
      </c>
      <c r="E39" s="316" t="s">
        <v>99</v>
      </c>
      <c r="F39" s="308">
        <f t="shared" si="1"/>
        <v>0</v>
      </c>
    </row>
    <row r="40" spans="1:6" s="295" customFormat="1">
      <c r="A40" s="128" t="s">
        <v>106</v>
      </c>
      <c r="B40" s="314">
        <v>1</v>
      </c>
      <c r="C40" s="316"/>
      <c r="D40" s="316">
        <f>BasicInput!D52</f>
        <v>0</v>
      </c>
      <c r="E40" s="316" t="s">
        <v>99</v>
      </c>
      <c r="F40" s="308">
        <f t="shared" si="1"/>
        <v>0</v>
      </c>
    </row>
    <row r="41" spans="1:6" s="295" customFormat="1">
      <c r="A41" s="385" t="s">
        <v>111</v>
      </c>
      <c r="B41" s="385"/>
      <c r="C41" s="385"/>
      <c r="D41" s="385"/>
      <c r="E41" s="385"/>
      <c r="F41" s="385"/>
    </row>
    <row r="42" spans="1:6" s="295" customFormat="1" ht="12.75" customHeight="1">
      <c r="A42" s="386" t="s">
        <v>112</v>
      </c>
      <c r="B42" s="387"/>
      <c r="C42" s="387"/>
      <c r="D42" s="387"/>
      <c r="E42" s="387"/>
      <c r="F42" s="388"/>
    </row>
    <row r="43" spans="1:6" s="295" customFormat="1">
      <c r="A43" s="128" t="s">
        <v>113</v>
      </c>
      <c r="B43" s="318">
        <v>1</v>
      </c>
      <c r="C43" s="316"/>
      <c r="D43" s="316">
        <f>BasicInput!D53</f>
        <v>0</v>
      </c>
      <c r="E43" s="316" t="s">
        <v>99</v>
      </c>
      <c r="F43" s="308">
        <f>IF(E43="Monthly",(D43*B43)*12,(D43*B43))</f>
        <v>0</v>
      </c>
    </row>
    <row r="44" spans="1:6" s="295" customFormat="1">
      <c r="A44" s="128" t="s">
        <v>114</v>
      </c>
      <c r="B44" s="318">
        <v>1</v>
      </c>
      <c r="C44" s="316"/>
      <c r="D44" s="316"/>
      <c r="E44" s="316" t="s">
        <v>99</v>
      </c>
      <c r="F44" s="308">
        <f t="shared" ref="F44" si="2">IF(E44="Monthly",AVERAGE(C44*B44,D44*B44)*12,AVERAGE(C44*B44,D44*B44))</f>
        <v>0</v>
      </c>
    </row>
    <row r="45" spans="1:6" s="295" customFormat="1">
      <c r="A45" s="384" t="s">
        <v>115</v>
      </c>
      <c r="B45" s="384"/>
      <c r="C45" s="384"/>
      <c r="D45" s="384"/>
      <c r="E45" s="384"/>
      <c r="F45" s="313">
        <f>IF(SUM(F36:F40)&lt;F26,SUM(F26,F28:F30,F36:F40,F43:F44),SUM(F26,F28:F30,F26,F43:F44))</f>
        <v>0</v>
      </c>
    </row>
    <row r="46" spans="1:6" s="295" customFormat="1">
      <c r="A46" s="389" t="s">
        <v>116</v>
      </c>
      <c r="B46" s="389"/>
      <c r="C46" s="389"/>
      <c r="D46" s="389"/>
      <c r="E46" s="389"/>
      <c r="F46" s="389"/>
    </row>
    <row r="47" spans="1:6" s="295" customFormat="1">
      <c r="A47" s="128"/>
      <c r="B47" s="379"/>
      <c r="C47" s="380"/>
      <c r="D47" s="380"/>
      <c r="E47" s="380"/>
      <c r="F47" s="381"/>
    </row>
    <row r="48" spans="1:6" s="295" customFormat="1">
      <c r="A48" s="382" t="s">
        <v>117</v>
      </c>
      <c r="B48" s="382"/>
      <c r="C48" s="382"/>
      <c r="D48" s="382"/>
      <c r="E48" s="382"/>
      <c r="F48" s="382"/>
    </row>
    <row r="49" spans="1:10" s="295" customFormat="1" ht="2.25" customHeight="1">
      <c r="A49" s="371"/>
      <c r="B49" s="371"/>
      <c r="C49" s="371"/>
      <c r="D49" s="371"/>
      <c r="E49" s="371"/>
      <c r="F49" s="371"/>
    </row>
    <row r="50" spans="1:10" s="295" customFormat="1">
      <c r="A50" s="128" t="s">
        <v>118</v>
      </c>
      <c r="B50" s="383">
        <f>F45/12</f>
        <v>0</v>
      </c>
      <c r="C50" s="378"/>
      <c r="D50" s="378"/>
      <c r="E50" s="378"/>
      <c r="F50" s="378"/>
    </row>
    <row r="51" spans="1:10" s="295" customFormat="1">
      <c r="A51" s="128" t="s">
        <v>119</v>
      </c>
      <c r="B51" s="372">
        <f>IF(F45&gt;2400000,75%,IF(F45&gt;1200000,70%,IF(F45&gt;500000,65%,60%)))</f>
        <v>0.6</v>
      </c>
      <c r="C51" s="372"/>
      <c r="D51" s="372"/>
      <c r="E51" s="372"/>
      <c r="F51" s="372"/>
      <c r="J51" s="320"/>
    </row>
    <row r="52" spans="1:10" s="295" customFormat="1" ht="25.5">
      <c r="A52" s="128" t="s">
        <v>120</v>
      </c>
      <c r="B52" s="378">
        <f>B14</f>
        <v>0</v>
      </c>
      <c r="C52" s="378"/>
      <c r="D52" s="378"/>
      <c r="E52" s="378"/>
      <c r="F52" s="378"/>
      <c r="J52" s="320"/>
    </row>
    <row r="53" spans="1:10" s="295" customFormat="1">
      <c r="A53" s="128" t="s">
        <v>121</v>
      </c>
      <c r="B53" s="378">
        <f>(B50*B51)-B52</f>
        <v>0</v>
      </c>
      <c r="C53" s="378"/>
      <c r="D53" s="378"/>
      <c r="E53" s="378"/>
      <c r="F53" s="378"/>
    </row>
    <row r="54" spans="1:10" s="295" customFormat="1" ht="25.5">
      <c r="A54" s="319" t="s">
        <v>122</v>
      </c>
      <c r="B54" s="376" t="str">
        <f>IF((B53+D32-D33)&lt;=0,"Case Not Eligible",((B53/(PMT(B3/12,B4,-100000)))+(((D32*50%)-D33)/PMT(B3/12,IF(OR(D32="",D32=0),B4,D34),-100000)))*100000)</f>
        <v>Case Not Eligible</v>
      </c>
      <c r="C54" s="376"/>
      <c r="D54" s="376"/>
      <c r="E54" s="376"/>
      <c r="F54" s="376"/>
    </row>
    <row r="55" spans="1:10" s="295" customFormat="1" ht="2.25" customHeight="1">
      <c r="A55" s="371"/>
      <c r="B55" s="371"/>
      <c r="C55" s="371"/>
      <c r="D55" s="371"/>
      <c r="E55" s="371"/>
      <c r="F55" s="371"/>
    </row>
    <row r="56" spans="1:10" s="295" customFormat="1">
      <c r="A56" s="128" t="s">
        <v>123</v>
      </c>
      <c r="B56" s="377">
        <f>B11</f>
        <v>0</v>
      </c>
      <c r="C56" s="377"/>
      <c r="D56" s="377"/>
      <c r="E56" s="377"/>
      <c r="F56" s="377"/>
    </row>
    <row r="57" spans="1:10" s="295" customFormat="1">
      <c r="A57" s="128" t="s">
        <v>124</v>
      </c>
      <c r="B57" s="372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2"/>
      <c r="D57" s="372"/>
      <c r="E57" s="372"/>
      <c r="F57" s="372"/>
    </row>
    <row r="58" spans="1:10" s="295" customFormat="1">
      <c r="A58" s="319" t="s">
        <v>125</v>
      </c>
      <c r="B58" s="376">
        <f>B56*B57</f>
        <v>0</v>
      </c>
      <c r="C58" s="376"/>
      <c r="D58" s="376"/>
      <c r="E58" s="376"/>
      <c r="F58" s="376"/>
    </row>
    <row r="59" spans="1:10" s="295" customFormat="1" ht="2.25" customHeight="1">
      <c r="A59" s="371"/>
      <c r="B59" s="371"/>
      <c r="C59" s="371"/>
      <c r="D59" s="371"/>
      <c r="E59" s="371"/>
      <c r="F59" s="371"/>
    </row>
    <row r="60" spans="1:10" s="295" customFormat="1">
      <c r="A60" s="319" t="s">
        <v>126</v>
      </c>
      <c r="B60" s="376" t="str">
        <f>IF(B54="Case Not Eligible","Case Not Eligible",IF(B58=0,MIN(B54,B2),MIN(B54,B58,B2)))</f>
        <v>Case Not Eligible</v>
      </c>
      <c r="C60" s="376"/>
      <c r="D60" s="376"/>
      <c r="E60" s="376"/>
      <c r="F60" s="376"/>
    </row>
    <row r="61" spans="1:10" s="295" customFormat="1">
      <c r="A61" s="128" t="s">
        <v>127</v>
      </c>
      <c r="B61" s="377" t="str">
        <f>IF(B60="Case Not Eligible","Case Not Eligible",PMT(B3/12,B4,-B60))</f>
        <v>Case Not Eligible</v>
      </c>
      <c r="C61" s="377"/>
      <c r="D61" s="377"/>
      <c r="E61" s="377"/>
      <c r="F61" s="377"/>
    </row>
    <row r="62" spans="1:10" s="295" customFormat="1" ht="2.25" customHeight="1">
      <c r="A62" s="371"/>
      <c r="B62" s="371"/>
      <c r="C62" s="371"/>
      <c r="D62" s="371"/>
      <c r="E62" s="371"/>
      <c r="F62" s="371"/>
    </row>
    <row r="63" spans="1:10" s="295" customFormat="1">
      <c r="A63" s="128" t="s">
        <v>128</v>
      </c>
      <c r="B63" s="372">
        <f>IFERROR(SUM(PMT(B3/12,B4,-B2),B52)/B50,0)</f>
        <v>0</v>
      </c>
      <c r="C63" s="372"/>
      <c r="D63" s="372"/>
      <c r="E63" s="372"/>
      <c r="F63" s="372"/>
    </row>
    <row r="64" spans="1:10" s="295" customFormat="1">
      <c r="A64" s="128" t="s">
        <v>129</v>
      </c>
      <c r="B64" s="372">
        <f>IFERROR(B2/B56,0)</f>
        <v>0</v>
      </c>
      <c r="C64" s="372"/>
      <c r="D64" s="372"/>
      <c r="E64" s="372"/>
      <c r="F64" s="372"/>
    </row>
    <row r="65" spans="1:6" s="295" customFormat="1" ht="9.75" customHeight="1">
      <c r="A65" s="128"/>
      <c r="B65" s="373"/>
      <c r="C65" s="374"/>
      <c r="D65" s="374"/>
      <c r="E65" s="374"/>
      <c r="F65" s="375"/>
    </row>
    <row r="66" spans="1:6" s="295" customFormat="1">
      <c r="A66" s="321" t="s">
        <v>130</v>
      </c>
      <c r="B66" s="370" t="str">
        <f>IF(B63-B51&gt;0%,"Deviation Approval Required","Within Policy Norms")</f>
        <v>Within Policy Norms</v>
      </c>
      <c r="C66" s="370"/>
      <c r="D66" s="370"/>
      <c r="E66" s="370"/>
      <c r="F66" s="370"/>
    </row>
    <row r="67" spans="1:6" s="295" customFormat="1">
      <c r="A67" s="321" t="s">
        <v>131</v>
      </c>
      <c r="B67" s="370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70"/>
      <c r="D67" s="370"/>
      <c r="E67" s="370"/>
      <c r="F67" s="370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45261</v>
      </c>
      <c r="C7" s="290">
        <v>45292</v>
      </c>
      <c r="D7" s="290">
        <v>45323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45171</v>
      </c>
      <c r="C42" s="195"/>
      <c r="D42" s="406" t="s">
        <v>164</v>
      </c>
      <c r="E42" s="407"/>
    </row>
    <row r="43" spans="1:7">
      <c r="A43" s="293">
        <v>45200</v>
      </c>
      <c r="B43" s="294">
        <v>45198</v>
      </c>
      <c r="C43" s="195"/>
      <c r="D43" s="406" t="s">
        <v>164</v>
      </c>
      <c r="E43" s="407"/>
    </row>
    <row r="44" spans="1:7">
      <c r="A44" s="293">
        <v>45231</v>
      </c>
      <c r="B44" s="294">
        <v>45231</v>
      </c>
      <c r="C44" s="195"/>
      <c r="D44" s="406" t="s">
        <v>164</v>
      </c>
      <c r="E44" s="407"/>
    </row>
    <row r="45" spans="1:7">
      <c r="A45" s="293">
        <v>45261</v>
      </c>
      <c r="B45" s="294">
        <v>45261</v>
      </c>
      <c r="C45" s="195"/>
      <c r="D45" s="406" t="s">
        <v>164</v>
      </c>
      <c r="E45" s="407"/>
    </row>
    <row r="46" spans="1:7">
      <c r="A46" s="293">
        <v>45292</v>
      </c>
      <c r="B46" s="294">
        <v>45292</v>
      </c>
      <c r="C46" s="195"/>
      <c r="D46" s="406" t="s">
        <v>164</v>
      </c>
      <c r="E46" s="407"/>
    </row>
    <row r="47" spans="1:7">
      <c r="A47" s="293">
        <v>45323</v>
      </c>
      <c r="B47" s="294">
        <v>45323</v>
      </c>
      <c r="C47" s="195"/>
      <c r="D47" s="406" t="s">
        <v>164</v>
      </c>
      <c r="E47" s="407"/>
    </row>
    <row r="48" spans="1:7">
      <c r="A48" s="293"/>
      <c r="B48" s="294"/>
      <c r="C48" s="195"/>
      <c r="D48" s="406"/>
      <c r="E48" s="407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45231</v>
      </c>
      <c r="C7" s="290">
        <v>45261</v>
      </c>
      <c r="D7" s="290">
        <v>45292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92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93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142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143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144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45175</v>
      </c>
      <c r="C42" s="291"/>
      <c r="D42" s="406" t="s">
        <v>164</v>
      </c>
      <c r="E42" s="407"/>
    </row>
    <row r="43" spans="1:7">
      <c r="A43" s="293">
        <v>45200</v>
      </c>
      <c r="B43" s="294">
        <v>45202</v>
      </c>
      <c r="C43" s="291"/>
      <c r="D43" s="406" t="s">
        <v>164</v>
      </c>
      <c r="E43" s="407"/>
    </row>
    <row r="44" spans="1:7">
      <c r="A44" s="293">
        <v>45231</v>
      </c>
      <c r="B44" s="294">
        <v>45233</v>
      </c>
      <c r="C44" s="291"/>
      <c r="D44" s="406" t="s">
        <v>164</v>
      </c>
      <c r="E44" s="407"/>
    </row>
    <row r="45" spans="1:7">
      <c r="A45" s="293">
        <v>45261</v>
      </c>
      <c r="B45" s="294">
        <v>45263</v>
      </c>
      <c r="C45" s="291"/>
      <c r="D45" s="406" t="s">
        <v>164</v>
      </c>
      <c r="E45" s="407"/>
    </row>
    <row r="46" spans="1:7">
      <c r="A46" s="293">
        <v>45292</v>
      </c>
      <c r="B46" s="294">
        <v>45294</v>
      </c>
      <c r="C46" s="291"/>
      <c r="D46" s="406" t="s">
        <v>164</v>
      </c>
      <c r="E46" s="407"/>
    </row>
    <row r="47" spans="1:7">
      <c r="A47" s="293">
        <v>45323</v>
      </c>
      <c r="B47" s="294">
        <v>45325</v>
      </c>
      <c r="C47" s="291"/>
      <c r="D47" s="406" t="s">
        <v>164</v>
      </c>
      <c r="E47" s="407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170</v>
      </c>
      <c r="B2" s="275" t="s">
        <v>171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172</v>
      </c>
      <c r="B3" s="275" t="s">
        <v>173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174</v>
      </c>
      <c r="B4" s="275" t="s">
        <v>175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176</v>
      </c>
      <c r="B5" s="275" t="s">
        <v>177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178</v>
      </c>
      <c r="B6" s="275" t="s">
        <v>179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180</v>
      </c>
      <c r="B7" s="275" t="s">
        <v>181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182</v>
      </c>
      <c r="B8" s="275" t="s">
        <v>183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184</v>
      </c>
      <c r="B9" s="275" t="s">
        <v>185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186</v>
      </c>
      <c r="B10" s="275" t="s">
        <v>187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188</v>
      </c>
      <c r="B11" s="275" t="s">
        <v>185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189</v>
      </c>
      <c r="B12" s="275" t="s">
        <v>187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190</v>
      </c>
      <c r="B13" s="275" t="s">
        <v>191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192</v>
      </c>
      <c r="B14" s="275" t="s">
        <v>193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194</v>
      </c>
      <c r="B15" s="275" t="s">
        <v>195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196</v>
      </c>
      <c r="B16" s="275" t="s">
        <v>197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198</v>
      </c>
      <c r="B17" s="275" t="s">
        <v>199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200</v>
      </c>
      <c r="B18" s="275" t="s">
        <v>201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202</v>
      </c>
      <c r="B19" s="275" t="s">
        <v>203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204</v>
      </c>
      <c r="B20" s="275" t="s">
        <v>205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206</v>
      </c>
      <c r="B21" s="275" t="s">
        <v>207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208</v>
      </c>
      <c r="B22" s="275" t="s">
        <v>209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210</v>
      </c>
      <c r="B23" s="275" t="s">
        <v>211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212</v>
      </c>
      <c r="B24" s="275" t="s">
        <v>213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214</v>
      </c>
      <c r="B25" s="275" t="s">
        <v>215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216</v>
      </c>
      <c r="B26" s="275" t="s">
        <v>213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217</v>
      </c>
      <c r="B27" s="275" t="s">
        <v>215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218</v>
      </c>
      <c r="B28" s="275" t="s">
        <v>219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220</v>
      </c>
      <c r="B29" s="275" t="s">
        <v>221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222</v>
      </c>
      <c r="B30" s="275" t="s">
        <v>223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224</v>
      </c>
      <c r="B31" s="275" t="s">
        <v>225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226</v>
      </c>
      <c r="B32" s="275" t="s">
        <v>227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228</v>
      </c>
      <c r="B33" s="275" t="s">
        <v>229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230</v>
      </c>
      <c r="B34" s="275" t="s">
        <v>231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232</v>
      </c>
      <c r="B35" s="275" t="s">
        <v>233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234</v>
      </c>
      <c r="B36" s="275" t="s">
        <v>235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236</v>
      </c>
      <c r="B37" s="275" t="s">
        <v>237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238</v>
      </c>
      <c r="B38" s="275" t="s">
        <v>239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240</v>
      </c>
      <c r="B39" s="275" t="s">
        <v>241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242</v>
      </c>
      <c r="B40" s="275" t="s">
        <v>243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244</v>
      </c>
      <c r="B41" s="275" t="s">
        <v>245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246</v>
      </c>
      <c r="B42" s="275" t="s">
        <v>247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248</v>
      </c>
      <c r="B43" s="275" t="s">
        <v>249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250</v>
      </c>
      <c r="B44" s="275" t="s">
        <v>251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252</v>
      </c>
      <c r="B45" s="275" t="s">
        <v>253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254</v>
      </c>
      <c r="B46" s="275" t="s">
        <v>255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256</v>
      </c>
      <c r="B47" s="275" t="s">
        <v>257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258</v>
      </c>
      <c r="B48" s="275" t="s">
        <v>259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260</v>
      </c>
      <c r="B49" s="275" t="s">
        <v>261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262</v>
      </c>
      <c r="B50" s="275" t="s">
        <v>263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264</v>
      </c>
      <c r="B51" s="275" t="s">
        <v>265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266</v>
      </c>
      <c r="B52" s="275" t="s">
        <v>267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268</v>
      </c>
      <c r="B53" s="275" t="s">
        <v>269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270</v>
      </c>
      <c r="B2" s="275" t="s">
        <v>271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272</v>
      </c>
      <c r="B3" s="275" t="s">
        <v>273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274</v>
      </c>
      <c r="B4" s="275" t="s">
        <v>275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276</v>
      </c>
      <c r="B5" s="275" t="s">
        <v>277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278</v>
      </c>
      <c r="B6" s="275" t="s">
        <v>279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280</v>
      </c>
      <c r="B7" s="275" t="s">
        <v>281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282</v>
      </c>
      <c r="B8" s="275" t="s">
        <v>283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284</v>
      </c>
      <c r="B9" s="275" t="s">
        <v>285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286</v>
      </c>
      <c r="B10" s="275" t="s">
        <v>287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288</v>
      </c>
      <c r="B11" s="275" t="s">
        <v>289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290</v>
      </c>
      <c r="B12" s="275" t="s">
        <v>291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292</v>
      </c>
      <c r="B13" s="275" t="s">
        <v>293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294</v>
      </c>
      <c r="B14" s="275" t="s">
        <v>295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296</v>
      </c>
      <c r="B15" s="275" t="s">
        <v>297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298</v>
      </c>
      <c r="B16" s="275" t="s">
        <v>299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300</v>
      </c>
      <c r="B17" s="275" t="s">
        <v>301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302</v>
      </c>
      <c r="B18" s="275" t="s">
        <v>303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304</v>
      </c>
      <c r="B19" s="275" t="s">
        <v>305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306</v>
      </c>
      <c r="B20" s="275" t="s">
        <v>307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308</v>
      </c>
      <c r="B21" s="275" t="s">
        <v>309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310</v>
      </c>
      <c r="B22" s="275" t="s">
        <v>311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312</v>
      </c>
      <c r="B23" s="275" t="s">
        <v>313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314</v>
      </c>
      <c r="B24" s="275" t="s">
        <v>315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316</v>
      </c>
      <c r="B25" s="275" t="s">
        <v>317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318</v>
      </c>
      <c r="B26" s="275" t="s">
        <v>319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320</v>
      </c>
      <c r="B27" s="275" t="s">
        <v>321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322</v>
      </c>
      <c r="B28" s="275" t="s">
        <v>323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324</v>
      </c>
      <c r="B29" s="275" t="s">
        <v>325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326</v>
      </c>
      <c r="B30" s="275" t="s">
        <v>327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328</v>
      </c>
      <c r="B31" s="275" t="s">
        <v>329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330</v>
      </c>
      <c r="B32" s="275" t="s">
        <v>331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332</v>
      </c>
      <c r="B33" s="275" t="s">
        <v>333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334</v>
      </c>
      <c r="B34" s="275" t="s">
        <v>335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336</v>
      </c>
      <c r="B35" s="275" t="s">
        <v>337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338</v>
      </c>
      <c r="B36" s="275" t="s">
        <v>339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340</v>
      </c>
      <c r="B37" s="275" t="s">
        <v>341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342</v>
      </c>
      <c r="B38" s="275" t="s">
        <v>343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344</v>
      </c>
      <c r="B39" s="275" t="s">
        <v>345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346</v>
      </c>
      <c r="B40" s="275" t="s">
        <v>347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348</v>
      </c>
      <c r="B41" s="275" t="s">
        <v>349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350</v>
      </c>
      <c r="B42" s="275" t="s">
        <v>351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352</v>
      </c>
      <c r="B43" s="275" t="s">
        <v>353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354</v>
      </c>
      <c r="B44" s="275" t="s">
        <v>355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356</v>
      </c>
      <c r="B45" s="275" t="s">
        <v>357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358</v>
      </c>
      <c r="B46" s="275" t="s">
        <v>359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360</v>
      </c>
      <c r="B47" s="275" t="s">
        <v>361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362</v>
      </c>
      <c r="B48" s="275" t="s">
        <v>363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364</v>
      </c>
      <c r="B49" s="275" t="s">
        <v>365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366</v>
      </c>
      <c r="B50" s="275" t="s">
        <v>367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368</v>
      </c>
      <c r="B51" s="275" t="s">
        <v>369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370</v>
      </c>
      <c r="B52" s="275" t="s">
        <v>371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372</v>
      </c>
      <c r="B53" s="275" t="s">
        <v>373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374</v>
      </c>
      <c r="B54" s="275" t="s">
        <v>375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376</v>
      </c>
      <c r="B55" s="275" t="s">
        <v>377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378</v>
      </c>
      <c r="B56" s="275" t="s">
        <v>379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380</v>
      </c>
      <c r="B57" s="275" t="s">
        <v>381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382</v>
      </c>
      <c r="B58" s="275" t="s">
        <v>383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384</v>
      </c>
      <c r="B59" s="275" t="s">
        <v>385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386</v>
      </c>
      <c r="B60" s="275" t="s">
        <v>387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388</v>
      </c>
      <c r="B61" s="275" t="s">
        <v>389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390</v>
      </c>
      <c r="B62" s="275" t="s">
        <v>391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392</v>
      </c>
      <c r="B63" s="275" t="s">
        <v>393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394</v>
      </c>
      <c r="B64" s="275" t="s">
        <v>395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396</v>
      </c>
      <c r="B65" s="275" t="s">
        <v>397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398</v>
      </c>
      <c r="B66" s="275" t="s">
        <v>399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400</v>
      </c>
      <c r="B67" s="275" t="s">
        <v>401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402</v>
      </c>
      <c r="B68" s="275" t="s">
        <v>403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404</v>
      </c>
      <c r="B69" s="275" t="s">
        <v>405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406</v>
      </c>
      <c r="B70" s="275" t="s">
        <v>407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408</v>
      </c>
      <c r="B71" s="275" t="s">
        <v>409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410</v>
      </c>
      <c r="B72" s="275" t="s">
        <v>411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412</v>
      </c>
      <c r="B73" s="275" t="s">
        <v>413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414</v>
      </c>
      <c r="B74" s="275" t="s">
        <v>415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416</v>
      </c>
      <c r="B75" s="275" t="s">
        <v>417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418</v>
      </c>
      <c r="B76" s="275" t="s">
        <v>419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420</v>
      </c>
      <c r="B77" s="275" t="s">
        <v>421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422</v>
      </c>
      <c r="B78" s="275" t="s">
        <v>423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424</v>
      </c>
      <c r="B79" s="275" t="s">
        <v>425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426</v>
      </c>
      <c r="B80" s="275" t="s">
        <v>427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428</v>
      </c>
      <c r="B81" s="275" t="s">
        <v>429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430</v>
      </c>
      <c r="B82" s="275" t="s">
        <v>431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432</v>
      </c>
      <c r="B83" s="275" t="s">
        <v>433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434</v>
      </c>
      <c r="B84" s="275" t="s">
        <v>435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436</v>
      </c>
      <c r="B85" s="275" t="s">
        <v>437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438</v>
      </c>
      <c r="B86" s="275" t="s">
        <v>439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440</v>
      </c>
      <c r="B87" s="275" t="s">
        <v>441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442</v>
      </c>
      <c r="B88" s="275" t="s">
        <v>443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444</v>
      </c>
      <c r="B89" s="275" t="s">
        <v>445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446</v>
      </c>
      <c r="B90" s="275" t="s">
        <v>447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448</v>
      </c>
      <c r="B91" s="275" t="s">
        <v>449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450</v>
      </c>
      <c r="B92" s="275" t="s">
        <v>451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452</v>
      </c>
      <c r="B93" s="275" t="s">
        <v>453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454</v>
      </c>
      <c r="B94" s="275" t="s">
        <v>455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456</v>
      </c>
      <c r="B1" s="420"/>
      <c r="C1" s="420"/>
      <c r="D1" s="420"/>
    </row>
    <row r="2" spans="1:4">
      <c r="A2" s="170" t="s">
        <v>457</v>
      </c>
      <c r="B2" s="420"/>
      <c r="C2" s="420"/>
      <c r="D2" s="420"/>
    </row>
    <row r="3" spans="1:4"/>
    <row r="4" spans="1:4">
      <c r="A4" s="422" t="s">
        <v>57</v>
      </c>
      <c r="B4" s="422" t="s">
        <v>458</v>
      </c>
      <c r="C4" s="422"/>
      <c r="D4" s="422"/>
    </row>
    <row r="5" spans="1:4">
      <c r="A5" s="422"/>
      <c r="B5" s="21" t="s">
        <v>459</v>
      </c>
      <c r="C5" s="21" t="s">
        <v>460</v>
      </c>
      <c r="D5" s="21" t="s">
        <v>461</v>
      </c>
    </row>
    <row r="6" spans="1:4">
      <c r="A6" s="271" t="s">
        <v>462</v>
      </c>
      <c r="B6" s="183"/>
      <c r="C6" s="183"/>
      <c r="D6" s="183"/>
    </row>
    <row r="7" spans="1:4">
      <c r="A7" s="271" t="s">
        <v>463</v>
      </c>
      <c r="B7" s="272"/>
      <c r="C7" s="272"/>
      <c r="D7" s="272"/>
    </row>
    <row r="8" spans="1:4">
      <c r="A8" s="3" t="s">
        <v>464</v>
      </c>
      <c r="B8" s="195"/>
      <c r="C8" s="195"/>
      <c r="D8" s="195"/>
    </row>
    <row r="9" spans="1:4">
      <c r="A9" s="3" t="s">
        <v>465</v>
      </c>
      <c r="B9" s="195"/>
      <c r="C9" s="195"/>
      <c r="D9" s="195"/>
    </row>
    <row r="10" spans="1:4">
      <c r="A10" s="3" t="s">
        <v>466</v>
      </c>
      <c r="B10" s="195">
        <v>0</v>
      </c>
      <c r="C10" s="195">
        <v>0</v>
      </c>
      <c r="D10" s="195"/>
    </row>
    <row r="11" spans="1:4">
      <c r="A11" s="3" t="s">
        <v>467</v>
      </c>
      <c r="B11" s="195">
        <v>0</v>
      </c>
      <c r="C11" s="195">
        <v>0</v>
      </c>
      <c r="D11" s="195"/>
    </row>
    <row r="12" spans="1:4">
      <c r="A12" s="3" t="s">
        <v>468</v>
      </c>
      <c r="B12" s="195">
        <v>0</v>
      </c>
      <c r="C12" s="195">
        <v>0</v>
      </c>
      <c r="D12" s="195"/>
    </row>
    <row r="13" spans="1:4">
      <c r="A13" s="3" t="s">
        <v>469</v>
      </c>
      <c r="B13" s="195">
        <v>0</v>
      </c>
      <c r="C13" s="195">
        <v>0</v>
      </c>
      <c r="D13" s="195"/>
    </row>
    <row r="14" spans="1:4">
      <c r="A14" s="142" t="s">
        <v>470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471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472</v>
      </c>
      <c r="B16" s="195"/>
      <c r="C16" s="195"/>
      <c r="D16" s="195"/>
    </row>
    <row r="17" spans="1:4">
      <c r="A17" s="142" t="s">
        <v>473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456</v>
      </c>
      <c r="B22" s="420"/>
      <c r="C22" s="420"/>
      <c r="D22" s="420"/>
    </row>
    <row r="23" spans="1:4">
      <c r="A23" s="170" t="s">
        <v>457</v>
      </c>
      <c r="B23" s="420"/>
      <c r="C23" s="420"/>
      <c r="D23" s="420"/>
    </row>
    <row r="24" spans="1:4"/>
    <row r="25" spans="1:4">
      <c r="A25" s="422" t="s">
        <v>57</v>
      </c>
      <c r="B25" s="422" t="s">
        <v>458</v>
      </c>
      <c r="C25" s="422"/>
      <c r="D25" s="422"/>
    </row>
    <row r="26" spans="1:4">
      <c r="A26" s="422"/>
      <c r="B26" s="21" t="s">
        <v>459</v>
      </c>
      <c r="C26" s="21" t="s">
        <v>460</v>
      </c>
      <c r="D26" s="21" t="s">
        <v>461</v>
      </c>
    </row>
    <row r="27" spans="1:4">
      <c r="A27" s="271" t="s">
        <v>462</v>
      </c>
      <c r="B27" s="183"/>
      <c r="C27" s="183"/>
      <c r="D27" s="183"/>
    </row>
    <row r="28" spans="1:4">
      <c r="A28" s="271" t="s">
        <v>463</v>
      </c>
      <c r="B28" s="272"/>
      <c r="C28" s="272"/>
      <c r="D28" s="272"/>
    </row>
    <row r="29" spans="1:4">
      <c r="A29" s="3" t="s">
        <v>464</v>
      </c>
      <c r="B29" s="195"/>
      <c r="C29" s="195"/>
      <c r="D29" s="195"/>
    </row>
    <row r="30" spans="1:4">
      <c r="A30" s="3" t="s">
        <v>465</v>
      </c>
      <c r="B30" s="195"/>
      <c r="C30" s="195"/>
      <c r="D30" s="195"/>
    </row>
    <row r="31" spans="1:4">
      <c r="A31" s="3" t="s">
        <v>466</v>
      </c>
      <c r="B31" s="195"/>
      <c r="C31" s="195"/>
      <c r="D31" s="195"/>
    </row>
    <row r="32" spans="1:4">
      <c r="A32" s="3" t="s">
        <v>467</v>
      </c>
      <c r="B32" s="195"/>
      <c r="C32" s="195"/>
      <c r="D32" s="195"/>
    </row>
    <row r="33" spans="1:4">
      <c r="A33" s="3" t="s">
        <v>468</v>
      </c>
      <c r="B33" s="195"/>
      <c r="C33" s="195"/>
      <c r="D33" s="195"/>
    </row>
    <row r="34" spans="1:4">
      <c r="A34" s="3" t="s">
        <v>469</v>
      </c>
      <c r="B34" s="195"/>
      <c r="C34" s="195"/>
      <c r="D34" s="195"/>
    </row>
    <row r="35" spans="1:4">
      <c r="A35" s="142" t="s">
        <v>470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471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472</v>
      </c>
      <c r="B37" s="195"/>
      <c r="C37" s="195"/>
      <c r="D37" s="195"/>
    </row>
    <row r="38" spans="1:4">
      <c r="A38" s="142" t="s">
        <v>473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456</v>
      </c>
      <c r="B43" s="420"/>
      <c r="C43" s="420"/>
      <c r="D43" s="420"/>
    </row>
    <row r="44" spans="1:4">
      <c r="A44" s="170" t="s">
        <v>457</v>
      </c>
      <c r="B44" s="420"/>
      <c r="C44" s="420"/>
      <c r="D44" s="420"/>
    </row>
    <row r="45" spans="1:4"/>
    <row r="46" spans="1:4">
      <c r="A46" s="422" t="s">
        <v>57</v>
      </c>
      <c r="B46" s="422" t="s">
        <v>458</v>
      </c>
      <c r="C46" s="422"/>
      <c r="D46" s="422"/>
    </row>
    <row r="47" spans="1:4">
      <c r="A47" s="422"/>
      <c r="B47" s="21" t="s">
        <v>474</v>
      </c>
      <c r="C47" s="21" t="s">
        <v>475</v>
      </c>
      <c r="D47" s="21" t="s">
        <v>476</v>
      </c>
    </row>
    <row r="48" spans="1:4">
      <c r="A48" s="271" t="s">
        <v>462</v>
      </c>
      <c r="B48" s="183"/>
      <c r="C48" s="183"/>
      <c r="D48" s="183"/>
    </row>
    <row r="49" spans="1:4">
      <c r="A49" s="271" t="s">
        <v>463</v>
      </c>
      <c r="B49" s="272"/>
      <c r="C49" s="272"/>
      <c r="D49" s="272"/>
    </row>
    <row r="50" spans="1:4">
      <c r="A50" s="3" t="s">
        <v>464</v>
      </c>
      <c r="B50" s="195"/>
      <c r="C50" s="195"/>
      <c r="D50" s="195"/>
    </row>
    <row r="51" spans="1:4">
      <c r="A51" s="3" t="s">
        <v>465</v>
      </c>
      <c r="B51" s="195"/>
      <c r="C51" s="195"/>
      <c r="D51" s="195"/>
    </row>
    <row r="52" spans="1:4">
      <c r="A52" s="3" t="s">
        <v>466</v>
      </c>
      <c r="B52" s="195"/>
      <c r="C52" s="195"/>
      <c r="D52" s="195"/>
    </row>
    <row r="53" spans="1:4">
      <c r="A53" s="3" t="s">
        <v>467</v>
      </c>
      <c r="B53" s="195"/>
      <c r="C53" s="195"/>
      <c r="D53" s="195"/>
    </row>
    <row r="54" spans="1:4">
      <c r="A54" s="3" t="s">
        <v>468</v>
      </c>
      <c r="B54" s="195"/>
      <c r="C54" s="195"/>
      <c r="D54" s="195"/>
    </row>
    <row r="55" spans="1:4">
      <c r="A55" s="3" t="s">
        <v>469</v>
      </c>
      <c r="B55" s="195"/>
      <c r="C55" s="195"/>
      <c r="D55" s="195"/>
    </row>
    <row r="56" spans="1:4">
      <c r="A56" s="142" t="s">
        <v>470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471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472</v>
      </c>
      <c r="B58" s="195"/>
      <c r="C58" s="195"/>
      <c r="D58" s="195"/>
    </row>
    <row r="59" spans="1:4">
      <c r="A59" s="142" t="s">
        <v>473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456</v>
      </c>
      <c r="B64" s="420"/>
      <c r="C64" s="420"/>
      <c r="D64" s="420"/>
    </row>
    <row r="65" spans="1:4">
      <c r="A65" s="170" t="s">
        <v>457</v>
      </c>
      <c r="B65" s="420"/>
      <c r="C65" s="420"/>
      <c r="D65" s="420"/>
    </row>
    <row r="66" spans="1:4"/>
    <row r="67" spans="1:4">
      <c r="A67" s="422" t="s">
        <v>57</v>
      </c>
      <c r="B67" s="422" t="s">
        <v>458</v>
      </c>
      <c r="C67" s="422"/>
      <c r="D67" s="422"/>
    </row>
    <row r="68" spans="1:4">
      <c r="A68" s="422"/>
      <c r="B68" s="21" t="s">
        <v>474</v>
      </c>
      <c r="C68" s="21" t="s">
        <v>475</v>
      </c>
      <c r="D68" s="21" t="s">
        <v>476</v>
      </c>
    </row>
    <row r="69" spans="1:4">
      <c r="A69" s="271" t="s">
        <v>462</v>
      </c>
      <c r="B69" s="183"/>
      <c r="C69" s="183"/>
      <c r="D69" s="183"/>
    </row>
    <row r="70" spans="1:4">
      <c r="A70" s="271" t="s">
        <v>463</v>
      </c>
      <c r="B70" s="272"/>
      <c r="C70" s="272"/>
      <c r="D70" s="272"/>
    </row>
    <row r="71" spans="1:4">
      <c r="A71" s="3" t="s">
        <v>464</v>
      </c>
      <c r="B71" s="195"/>
      <c r="C71" s="195"/>
      <c r="D71" s="195"/>
    </row>
    <row r="72" spans="1:4">
      <c r="A72" s="3" t="s">
        <v>465</v>
      </c>
      <c r="B72" s="195"/>
      <c r="C72" s="195"/>
      <c r="D72" s="195"/>
    </row>
    <row r="73" spans="1:4">
      <c r="A73" s="3" t="s">
        <v>466</v>
      </c>
      <c r="B73" s="195"/>
      <c r="C73" s="195"/>
      <c r="D73" s="195"/>
    </row>
    <row r="74" spans="1:4">
      <c r="A74" s="3" t="s">
        <v>467</v>
      </c>
      <c r="B74" s="195"/>
      <c r="C74" s="195"/>
      <c r="D74" s="195"/>
    </row>
    <row r="75" spans="1:4">
      <c r="A75" s="3" t="s">
        <v>468</v>
      </c>
      <c r="B75" s="195"/>
      <c r="C75" s="195"/>
      <c r="D75" s="195"/>
    </row>
    <row r="76" spans="1:4">
      <c r="A76" s="3" t="s">
        <v>469</v>
      </c>
      <c r="B76" s="195"/>
      <c r="C76" s="195"/>
      <c r="D76" s="195"/>
    </row>
    <row r="77" spans="1:4">
      <c r="A77" s="142" t="s">
        <v>470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471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472</v>
      </c>
      <c r="B79" s="195"/>
      <c r="C79" s="195"/>
      <c r="D79" s="195"/>
    </row>
    <row r="80" spans="1:4">
      <c r="A80" s="142" t="s">
        <v>473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456</v>
      </c>
      <c r="B85" s="420"/>
      <c r="C85" s="420"/>
      <c r="D85" s="420"/>
    </row>
    <row r="86" spans="1:4">
      <c r="A86" s="170" t="s">
        <v>457</v>
      </c>
      <c r="B86" s="420"/>
      <c r="C86" s="420"/>
      <c r="D86" s="420"/>
    </row>
    <row r="87" spans="1:4"/>
    <row r="88" spans="1:4">
      <c r="A88" s="422" t="s">
        <v>57</v>
      </c>
      <c r="B88" s="422" t="s">
        <v>458</v>
      </c>
      <c r="C88" s="422"/>
      <c r="D88" s="422"/>
    </row>
    <row r="89" spans="1:4">
      <c r="A89" s="422"/>
      <c r="B89" s="21" t="s">
        <v>474</v>
      </c>
      <c r="C89" s="21" t="s">
        <v>475</v>
      </c>
      <c r="D89" s="21" t="s">
        <v>476</v>
      </c>
    </row>
    <row r="90" spans="1:4">
      <c r="A90" s="271" t="s">
        <v>462</v>
      </c>
      <c r="B90" s="183"/>
      <c r="C90" s="183"/>
      <c r="D90" s="183"/>
    </row>
    <row r="91" spans="1:4">
      <c r="A91" s="271" t="s">
        <v>463</v>
      </c>
      <c r="B91" s="272"/>
      <c r="C91" s="272"/>
      <c r="D91" s="272"/>
    </row>
    <row r="92" spans="1:4">
      <c r="A92" s="3" t="s">
        <v>464</v>
      </c>
      <c r="B92" s="195"/>
      <c r="C92" s="195"/>
      <c r="D92" s="195"/>
    </row>
    <row r="93" spans="1:4">
      <c r="A93" s="3" t="s">
        <v>465</v>
      </c>
      <c r="B93" s="195"/>
      <c r="C93" s="195"/>
      <c r="D93" s="195"/>
    </row>
    <row r="94" spans="1:4">
      <c r="A94" s="3" t="s">
        <v>466</v>
      </c>
      <c r="B94" s="195"/>
      <c r="C94" s="195"/>
      <c r="D94" s="195"/>
    </row>
    <row r="95" spans="1:4">
      <c r="A95" s="3" t="s">
        <v>467</v>
      </c>
      <c r="B95" s="195"/>
      <c r="C95" s="195"/>
      <c r="D95" s="195"/>
    </row>
    <row r="96" spans="1:4">
      <c r="A96" s="3" t="s">
        <v>468</v>
      </c>
      <c r="B96" s="195"/>
      <c r="C96" s="195"/>
      <c r="D96" s="195"/>
    </row>
    <row r="97" spans="1:4">
      <c r="A97" s="3" t="s">
        <v>469</v>
      </c>
      <c r="B97" s="195"/>
      <c r="C97" s="195"/>
      <c r="D97" s="195"/>
    </row>
    <row r="98" spans="1:4">
      <c r="A98" s="142" t="s">
        <v>470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471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472</v>
      </c>
      <c r="B100" s="195"/>
      <c r="C100" s="195"/>
      <c r="D100" s="195"/>
    </row>
    <row r="101" spans="1:4">
      <c r="A101" s="142" t="s">
        <v>473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1" t="s">
        <v>477</v>
      </c>
      <c r="B107" s="421"/>
      <c r="C107" s="421"/>
      <c r="D107" s="421"/>
    </row>
    <row r="108" spans="1:4">
      <c r="A108" s="422" t="s">
        <v>57</v>
      </c>
      <c r="B108" s="422" t="s">
        <v>458</v>
      </c>
      <c r="C108" s="422"/>
      <c r="D108" s="422"/>
    </row>
    <row r="109" spans="1:4">
      <c r="A109" s="422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464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465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466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467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468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469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470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471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472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473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478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479</v>
      </c>
      <c r="B1" s="423"/>
      <c r="C1" s="424"/>
      <c r="D1" s="424"/>
      <c r="E1" s="425"/>
    </row>
    <row r="2" spans="1:5" ht="12.75" customHeight="1">
      <c r="A2" s="170" t="s">
        <v>480</v>
      </c>
      <c r="B2" s="398"/>
      <c r="C2" s="426"/>
      <c r="D2" s="426"/>
      <c r="E2" s="399"/>
    </row>
    <row r="4" spans="1:5" ht="25.5">
      <c r="A4" s="268" t="s">
        <v>4</v>
      </c>
      <c r="B4" s="268" t="s">
        <v>481</v>
      </c>
      <c r="C4" s="268" t="s">
        <v>482</v>
      </c>
      <c r="D4" s="268" t="s">
        <v>483</v>
      </c>
      <c r="E4" s="268" t="s">
        <v>484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38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485</v>
      </c>
      <c r="B1" s="264" t="s">
        <v>486</v>
      </c>
      <c r="C1" s="264" t="s">
        <v>487</v>
      </c>
      <c r="D1" s="264" t="s">
        <v>488</v>
      </c>
      <c r="E1" s="264" t="s">
        <v>160</v>
      </c>
      <c r="F1" s="264" t="s">
        <v>489</v>
      </c>
    </row>
    <row r="2" spans="1:6">
      <c r="A2" s="431"/>
      <c r="B2" s="431"/>
      <c r="C2" s="431"/>
      <c r="D2" s="431"/>
      <c r="E2" s="128" t="s">
        <v>490</v>
      </c>
      <c r="F2" s="265"/>
    </row>
    <row r="3" spans="1:6">
      <c r="A3" s="431"/>
      <c r="B3" s="431"/>
      <c r="C3" s="431"/>
      <c r="D3" s="431"/>
      <c r="E3" s="128" t="s">
        <v>491</v>
      </c>
      <c r="F3" s="265"/>
    </row>
    <row r="4" spans="1:6">
      <c r="A4" s="431"/>
      <c r="B4" s="431"/>
      <c r="C4" s="431"/>
      <c r="D4" s="431"/>
      <c r="E4" s="128" t="s">
        <v>492</v>
      </c>
      <c r="F4" s="265"/>
    </row>
    <row r="5" spans="1:6">
      <c r="A5" s="431"/>
      <c r="B5" s="431"/>
      <c r="C5" s="431"/>
      <c r="D5" s="431"/>
      <c r="E5" s="128" t="s">
        <v>493</v>
      </c>
      <c r="F5" s="265"/>
    </row>
    <row r="6" spans="1:6">
      <c r="A6" s="431"/>
      <c r="B6" s="431"/>
      <c r="C6" s="431"/>
      <c r="D6" s="431"/>
      <c r="E6" s="128" t="s">
        <v>494</v>
      </c>
      <c r="F6" s="265"/>
    </row>
    <row r="7" spans="1:6">
      <c r="A7" s="431"/>
      <c r="B7" s="431"/>
      <c r="C7" s="431"/>
      <c r="D7" s="431"/>
      <c r="E7" s="128" t="s">
        <v>495</v>
      </c>
      <c r="F7" s="265"/>
    </row>
    <row r="8" spans="1:6">
      <c r="A8" s="431"/>
      <c r="B8" s="431"/>
      <c r="C8" s="431"/>
      <c r="D8" s="431"/>
      <c r="E8" s="128" t="s">
        <v>496</v>
      </c>
      <c r="F8" s="265"/>
    </row>
    <row r="9" spans="1:6">
      <c r="A9" s="431"/>
      <c r="B9" s="431"/>
      <c r="C9" s="431"/>
      <c r="D9" s="431"/>
      <c r="E9" s="128" t="s">
        <v>497</v>
      </c>
      <c r="F9" s="265"/>
    </row>
    <row r="10" spans="1:6">
      <c r="A10" s="431"/>
      <c r="B10" s="431"/>
      <c r="C10" s="431"/>
      <c r="D10" s="431"/>
      <c r="E10" s="128" t="s">
        <v>498</v>
      </c>
      <c r="F10" s="265"/>
    </row>
    <row r="11" spans="1:6">
      <c r="A11" s="431"/>
      <c r="B11" s="431"/>
      <c r="C11" s="431"/>
      <c r="D11" s="431"/>
      <c r="E11" s="128" t="s">
        <v>499</v>
      </c>
      <c r="F11" s="265"/>
    </row>
    <row r="12" spans="1:6">
      <c r="A12" s="431"/>
      <c r="B12" s="431"/>
      <c r="C12" s="431"/>
      <c r="D12" s="431"/>
      <c r="E12" s="128" t="s">
        <v>500</v>
      </c>
      <c r="F12" s="265"/>
    </row>
    <row r="13" spans="1:6">
      <c r="A13" s="431"/>
      <c r="B13" s="431"/>
      <c r="C13" s="431"/>
      <c r="D13" s="431"/>
      <c r="E13" s="128" t="s">
        <v>501</v>
      </c>
      <c r="F13" s="265"/>
    </row>
    <row r="14" spans="1:6">
      <c r="A14" s="430" t="s">
        <v>502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5" t="s">
        <v>503</v>
      </c>
      <c r="B1" s="435"/>
      <c r="C1" s="447" t="str">
        <f>IF(PrimeConsolidated!B3="","",CONCATENATE(PrimeConsolidated!B3," (Consolidated Banking in Rs. Lacs)"))</f>
        <v>NARENDRA KUMAR VYAS &amp; Group (Consolidated Banking in Rs. Lacs)</v>
      </c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256"/>
      <c r="V1" s="256"/>
    </row>
    <row r="2" spans="1:22" ht="51">
      <c r="A2" s="238" t="s">
        <v>503</v>
      </c>
      <c r="B2" s="432" t="s">
        <v>504</v>
      </c>
      <c r="C2" s="432"/>
      <c r="D2" s="432"/>
      <c r="E2" s="239" t="s">
        <v>505</v>
      </c>
      <c r="F2" s="239" t="s">
        <v>506</v>
      </c>
      <c r="G2" s="238" t="s">
        <v>507</v>
      </c>
      <c r="H2" s="238" t="s">
        <v>508</v>
      </c>
      <c r="I2" s="238" t="s">
        <v>509</v>
      </c>
      <c r="J2" s="239" t="s">
        <v>510</v>
      </c>
      <c r="K2" s="239" t="s">
        <v>511</v>
      </c>
      <c r="L2" s="433" t="s">
        <v>512</v>
      </c>
      <c r="M2" s="434"/>
      <c r="N2" s="433" t="s">
        <v>513</v>
      </c>
      <c r="O2" s="434"/>
      <c r="P2" s="238" t="s">
        <v>514</v>
      </c>
      <c r="Q2" s="238" t="s">
        <v>515</v>
      </c>
      <c r="R2" s="238" t="s">
        <v>516</v>
      </c>
      <c r="S2" s="238" t="s">
        <v>517</v>
      </c>
      <c r="T2" s="238" t="s">
        <v>518</v>
      </c>
      <c r="U2" s="238" t="s">
        <v>519</v>
      </c>
      <c r="V2" s="238" t="s">
        <v>520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521</v>
      </c>
      <c r="M3" s="238" t="s">
        <v>522</v>
      </c>
      <c r="N3" s="238" t="s">
        <v>521</v>
      </c>
      <c r="O3" s="238" t="s">
        <v>522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523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524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525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526</v>
      </c>
      <c r="T18" s="259" t="s">
        <v>527</v>
      </c>
      <c r="U18" s="259"/>
      <c r="V18" s="259"/>
    </row>
    <row r="19" spans="1:22"/>
    <row r="20" spans="1:22"/>
    <row r="21" spans="1:22"/>
    <row r="22" spans="1:22">
      <c r="A22" s="435" t="s">
        <v>503</v>
      </c>
      <c r="B22" s="435"/>
      <c r="C22" s="438" t="s">
        <v>528</v>
      </c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39"/>
      <c r="U22" s="246"/>
      <c r="V22" s="246"/>
    </row>
    <row r="23" spans="1:22">
      <c r="A23" s="435" t="s">
        <v>529</v>
      </c>
      <c r="B23" s="435"/>
      <c r="C23" s="436" t="s">
        <v>530</v>
      </c>
      <c r="D23" s="436"/>
      <c r="E23" s="436"/>
      <c r="F23" s="436"/>
      <c r="G23" s="436"/>
      <c r="H23" s="437" t="s">
        <v>531</v>
      </c>
      <c r="I23" s="437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246"/>
      <c r="V23" s="246"/>
    </row>
    <row r="24" spans="1:22" ht="25.5">
      <c r="A24" s="435" t="s">
        <v>532</v>
      </c>
      <c r="B24" s="435"/>
      <c r="C24" s="438" t="s">
        <v>533</v>
      </c>
      <c r="D24" s="439"/>
      <c r="E24" s="248" t="s">
        <v>534</v>
      </c>
      <c r="F24" s="440" t="s">
        <v>535</v>
      </c>
      <c r="G24" s="441"/>
      <c r="H24" s="441"/>
      <c r="I24" s="442"/>
      <c r="J24" s="248" t="s">
        <v>536</v>
      </c>
      <c r="K24" s="440"/>
      <c r="L24" s="441"/>
      <c r="M24" s="442"/>
      <c r="N24" s="247" t="s">
        <v>537</v>
      </c>
      <c r="O24" s="443"/>
      <c r="P24" s="444"/>
      <c r="Q24" s="444"/>
      <c r="R24" s="444"/>
      <c r="S24" s="444"/>
      <c r="T24" s="445"/>
      <c r="U24" s="260"/>
      <c r="V24" s="260"/>
    </row>
    <row r="25" spans="1:22" ht="51">
      <c r="A25" s="238" t="s">
        <v>160</v>
      </c>
      <c r="B25" s="432" t="s">
        <v>538</v>
      </c>
      <c r="C25" s="432"/>
      <c r="D25" s="432"/>
      <c r="E25" s="239" t="s">
        <v>539</v>
      </c>
      <c r="F25" s="239" t="s">
        <v>540</v>
      </c>
      <c r="G25" s="238" t="s">
        <v>541</v>
      </c>
      <c r="H25" s="238" t="s">
        <v>542</v>
      </c>
      <c r="I25" s="238" t="s">
        <v>543</v>
      </c>
      <c r="J25" s="239" t="s">
        <v>544</v>
      </c>
      <c r="K25" s="239" t="s">
        <v>545</v>
      </c>
      <c r="L25" s="433" t="s">
        <v>546</v>
      </c>
      <c r="M25" s="434"/>
      <c r="N25" s="433" t="s">
        <v>547</v>
      </c>
      <c r="O25" s="434"/>
      <c r="P25" s="238" t="s">
        <v>548</v>
      </c>
      <c r="Q25" s="238" t="s">
        <v>515</v>
      </c>
      <c r="R25" s="238" t="s">
        <v>516</v>
      </c>
      <c r="S25" s="238" t="s">
        <v>517</v>
      </c>
      <c r="T25" s="238" t="s">
        <v>518</v>
      </c>
      <c r="U25" s="238" t="s">
        <v>549</v>
      </c>
      <c r="V25" s="238" t="s">
        <v>550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521</v>
      </c>
      <c r="M26" s="238" t="s">
        <v>522</v>
      </c>
      <c r="N26" s="238" t="s">
        <v>521</v>
      </c>
      <c r="O26" s="238" t="s">
        <v>522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523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524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525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526</v>
      </c>
      <c r="T41" s="259" t="s">
        <v>527</v>
      </c>
      <c r="U41" s="259"/>
      <c r="V41" s="259"/>
    </row>
    <row r="42" spans="1:22"/>
    <row r="43" spans="1:22"/>
    <row r="44" spans="1:22"/>
    <row r="45" spans="1:22" ht="12.75" customHeight="1">
      <c r="A45" s="435" t="s">
        <v>503</v>
      </c>
      <c r="B45" s="435"/>
      <c r="C45" s="438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39"/>
      <c r="U45" s="246"/>
      <c r="V45" s="246"/>
    </row>
    <row r="46" spans="1:22" ht="12.75" customHeight="1">
      <c r="A46" s="435" t="s">
        <v>529</v>
      </c>
      <c r="B46" s="435"/>
      <c r="C46" s="436"/>
      <c r="D46" s="436"/>
      <c r="E46" s="436"/>
      <c r="F46" s="436"/>
      <c r="G46" s="436"/>
      <c r="H46" s="437" t="s">
        <v>531</v>
      </c>
      <c r="I46" s="437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246"/>
      <c r="V46" s="246"/>
    </row>
    <row r="47" spans="1:22" ht="25.5" customHeight="1">
      <c r="A47" s="435" t="s">
        <v>532</v>
      </c>
      <c r="B47" s="435"/>
      <c r="C47" s="438"/>
      <c r="D47" s="439"/>
      <c r="E47" s="248" t="s">
        <v>534</v>
      </c>
      <c r="F47" s="440"/>
      <c r="G47" s="441"/>
      <c r="H47" s="441"/>
      <c r="I47" s="442"/>
      <c r="J47" s="248" t="s">
        <v>536</v>
      </c>
      <c r="K47" s="440"/>
      <c r="L47" s="441"/>
      <c r="M47" s="442"/>
      <c r="N47" s="247" t="s">
        <v>537</v>
      </c>
      <c r="O47" s="443"/>
      <c r="P47" s="444"/>
      <c r="Q47" s="444"/>
      <c r="R47" s="444"/>
      <c r="S47" s="444"/>
      <c r="T47" s="445"/>
      <c r="U47" s="260"/>
      <c r="V47" s="260"/>
    </row>
    <row r="48" spans="1:22" ht="51" customHeight="1">
      <c r="A48" s="238" t="s">
        <v>160</v>
      </c>
      <c r="B48" s="432" t="s">
        <v>538</v>
      </c>
      <c r="C48" s="432"/>
      <c r="D48" s="432"/>
      <c r="E48" s="239" t="s">
        <v>539</v>
      </c>
      <c r="F48" s="239" t="s">
        <v>540</v>
      </c>
      <c r="G48" s="238" t="s">
        <v>541</v>
      </c>
      <c r="H48" s="238" t="s">
        <v>542</v>
      </c>
      <c r="I48" s="238" t="s">
        <v>543</v>
      </c>
      <c r="J48" s="239" t="s">
        <v>544</v>
      </c>
      <c r="K48" s="239" t="s">
        <v>545</v>
      </c>
      <c r="L48" s="433" t="s">
        <v>546</v>
      </c>
      <c r="M48" s="434"/>
      <c r="N48" s="433" t="s">
        <v>547</v>
      </c>
      <c r="O48" s="434"/>
      <c r="P48" s="238" t="s">
        <v>548</v>
      </c>
      <c r="Q48" s="238" t="s">
        <v>515</v>
      </c>
      <c r="R48" s="238" t="s">
        <v>516</v>
      </c>
      <c r="S48" s="238" t="s">
        <v>517</v>
      </c>
      <c r="T48" s="238" t="s">
        <v>518</v>
      </c>
      <c r="U48" s="238" t="s">
        <v>549</v>
      </c>
      <c r="V48" s="238" t="s">
        <v>550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521</v>
      </c>
      <c r="M49" s="238" t="s">
        <v>522</v>
      </c>
      <c r="N49" s="238" t="s">
        <v>521</v>
      </c>
      <c r="O49" s="238" t="s">
        <v>522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523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524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525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526</v>
      </c>
      <c r="T64" s="259" t="s">
        <v>527</v>
      </c>
      <c r="U64" s="259"/>
      <c r="V64" s="259"/>
    </row>
    <row r="65" spans="1:22"/>
    <row r="66" spans="1:22"/>
    <row r="67" spans="1:22"/>
    <row r="68" spans="1:22" ht="12.75" customHeight="1">
      <c r="A68" s="435" t="s">
        <v>503</v>
      </c>
      <c r="B68" s="435"/>
      <c r="C68" s="438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39"/>
      <c r="U68" s="246"/>
      <c r="V68" s="246"/>
    </row>
    <row r="69" spans="1:22" ht="12.75" customHeight="1">
      <c r="A69" s="435" t="s">
        <v>529</v>
      </c>
      <c r="B69" s="435"/>
      <c r="C69" s="436"/>
      <c r="D69" s="436"/>
      <c r="E69" s="436"/>
      <c r="F69" s="436"/>
      <c r="G69" s="436"/>
      <c r="H69" s="437" t="s">
        <v>531</v>
      </c>
      <c r="I69" s="437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246"/>
      <c r="V69" s="246"/>
    </row>
    <row r="70" spans="1:22" ht="25.5" customHeight="1">
      <c r="A70" s="435" t="s">
        <v>532</v>
      </c>
      <c r="B70" s="435"/>
      <c r="C70" s="438"/>
      <c r="D70" s="439"/>
      <c r="E70" s="248" t="s">
        <v>534</v>
      </c>
      <c r="F70" s="440"/>
      <c r="G70" s="441"/>
      <c r="H70" s="441"/>
      <c r="I70" s="442"/>
      <c r="J70" s="248" t="s">
        <v>536</v>
      </c>
      <c r="K70" s="440"/>
      <c r="L70" s="441"/>
      <c r="M70" s="442"/>
      <c r="N70" s="247" t="s">
        <v>537</v>
      </c>
      <c r="O70" s="443"/>
      <c r="P70" s="444"/>
      <c r="Q70" s="444"/>
      <c r="R70" s="444"/>
      <c r="S70" s="444"/>
      <c r="T70" s="445"/>
      <c r="U70" s="260"/>
      <c r="V70" s="260"/>
    </row>
    <row r="71" spans="1:22" ht="38.25" customHeight="1">
      <c r="A71" s="238" t="s">
        <v>160</v>
      </c>
      <c r="B71" s="432" t="s">
        <v>538</v>
      </c>
      <c r="C71" s="432"/>
      <c r="D71" s="432"/>
      <c r="E71" s="239" t="s">
        <v>539</v>
      </c>
      <c r="F71" s="239" t="s">
        <v>540</v>
      </c>
      <c r="G71" s="238" t="s">
        <v>541</v>
      </c>
      <c r="H71" s="238" t="s">
        <v>542</v>
      </c>
      <c r="I71" s="238" t="s">
        <v>543</v>
      </c>
      <c r="J71" s="239" t="s">
        <v>544</v>
      </c>
      <c r="K71" s="239" t="s">
        <v>545</v>
      </c>
      <c r="L71" s="433" t="s">
        <v>546</v>
      </c>
      <c r="M71" s="434"/>
      <c r="N71" s="433" t="s">
        <v>547</v>
      </c>
      <c r="O71" s="434"/>
      <c r="P71" s="238" t="s">
        <v>548</v>
      </c>
      <c r="Q71" s="238" t="s">
        <v>515</v>
      </c>
      <c r="R71" s="238" t="s">
        <v>516</v>
      </c>
      <c r="S71" s="238" t="s">
        <v>517</v>
      </c>
      <c r="T71" s="238" t="s">
        <v>518</v>
      </c>
      <c r="U71" s="238" t="s">
        <v>549</v>
      </c>
      <c r="V71" s="238" t="s">
        <v>550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521</v>
      </c>
      <c r="M72" s="238" t="s">
        <v>522</v>
      </c>
      <c r="N72" s="238" t="s">
        <v>521</v>
      </c>
      <c r="O72" s="238" t="s">
        <v>522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523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524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525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526</v>
      </c>
      <c r="T87" s="259" t="s">
        <v>527</v>
      </c>
      <c r="U87" s="259"/>
      <c r="V87" s="259"/>
    </row>
    <row r="88" spans="1:22"/>
    <row r="89" spans="1:22"/>
    <row r="90" spans="1:22"/>
    <row r="91" spans="1:22" ht="12.75" customHeight="1">
      <c r="A91" s="435" t="s">
        <v>503</v>
      </c>
      <c r="B91" s="435"/>
      <c r="C91" s="438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39"/>
      <c r="U91" s="246"/>
      <c r="V91" s="246"/>
    </row>
    <row r="92" spans="1:22" ht="12.75" customHeight="1">
      <c r="A92" s="435" t="s">
        <v>529</v>
      </c>
      <c r="B92" s="435"/>
      <c r="C92" s="436"/>
      <c r="D92" s="436"/>
      <c r="E92" s="436"/>
      <c r="F92" s="436"/>
      <c r="G92" s="436"/>
      <c r="H92" s="437" t="s">
        <v>531</v>
      </c>
      <c r="I92" s="437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246"/>
      <c r="V92" s="246"/>
    </row>
    <row r="93" spans="1:22" ht="25.5" customHeight="1">
      <c r="A93" s="435" t="s">
        <v>532</v>
      </c>
      <c r="B93" s="435"/>
      <c r="C93" s="438"/>
      <c r="D93" s="439"/>
      <c r="E93" s="248" t="s">
        <v>534</v>
      </c>
      <c r="F93" s="440"/>
      <c r="G93" s="441"/>
      <c r="H93" s="441"/>
      <c r="I93" s="442"/>
      <c r="J93" s="248" t="s">
        <v>536</v>
      </c>
      <c r="K93" s="440"/>
      <c r="L93" s="441"/>
      <c r="M93" s="442"/>
      <c r="N93" s="247" t="s">
        <v>537</v>
      </c>
      <c r="O93" s="443"/>
      <c r="P93" s="444"/>
      <c r="Q93" s="444"/>
      <c r="R93" s="444"/>
      <c r="S93" s="444"/>
      <c r="T93" s="445"/>
      <c r="U93" s="260"/>
      <c r="V93" s="260"/>
    </row>
    <row r="94" spans="1:22" ht="38.25" customHeight="1">
      <c r="A94" s="238" t="s">
        <v>160</v>
      </c>
      <c r="B94" s="432" t="s">
        <v>538</v>
      </c>
      <c r="C94" s="432"/>
      <c r="D94" s="432"/>
      <c r="E94" s="239" t="s">
        <v>539</v>
      </c>
      <c r="F94" s="239" t="s">
        <v>540</v>
      </c>
      <c r="G94" s="238" t="s">
        <v>541</v>
      </c>
      <c r="H94" s="238" t="s">
        <v>542</v>
      </c>
      <c r="I94" s="238" t="s">
        <v>543</v>
      </c>
      <c r="J94" s="239" t="s">
        <v>544</v>
      </c>
      <c r="K94" s="239" t="s">
        <v>545</v>
      </c>
      <c r="L94" s="433" t="s">
        <v>546</v>
      </c>
      <c r="M94" s="434"/>
      <c r="N94" s="433" t="s">
        <v>547</v>
      </c>
      <c r="O94" s="434"/>
      <c r="P94" s="238" t="s">
        <v>548</v>
      </c>
      <c r="Q94" s="238" t="s">
        <v>515</v>
      </c>
      <c r="R94" s="238" t="s">
        <v>516</v>
      </c>
      <c r="S94" s="238" t="s">
        <v>517</v>
      </c>
      <c r="T94" s="238" t="s">
        <v>518</v>
      </c>
      <c r="U94" s="238" t="s">
        <v>549</v>
      </c>
      <c r="V94" s="238" t="s">
        <v>550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521</v>
      </c>
      <c r="M95" s="238" t="s">
        <v>522</v>
      </c>
      <c r="N95" s="238" t="s">
        <v>521</v>
      </c>
      <c r="O95" s="238" t="s">
        <v>522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523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524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525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526</v>
      </c>
      <c r="T110" s="259" t="s">
        <v>527</v>
      </c>
      <c r="U110" s="259"/>
      <c r="V110" s="259"/>
    </row>
    <row r="111" spans="1:22"/>
    <row r="112" spans="1:22"/>
    <row r="113" spans="1:22"/>
    <row r="114" spans="1:22" ht="12.75" customHeight="1">
      <c r="A114" s="435" t="s">
        <v>503</v>
      </c>
      <c r="B114" s="435"/>
      <c r="C114" s="438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39"/>
      <c r="U114" s="246"/>
      <c r="V114" s="246"/>
    </row>
    <row r="115" spans="1:22" ht="12.75" customHeight="1">
      <c r="A115" s="435" t="s">
        <v>529</v>
      </c>
      <c r="B115" s="435"/>
      <c r="C115" s="436"/>
      <c r="D115" s="436"/>
      <c r="E115" s="436"/>
      <c r="F115" s="436"/>
      <c r="G115" s="436"/>
      <c r="H115" s="437" t="s">
        <v>531</v>
      </c>
      <c r="I115" s="437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246"/>
      <c r="V115" s="246"/>
    </row>
    <row r="116" spans="1:22" ht="25.5" customHeight="1">
      <c r="A116" s="435" t="s">
        <v>532</v>
      </c>
      <c r="B116" s="435"/>
      <c r="C116" s="438"/>
      <c r="D116" s="439"/>
      <c r="E116" s="248" t="s">
        <v>534</v>
      </c>
      <c r="F116" s="440"/>
      <c r="G116" s="441"/>
      <c r="H116" s="441"/>
      <c r="I116" s="442"/>
      <c r="J116" s="248" t="s">
        <v>536</v>
      </c>
      <c r="K116" s="440"/>
      <c r="L116" s="441"/>
      <c r="M116" s="442"/>
      <c r="N116" s="247" t="s">
        <v>537</v>
      </c>
      <c r="O116" s="443"/>
      <c r="P116" s="444"/>
      <c r="Q116" s="444"/>
      <c r="R116" s="444"/>
      <c r="S116" s="444"/>
      <c r="T116" s="445"/>
      <c r="U116" s="260"/>
      <c r="V116" s="260"/>
    </row>
    <row r="117" spans="1:22" ht="38.25" customHeight="1">
      <c r="A117" s="238" t="s">
        <v>160</v>
      </c>
      <c r="B117" s="432" t="s">
        <v>538</v>
      </c>
      <c r="C117" s="432"/>
      <c r="D117" s="432"/>
      <c r="E117" s="239" t="s">
        <v>539</v>
      </c>
      <c r="F117" s="239" t="s">
        <v>540</v>
      </c>
      <c r="G117" s="238" t="s">
        <v>541</v>
      </c>
      <c r="H117" s="238" t="s">
        <v>542</v>
      </c>
      <c r="I117" s="238" t="s">
        <v>543</v>
      </c>
      <c r="J117" s="239" t="s">
        <v>544</v>
      </c>
      <c r="K117" s="239" t="s">
        <v>545</v>
      </c>
      <c r="L117" s="433" t="s">
        <v>546</v>
      </c>
      <c r="M117" s="434"/>
      <c r="N117" s="433" t="s">
        <v>547</v>
      </c>
      <c r="O117" s="434"/>
      <c r="P117" s="238" t="s">
        <v>548</v>
      </c>
      <c r="Q117" s="238" t="s">
        <v>515</v>
      </c>
      <c r="R117" s="238" t="s">
        <v>516</v>
      </c>
      <c r="S117" s="238" t="s">
        <v>517</v>
      </c>
      <c r="T117" s="238" t="s">
        <v>518</v>
      </c>
      <c r="U117" s="238" t="s">
        <v>549</v>
      </c>
      <c r="V117" s="238" t="s">
        <v>550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521</v>
      </c>
      <c r="M118" s="238" t="s">
        <v>522</v>
      </c>
      <c r="N118" s="238" t="s">
        <v>521</v>
      </c>
      <c r="O118" s="238" t="s">
        <v>522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523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524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525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526</v>
      </c>
      <c r="T133" s="259" t="s">
        <v>527</v>
      </c>
      <c r="U133" s="259"/>
      <c r="V133" s="259"/>
    </row>
    <row r="134" spans="1:22"/>
    <row r="135" spans="1:22"/>
    <row r="136" spans="1:22"/>
    <row r="137" spans="1:22" ht="12.75" customHeight="1">
      <c r="A137" s="435" t="s">
        <v>503</v>
      </c>
      <c r="B137" s="435"/>
      <c r="C137" s="438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39"/>
      <c r="U137" s="246"/>
      <c r="V137" s="246"/>
    </row>
    <row r="138" spans="1:22" ht="12.75" customHeight="1">
      <c r="A138" s="435" t="s">
        <v>529</v>
      </c>
      <c r="B138" s="435"/>
      <c r="C138" s="436"/>
      <c r="D138" s="436"/>
      <c r="E138" s="436"/>
      <c r="F138" s="436"/>
      <c r="G138" s="436"/>
      <c r="H138" s="437" t="s">
        <v>531</v>
      </c>
      <c r="I138" s="437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246"/>
      <c r="V138" s="246"/>
    </row>
    <row r="139" spans="1:22" ht="25.5" customHeight="1">
      <c r="A139" s="435" t="s">
        <v>532</v>
      </c>
      <c r="B139" s="435"/>
      <c r="C139" s="438"/>
      <c r="D139" s="439"/>
      <c r="E139" s="248" t="s">
        <v>534</v>
      </c>
      <c r="F139" s="440"/>
      <c r="G139" s="441"/>
      <c r="H139" s="441"/>
      <c r="I139" s="442"/>
      <c r="J139" s="248" t="s">
        <v>536</v>
      </c>
      <c r="K139" s="440"/>
      <c r="L139" s="441"/>
      <c r="M139" s="442"/>
      <c r="N139" s="247" t="s">
        <v>537</v>
      </c>
      <c r="O139" s="443"/>
      <c r="P139" s="444"/>
      <c r="Q139" s="444"/>
      <c r="R139" s="444"/>
      <c r="S139" s="444"/>
      <c r="T139" s="445"/>
      <c r="U139" s="260"/>
      <c r="V139" s="260"/>
    </row>
    <row r="140" spans="1:22" ht="38.25" customHeight="1">
      <c r="A140" s="238" t="s">
        <v>160</v>
      </c>
      <c r="B140" s="432" t="s">
        <v>538</v>
      </c>
      <c r="C140" s="432"/>
      <c r="D140" s="432"/>
      <c r="E140" s="239" t="s">
        <v>539</v>
      </c>
      <c r="F140" s="239" t="s">
        <v>540</v>
      </c>
      <c r="G140" s="238" t="s">
        <v>541</v>
      </c>
      <c r="H140" s="238" t="s">
        <v>542</v>
      </c>
      <c r="I140" s="238" t="s">
        <v>543</v>
      </c>
      <c r="J140" s="239" t="s">
        <v>544</v>
      </c>
      <c r="K140" s="239" t="s">
        <v>545</v>
      </c>
      <c r="L140" s="433" t="s">
        <v>546</v>
      </c>
      <c r="M140" s="434"/>
      <c r="N140" s="433" t="s">
        <v>547</v>
      </c>
      <c r="O140" s="434"/>
      <c r="P140" s="238" t="s">
        <v>548</v>
      </c>
      <c r="Q140" s="238" t="s">
        <v>515</v>
      </c>
      <c r="R140" s="238" t="s">
        <v>516</v>
      </c>
      <c r="S140" s="238" t="s">
        <v>517</v>
      </c>
      <c r="T140" s="238" t="s">
        <v>518</v>
      </c>
      <c r="U140" s="238" t="s">
        <v>549</v>
      </c>
      <c r="V140" s="238" t="s">
        <v>550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521</v>
      </c>
      <c r="M141" s="238" t="s">
        <v>522</v>
      </c>
      <c r="N141" s="238" t="s">
        <v>521</v>
      </c>
      <c r="O141" s="238" t="s">
        <v>522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523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524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525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526</v>
      </c>
      <c r="T156" s="259" t="s">
        <v>527</v>
      </c>
      <c r="U156" s="259"/>
      <c r="V156" s="259"/>
    </row>
    <row r="157" spans="1:22"/>
    <row r="158" spans="1:22"/>
    <row r="159" spans="1:22"/>
    <row r="160" spans="1:22" ht="12.75" customHeight="1">
      <c r="A160" s="435" t="s">
        <v>503</v>
      </c>
      <c r="B160" s="435"/>
      <c r="C160" s="438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39"/>
      <c r="U160" s="246"/>
      <c r="V160" s="246"/>
    </row>
    <row r="161" spans="1:22" ht="12.75" customHeight="1">
      <c r="A161" s="435" t="s">
        <v>529</v>
      </c>
      <c r="B161" s="435"/>
      <c r="C161" s="436"/>
      <c r="D161" s="436"/>
      <c r="E161" s="436"/>
      <c r="F161" s="436"/>
      <c r="G161" s="436"/>
      <c r="H161" s="437" t="s">
        <v>531</v>
      </c>
      <c r="I161" s="437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246"/>
      <c r="V161" s="246"/>
    </row>
    <row r="162" spans="1:22" ht="25.5" customHeight="1">
      <c r="A162" s="435" t="s">
        <v>532</v>
      </c>
      <c r="B162" s="435"/>
      <c r="C162" s="438"/>
      <c r="D162" s="439"/>
      <c r="E162" s="248" t="s">
        <v>534</v>
      </c>
      <c r="F162" s="440"/>
      <c r="G162" s="441"/>
      <c r="H162" s="441"/>
      <c r="I162" s="442"/>
      <c r="J162" s="248" t="s">
        <v>536</v>
      </c>
      <c r="K162" s="440"/>
      <c r="L162" s="441"/>
      <c r="M162" s="442"/>
      <c r="N162" s="247" t="s">
        <v>537</v>
      </c>
      <c r="O162" s="443"/>
      <c r="P162" s="444"/>
      <c r="Q162" s="444"/>
      <c r="R162" s="444"/>
      <c r="S162" s="444"/>
      <c r="T162" s="445"/>
      <c r="U162" s="260"/>
      <c r="V162" s="260"/>
    </row>
    <row r="163" spans="1:22" ht="38.25" customHeight="1">
      <c r="A163" s="238" t="s">
        <v>160</v>
      </c>
      <c r="B163" s="432" t="s">
        <v>538</v>
      </c>
      <c r="C163" s="432"/>
      <c r="D163" s="432"/>
      <c r="E163" s="239" t="s">
        <v>539</v>
      </c>
      <c r="F163" s="239" t="s">
        <v>540</v>
      </c>
      <c r="G163" s="238" t="s">
        <v>541</v>
      </c>
      <c r="H163" s="238" t="s">
        <v>542</v>
      </c>
      <c r="I163" s="238" t="s">
        <v>543</v>
      </c>
      <c r="J163" s="239" t="s">
        <v>544</v>
      </c>
      <c r="K163" s="239" t="s">
        <v>545</v>
      </c>
      <c r="L163" s="433" t="s">
        <v>546</v>
      </c>
      <c r="M163" s="434"/>
      <c r="N163" s="433" t="s">
        <v>547</v>
      </c>
      <c r="O163" s="434"/>
      <c r="P163" s="238" t="s">
        <v>548</v>
      </c>
      <c r="Q163" s="238" t="s">
        <v>515</v>
      </c>
      <c r="R163" s="238" t="s">
        <v>516</v>
      </c>
      <c r="S163" s="238" t="s">
        <v>517</v>
      </c>
      <c r="T163" s="238" t="s">
        <v>518</v>
      </c>
      <c r="U163" s="238" t="s">
        <v>549</v>
      </c>
      <c r="V163" s="238" t="s">
        <v>550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521</v>
      </c>
      <c r="M164" s="238" t="s">
        <v>522</v>
      </c>
      <c r="N164" s="238" t="s">
        <v>521</v>
      </c>
      <c r="O164" s="238" t="s">
        <v>522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523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524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525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526</v>
      </c>
      <c r="T179" s="259" t="s">
        <v>527</v>
      </c>
      <c r="U179" s="259"/>
      <c r="V179" s="259"/>
    </row>
    <row r="180" spans="1:22"/>
    <row r="181" spans="1:22"/>
    <row r="182" spans="1:22"/>
    <row r="183" spans="1:22" ht="12.75" customHeight="1">
      <c r="A183" s="435" t="s">
        <v>503</v>
      </c>
      <c r="B183" s="435"/>
      <c r="C183" s="438"/>
      <c r="D183" s="446"/>
      <c r="E183" s="446"/>
      <c r="F183" s="446"/>
      <c r="G183" s="446"/>
      <c r="H183" s="446"/>
      <c r="I183" s="446"/>
      <c r="J183" s="446"/>
      <c r="K183" s="446"/>
      <c r="L183" s="446"/>
      <c r="M183" s="446"/>
      <c r="N183" s="446"/>
      <c r="O183" s="446"/>
      <c r="P183" s="446"/>
      <c r="Q183" s="446"/>
      <c r="R183" s="446"/>
      <c r="S183" s="446"/>
      <c r="T183" s="439"/>
      <c r="U183" s="246"/>
      <c r="V183" s="246"/>
    </row>
    <row r="184" spans="1:22" ht="12.75" customHeight="1">
      <c r="A184" s="435" t="s">
        <v>529</v>
      </c>
      <c r="B184" s="435"/>
      <c r="C184" s="436"/>
      <c r="D184" s="436"/>
      <c r="E184" s="436"/>
      <c r="F184" s="436"/>
      <c r="G184" s="436"/>
      <c r="H184" s="437" t="s">
        <v>531</v>
      </c>
      <c r="I184" s="437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246"/>
      <c r="V184" s="246"/>
    </row>
    <row r="185" spans="1:22" ht="25.5" customHeight="1">
      <c r="A185" s="435" t="s">
        <v>532</v>
      </c>
      <c r="B185" s="435"/>
      <c r="C185" s="438"/>
      <c r="D185" s="439"/>
      <c r="E185" s="248" t="s">
        <v>534</v>
      </c>
      <c r="F185" s="440"/>
      <c r="G185" s="441"/>
      <c r="H185" s="441"/>
      <c r="I185" s="442"/>
      <c r="J185" s="248" t="s">
        <v>536</v>
      </c>
      <c r="K185" s="440"/>
      <c r="L185" s="441"/>
      <c r="M185" s="442"/>
      <c r="N185" s="247" t="s">
        <v>537</v>
      </c>
      <c r="O185" s="443"/>
      <c r="P185" s="444"/>
      <c r="Q185" s="444"/>
      <c r="R185" s="444"/>
      <c r="S185" s="444"/>
      <c r="T185" s="445"/>
      <c r="U185" s="260"/>
      <c r="V185" s="260"/>
    </row>
    <row r="186" spans="1:22" ht="38.25" customHeight="1">
      <c r="A186" s="238" t="s">
        <v>160</v>
      </c>
      <c r="B186" s="432" t="s">
        <v>538</v>
      </c>
      <c r="C186" s="432"/>
      <c r="D186" s="432"/>
      <c r="E186" s="239" t="s">
        <v>539</v>
      </c>
      <c r="F186" s="239" t="s">
        <v>540</v>
      </c>
      <c r="G186" s="238" t="s">
        <v>541</v>
      </c>
      <c r="H186" s="238" t="s">
        <v>542</v>
      </c>
      <c r="I186" s="238" t="s">
        <v>543</v>
      </c>
      <c r="J186" s="239" t="s">
        <v>544</v>
      </c>
      <c r="K186" s="239" t="s">
        <v>545</v>
      </c>
      <c r="L186" s="433" t="s">
        <v>546</v>
      </c>
      <c r="M186" s="434"/>
      <c r="N186" s="433" t="s">
        <v>547</v>
      </c>
      <c r="O186" s="434"/>
      <c r="P186" s="238" t="s">
        <v>548</v>
      </c>
      <c r="Q186" s="238" t="s">
        <v>515</v>
      </c>
      <c r="R186" s="238" t="s">
        <v>516</v>
      </c>
      <c r="S186" s="238" t="s">
        <v>517</v>
      </c>
      <c r="T186" s="238" t="s">
        <v>518</v>
      </c>
      <c r="U186" s="238" t="s">
        <v>549</v>
      </c>
      <c r="V186" s="238" t="s">
        <v>550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521</v>
      </c>
      <c r="M187" s="238" t="s">
        <v>522</v>
      </c>
      <c r="N187" s="238" t="s">
        <v>521</v>
      </c>
      <c r="O187" s="238" t="s">
        <v>522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523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524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525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526</v>
      </c>
      <c r="T202" s="259" t="s">
        <v>527</v>
      </c>
      <c r="U202" s="259"/>
      <c r="V202" s="259"/>
    </row>
    <row r="203" spans="1:22"/>
    <row r="204" spans="1:22"/>
    <row r="205" spans="1:22"/>
    <row r="206" spans="1:22" ht="12.75" customHeight="1">
      <c r="A206" s="435" t="s">
        <v>503</v>
      </c>
      <c r="B206" s="435"/>
      <c r="C206" s="438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39"/>
      <c r="U206" s="246"/>
      <c r="V206" s="246"/>
    </row>
    <row r="207" spans="1:22" ht="12.75" customHeight="1">
      <c r="A207" s="435" t="s">
        <v>529</v>
      </c>
      <c r="B207" s="435"/>
      <c r="C207" s="436"/>
      <c r="D207" s="436"/>
      <c r="E207" s="436"/>
      <c r="F207" s="436"/>
      <c r="G207" s="436"/>
      <c r="H207" s="437" t="s">
        <v>531</v>
      </c>
      <c r="I207" s="437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246"/>
      <c r="V207" s="246"/>
    </row>
    <row r="208" spans="1:22" ht="25.5" customHeight="1">
      <c r="A208" s="435" t="s">
        <v>532</v>
      </c>
      <c r="B208" s="435"/>
      <c r="C208" s="438"/>
      <c r="D208" s="439"/>
      <c r="E208" s="248" t="s">
        <v>534</v>
      </c>
      <c r="F208" s="440"/>
      <c r="G208" s="441"/>
      <c r="H208" s="441"/>
      <c r="I208" s="442"/>
      <c r="J208" s="248" t="s">
        <v>536</v>
      </c>
      <c r="K208" s="440"/>
      <c r="L208" s="441"/>
      <c r="M208" s="442"/>
      <c r="N208" s="247" t="s">
        <v>537</v>
      </c>
      <c r="O208" s="443"/>
      <c r="P208" s="444"/>
      <c r="Q208" s="444"/>
      <c r="R208" s="444"/>
      <c r="S208" s="444"/>
      <c r="T208" s="445"/>
      <c r="U208" s="260"/>
      <c r="V208" s="260"/>
    </row>
    <row r="209" spans="1:22" ht="38.25" customHeight="1">
      <c r="A209" s="238" t="s">
        <v>160</v>
      </c>
      <c r="B209" s="432" t="s">
        <v>538</v>
      </c>
      <c r="C209" s="432"/>
      <c r="D209" s="432"/>
      <c r="E209" s="239" t="s">
        <v>539</v>
      </c>
      <c r="F209" s="239" t="s">
        <v>540</v>
      </c>
      <c r="G209" s="238" t="s">
        <v>541</v>
      </c>
      <c r="H209" s="238" t="s">
        <v>542</v>
      </c>
      <c r="I209" s="238" t="s">
        <v>543</v>
      </c>
      <c r="J209" s="239" t="s">
        <v>544</v>
      </c>
      <c r="K209" s="239" t="s">
        <v>545</v>
      </c>
      <c r="L209" s="433" t="s">
        <v>546</v>
      </c>
      <c r="M209" s="434"/>
      <c r="N209" s="433" t="s">
        <v>547</v>
      </c>
      <c r="O209" s="434"/>
      <c r="P209" s="238" t="s">
        <v>548</v>
      </c>
      <c r="Q209" s="238" t="s">
        <v>515</v>
      </c>
      <c r="R209" s="238" t="s">
        <v>516</v>
      </c>
      <c r="S209" s="238" t="s">
        <v>517</v>
      </c>
      <c r="T209" s="238" t="s">
        <v>518</v>
      </c>
      <c r="U209" s="238" t="s">
        <v>549</v>
      </c>
      <c r="V209" s="238" t="s">
        <v>550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521</v>
      </c>
      <c r="M210" s="238" t="s">
        <v>522</v>
      </c>
      <c r="N210" s="238" t="s">
        <v>521</v>
      </c>
      <c r="O210" s="238" t="s">
        <v>522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523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524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525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526</v>
      </c>
      <c r="T225" s="259" t="s">
        <v>527</v>
      </c>
      <c r="U225" s="259"/>
      <c r="V225" s="259"/>
    </row>
    <row r="226" spans="1:22"/>
    <row r="227" spans="1:22"/>
    <row r="228" spans="1:22"/>
    <row r="229" spans="1:22" ht="12.75" customHeight="1">
      <c r="A229" s="435" t="s">
        <v>503</v>
      </c>
      <c r="B229" s="435"/>
      <c r="C229" s="438"/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446"/>
      <c r="O229" s="446"/>
      <c r="P229" s="446"/>
      <c r="Q229" s="446"/>
      <c r="R229" s="446"/>
      <c r="S229" s="446"/>
      <c r="T229" s="439"/>
      <c r="U229" s="246"/>
      <c r="V229" s="246"/>
    </row>
    <row r="230" spans="1:22" ht="12.75" customHeight="1">
      <c r="A230" s="435" t="s">
        <v>529</v>
      </c>
      <c r="B230" s="435"/>
      <c r="C230" s="436"/>
      <c r="D230" s="436"/>
      <c r="E230" s="436"/>
      <c r="F230" s="436"/>
      <c r="G230" s="436"/>
      <c r="H230" s="437" t="s">
        <v>531</v>
      </c>
      <c r="I230" s="437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246"/>
      <c r="V230" s="246"/>
    </row>
    <row r="231" spans="1:22" ht="25.5" customHeight="1">
      <c r="A231" s="435" t="s">
        <v>532</v>
      </c>
      <c r="B231" s="435"/>
      <c r="C231" s="438"/>
      <c r="D231" s="439"/>
      <c r="E231" s="248" t="s">
        <v>534</v>
      </c>
      <c r="F231" s="440"/>
      <c r="G231" s="441"/>
      <c r="H231" s="441"/>
      <c r="I231" s="442"/>
      <c r="J231" s="248" t="s">
        <v>536</v>
      </c>
      <c r="K231" s="440"/>
      <c r="L231" s="441"/>
      <c r="M231" s="442"/>
      <c r="N231" s="247" t="s">
        <v>537</v>
      </c>
      <c r="O231" s="443"/>
      <c r="P231" s="444"/>
      <c r="Q231" s="444"/>
      <c r="R231" s="444"/>
      <c r="S231" s="444"/>
      <c r="T231" s="445"/>
      <c r="U231" s="260"/>
      <c r="V231" s="260"/>
    </row>
    <row r="232" spans="1:22" ht="38.25" customHeight="1">
      <c r="A232" s="238" t="s">
        <v>160</v>
      </c>
      <c r="B232" s="432" t="s">
        <v>538</v>
      </c>
      <c r="C232" s="432"/>
      <c r="D232" s="432"/>
      <c r="E232" s="239" t="s">
        <v>539</v>
      </c>
      <c r="F232" s="239" t="s">
        <v>540</v>
      </c>
      <c r="G232" s="238" t="s">
        <v>541</v>
      </c>
      <c r="H232" s="238" t="s">
        <v>542</v>
      </c>
      <c r="I232" s="238" t="s">
        <v>543</v>
      </c>
      <c r="J232" s="239" t="s">
        <v>544</v>
      </c>
      <c r="K232" s="239" t="s">
        <v>545</v>
      </c>
      <c r="L232" s="433" t="s">
        <v>546</v>
      </c>
      <c r="M232" s="434"/>
      <c r="N232" s="433" t="s">
        <v>547</v>
      </c>
      <c r="O232" s="434"/>
      <c r="P232" s="238" t="s">
        <v>548</v>
      </c>
      <c r="Q232" s="238" t="s">
        <v>515</v>
      </c>
      <c r="R232" s="238" t="s">
        <v>516</v>
      </c>
      <c r="S232" s="238" t="s">
        <v>517</v>
      </c>
      <c r="T232" s="238" t="s">
        <v>518</v>
      </c>
      <c r="U232" s="238" t="s">
        <v>549</v>
      </c>
      <c r="V232" s="238" t="s">
        <v>550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521</v>
      </c>
      <c r="M233" s="238" t="s">
        <v>522</v>
      </c>
      <c r="N233" s="238" t="s">
        <v>521</v>
      </c>
      <c r="O233" s="238" t="s">
        <v>522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523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524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525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526</v>
      </c>
      <c r="T248" s="259" t="s">
        <v>527</v>
      </c>
      <c r="U248" s="259"/>
      <c r="V248" s="259"/>
    </row>
    <row r="249" spans="1:22"/>
    <row r="250" spans="1:22"/>
    <row r="251" spans="1:22"/>
    <row r="252" spans="1:22" ht="12.75" customHeight="1">
      <c r="A252" s="435" t="s">
        <v>503</v>
      </c>
      <c r="B252" s="435"/>
      <c r="C252" s="438"/>
      <c r="D252" s="446"/>
      <c r="E252" s="446"/>
      <c r="F252" s="446"/>
      <c r="G252" s="446"/>
      <c r="H252" s="446"/>
      <c r="I252" s="446"/>
      <c r="J252" s="446"/>
      <c r="K252" s="446"/>
      <c r="L252" s="446"/>
      <c r="M252" s="446"/>
      <c r="N252" s="446"/>
      <c r="O252" s="446"/>
      <c r="P252" s="446"/>
      <c r="Q252" s="446"/>
      <c r="R252" s="446"/>
      <c r="S252" s="446"/>
      <c r="T252" s="439"/>
      <c r="U252" s="246"/>
      <c r="V252" s="246"/>
    </row>
    <row r="253" spans="1:22" ht="12.75" customHeight="1">
      <c r="A253" s="435" t="s">
        <v>529</v>
      </c>
      <c r="B253" s="435"/>
      <c r="C253" s="436"/>
      <c r="D253" s="436"/>
      <c r="E253" s="436"/>
      <c r="F253" s="436"/>
      <c r="G253" s="436"/>
      <c r="H253" s="437" t="s">
        <v>531</v>
      </c>
      <c r="I253" s="437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246"/>
      <c r="V253" s="246"/>
    </row>
    <row r="254" spans="1:22" ht="25.5" customHeight="1">
      <c r="A254" s="435" t="s">
        <v>532</v>
      </c>
      <c r="B254" s="435"/>
      <c r="C254" s="438"/>
      <c r="D254" s="439"/>
      <c r="E254" s="248" t="s">
        <v>534</v>
      </c>
      <c r="F254" s="440"/>
      <c r="G254" s="441"/>
      <c r="H254" s="441"/>
      <c r="I254" s="442"/>
      <c r="J254" s="248" t="s">
        <v>536</v>
      </c>
      <c r="K254" s="440"/>
      <c r="L254" s="441"/>
      <c r="M254" s="442"/>
      <c r="N254" s="247" t="s">
        <v>537</v>
      </c>
      <c r="O254" s="443"/>
      <c r="P254" s="444"/>
      <c r="Q254" s="444"/>
      <c r="R254" s="444"/>
      <c r="S254" s="444"/>
      <c r="T254" s="445"/>
      <c r="U254" s="260"/>
      <c r="V254" s="260"/>
    </row>
    <row r="255" spans="1:22" ht="38.25" customHeight="1">
      <c r="A255" s="238" t="s">
        <v>160</v>
      </c>
      <c r="B255" s="432" t="s">
        <v>538</v>
      </c>
      <c r="C255" s="432"/>
      <c r="D255" s="432"/>
      <c r="E255" s="239" t="s">
        <v>539</v>
      </c>
      <c r="F255" s="239" t="s">
        <v>540</v>
      </c>
      <c r="G255" s="238" t="s">
        <v>541</v>
      </c>
      <c r="H255" s="238" t="s">
        <v>542</v>
      </c>
      <c r="I255" s="238" t="s">
        <v>543</v>
      </c>
      <c r="J255" s="239" t="s">
        <v>544</v>
      </c>
      <c r="K255" s="239" t="s">
        <v>545</v>
      </c>
      <c r="L255" s="433" t="s">
        <v>546</v>
      </c>
      <c r="M255" s="434"/>
      <c r="N255" s="433" t="s">
        <v>547</v>
      </c>
      <c r="O255" s="434"/>
      <c r="P255" s="238" t="s">
        <v>548</v>
      </c>
      <c r="Q255" s="238" t="s">
        <v>515</v>
      </c>
      <c r="R255" s="238" t="s">
        <v>516</v>
      </c>
      <c r="S255" s="238" t="s">
        <v>517</v>
      </c>
      <c r="T255" s="238" t="s">
        <v>518</v>
      </c>
      <c r="U255" s="238" t="s">
        <v>549</v>
      </c>
      <c r="V255" s="238" t="s">
        <v>550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521</v>
      </c>
      <c r="M256" s="238" t="s">
        <v>522</v>
      </c>
      <c r="N256" s="238" t="s">
        <v>521</v>
      </c>
      <c r="O256" s="238" t="s">
        <v>522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523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524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525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526</v>
      </c>
      <c r="T271" s="259" t="s">
        <v>527</v>
      </c>
      <c r="U271" s="259"/>
      <c r="V271" s="259"/>
    </row>
    <row r="272" spans="1:22"/>
    <row r="273" spans="1:22"/>
    <row r="274" spans="1:22"/>
    <row r="275" spans="1:22" ht="12.75" customHeight="1">
      <c r="A275" s="435" t="s">
        <v>503</v>
      </c>
      <c r="B275" s="435"/>
      <c r="C275" s="438"/>
      <c r="D275" s="446"/>
      <c r="E275" s="446"/>
      <c r="F275" s="446"/>
      <c r="G275" s="446"/>
      <c r="H275" s="446"/>
      <c r="I275" s="446"/>
      <c r="J275" s="446"/>
      <c r="K275" s="446"/>
      <c r="L275" s="446"/>
      <c r="M275" s="446"/>
      <c r="N275" s="446"/>
      <c r="O275" s="446"/>
      <c r="P275" s="446"/>
      <c r="Q275" s="446"/>
      <c r="R275" s="446"/>
      <c r="S275" s="446"/>
      <c r="T275" s="439"/>
      <c r="U275" s="246"/>
      <c r="V275" s="246"/>
    </row>
    <row r="276" spans="1:22" ht="12.75" customHeight="1">
      <c r="A276" s="435" t="s">
        <v>529</v>
      </c>
      <c r="B276" s="435"/>
      <c r="C276" s="436"/>
      <c r="D276" s="436"/>
      <c r="E276" s="436"/>
      <c r="F276" s="436"/>
      <c r="G276" s="436"/>
      <c r="H276" s="437" t="s">
        <v>531</v>
      </c>
      <c r="I276" s="437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246"/>
      <c r="V276" s="246"/>
    </row>
    <row r="277" spans="1:22" ht="25.5" customHeight="1">
      <c r="A277" s="435" t="s">
        <v>532</v>
      </c>
      <c r="B277" s="435"/>
      <c r="C277" s="438"/>
      <c r="D277" s="439"/>
      <c r="E277" s="248" t="s">
        <v>534</v>
      </c>
      <c r="F277" s="440"/>
      <c r="G277" s="441"/>
      <c r="H277" s="441"/>
      <c r="I277" s="442"/>
      <c r="J277" s="248" t="s">
        <v>536</v>
      </c>
      <c r="K277" s="440"/>
      <c r="L277" s="441"/>
      <c r="M277" s="442"/>
      <c r="N277" s="247" t="s">
        <v>537</v>
      </c>
      <c r="O277" s="443"/>
      <c r="P277" s="444"/>
      <c r="Q277" s="444"/>
      <c r="R277" s="444"/>
      <c r="S277" s="444"/>
      <c r="T277" s="445"/>
      <c r="U277" s="260"/>
      <c r="V277" s="260"/>
    </row>
    <row r="278" spans="1:22" ht="38.25" customHeight="1">
      <c r="A278" s="238" t="s">
        <v>160</v>
      </c>
      <c r="B278" s="432" t="s">
        <v>538</v>
      </c>
      <c r="C278" s="432"/>
      <c r="D278" s="432"/>
      <c r="E278" s="239" t="s">
        <v>539</v>
      </c>
      <c r="F278" s="239" t="s">
        <v>540</v>
      </c>
      <c r="G278" s="238" t="s">
        <v>541</v>
      </c>
      <c r="H278" s="238" t="s">
        <v>542</v>
      </c>
      <c r="I278" s="238" t="s">
        <v>543</v>
      </c>
      <c r="J278" s="239" t="s">
        <v>544</v>
      </c>
      <c r="K278" s="239" t="s">
        <v>545</v>
      </c>
      <c r="L278" s="433" t="s">
        <v>546</v>
      </c>
      <c r="M278" s="434"/>
      <c r="N278" s="433" t="s">
        <v>547</v>
      </c>
      <c r="O278" s="434"/>
      <c r="P278" s="238" t="s">
        <v>548</v>
      </c>
      <c r="Q278" s="238" t="s">
        <v>515</v>
      </c>
      <c r="R278" s="238" t="s">
        <v>516</v>
      </c>
      <c r="S278" s="238" t="s">
        <v>517</v>
      </c>
      <c r="T278" s="238" t="s">
        <v>518</v>
      </c>
      <c r="U278" s="238" t="s">
        <v>549</v>
      </c>
      <c r="V278" s="238" t="s">
        <v>550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521</v>
      </c>
      <c r="M279" s="238" t="s">
        <v>522</v>
      </c>
      <c r="N279" s="238" t="s">
        <v>521</v>
      </c>
      <c r="O279" s="238" t="s">
        <v>522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523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524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525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526</v>
      </c>
      <c r="T294" s="259" t="s">
        <v>527</v>
      </c>
      <c r="U294" s="259"/>
      <c r="V294" s="259"/>
    </row>
    <row r="295" spans="1:22"/>
    <row r="296" spans="1:22"/>
    <row r="297" spans="1:22"/>
    <row r="298" spans="1:22" ht="12.75" customHeight="1">
      <c r="A298" s="435" t="s">
        <v>503</v>
      </c>
      <c r="B298" s="435"/>
      <c r="C298" s="438"/>
      <c r="D298" s="446"/>
      <c r="E298" s="446"/>
      <c r="F298" s="446"/>
      <c r="G298" s="446"/>
      <c r="H298" s="446"/>
      <c r="I298" s="446"/>
      <c r="J298" s="446"/>
      <c r="K298" s="446"/>
      <c r="L298" s="446"/>
      <c r="M298" s="446"/>
      <c r="N298" s="446"/>
      <c r="O298" s="446"/>
      <c r="P298" s="446"/>
      <c r="Q298" s="446"/>
      <c r="R298" s="446"/>
      <c r="S298" s="446"/>
      <c r="T298" s="439"/>
      <c r="U298" s="246"/>
      <c r="V298" s="246"/>
    </row>
    <row r="299" spans="1:22" ht="12.75" customHeight="1">
      <c r="A299" s="435" t="s">
        <v>529</v>
      </c>
      <c r="B299" s="435"/>
      <c r="C299" s="436"/>
      <c r="D299" s="436"/>
      <c r="E299" s="436"/>
      <c r="F299" s="436"/>
      <c r="G299" s="436"/>
      <c r="H299" s="437" t="s">
        <v>531</v>
      </c>
      <c r="I299" s="437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246"/>
      <c r="V299" s="246"/>
    </row>
    <row r="300" spans="1:22" ht="25.5" customHeight="1">
      <c r="A300" s="435" t="s">
        <v>532</v>
      </c>
      <c r="B300" s="435"/>
      <c r="C300" s="438"/>
      <c r="D300" s="439"/>
      <c r="E300" s="248" t="s">
        <v>534</v>
      </c>
      <c r="F300" s="440"/>
      <c r="G300" s="441"/>
      <c r="H300" s="441"/>
      <c r="I300" s="442"/>
      <c r="J300" s="248" t="s">
        <v>536</v>
      </c>
      <c r="K300" s="440"/>
      <c r="L300" s="441"/>
      <c r="M300" s="442"/>
      <c r="N300" s="247" t="s">
        <v>537</v>
      </c>
      <c r="O300" s="443"/>
      <c r="P300" s="444"/>
      <c r="Q300" s="444"/>
      <c r="R300" s="444"/>
      <c r="S300" s="444"/>
      <c r="T300" s="445"/>
      <c r="U300" s="260"/>
      <c r="V300" s="260"/>
    </row>
    <row r="301" spans="1:22" ht="38.25" customHeight="1">
      <c r="A301" s="238" t="s">
        <v>160</v>
      </c>
      <c r="B301" s="432" t="s">
        <v>538</v>
      </c>
      <c r="C301" s="432"/>
      <c r="D301" s="432"/>
      <c r="E301" s="239" t="s">
        <v>539</v>
      </c>
      <c r="F301" s="239" t="s">
        <v>540</v>
      </c>
      <c r="G301" s="238" t="s">
        <v>541</v>
      </c>
      <c r="H301" s="238" t="s">
        <v>542</v>
      </c>
      <c r="I301" s="238" t="s">
        <v>543</v>
      </c>
      <c r="J301" s="239" t="s">
        <v>544</v>
      </c>
      <c r="K301" s="239" t="s">
        <v>545</v>
      </c>
      <c r="L301" s="433" t="s">
        <v>546</v>
      </c>
      <c r="M301" s="434"/>
      <c r="N301" s="433" t="s">
        <v>547</v>
      </c>
      <c r="O301" s="434"/>
      <c r="P301" s="238" t="s">
        <v>548</v>
      </c>
      <c r="Q301" s="238" t="s">
        <v>515</v>
      </c>
      <c r="R301" s="238" t="s">
        <v>516</v>
      </c>
      <c r="S301" s="238" t="s">
        <v>517</v>
      </c>
      <c r="T301" s="238" t="s">
        <v>518</v>
      </c>
      <c r="U301" s="238" t="s">
        <v>549</v>
      </c>
      <c r="V301" s="238" t="s">
        <v>550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521</v>
      </c>
      <c r="M302" s="238" t="s">
        <v>522</v>
      </c>
      <c r="N302" s="238" t="s">
        <v>521</v>
      </c>
      <c r="O302" s="238" t="s">
        <v>522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523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524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525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526</v>
      </c>
      <c r="T317" s="259" t="s">
        <v>527</v>
      </c>
      <c r="U317" s="259"/>
      <c r="V317" s="259"/>
    </row>
    <row r="318" spans="1:22"/>
    <row r="319" spans="1:22"/>
    <row r="320" spans="1:22"/>
    <row r="321" spans="1:22" ht="12.75" customHeight="1">
      <c r="A321" s="435" t="s">
        <v>503</v>
      </c>
      <c r="B321" s="435"/>
      <c r="C321" s="438"/>
      <c r="D321" s="446"/>
      <c r="E321" s="446"/>
      <c r="F321" s="446"/>
      <c r="G321" s="446"/>
      <c r="H321" s="446"/>
      <c r="I321" s="446"/>
      <c r="J321" s="446"/>
      <c r="K321" s="446"/>
      <c r="L321" s="446"/>
      <c r="M321" s="446"/>
      <c r="N321" s="446"/>
      <c r="O321" s="446"/>
      <c r="P321" s="446"/>
      <c r="Q321" s="446"/>
      <c r="R321" s="446"/>
      <c r="S321" s="446"/>
      <c r="T321" s="439"/>
      <c r="U321" s="246"/>
      <c r="V321" s="246"/>
    </row>
    <row r="322" spans="1:22" ht="12.75" customHeight="1">
      <c r="A322" s="435" t="s">
        <v>529</v>
      </c>
      <c r="B322" s="435"/>
      <c r="C322" s="436"/>
      <c r="D322" s="436"/>
      <c r="E322" s="436"/>
      <c r="F322" s="436"/>
      <c r="G322" s="436"/>
      <c r="H322" s="437" t="s">
        <v>531</v>
      </c>
      <c r="I322" s="437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246"/>
      <c r="V322" s="246"/>
    </row>
    <row r="323" spans="1:22" ht="25.5" customHeight="1">
      <c r="A323" s="435" t="s">
        <v>532</v>
      </c>
      <c r="B323" s="435"/>
      <c r="C323" s="438"/>
      <c r="D323" s="439"/>
      <c r="E323" s="248" t="s">
        <v>534</v>
      </c>
      <c r="F323" s="440"/>
      <c r="G323" s="441"/>
      <c r="H323" s="441"/>
      <c r="I323" s="442"/>
      <c r="J323" s="248" t="s">
        <v>536</v>
      </c>
      <c r="K323" s="440"/>
      <c r="L323" s="441"/>
      <c r="M323" s="442"/>
      <c r="N323" s="247" t="s">
        <v>537</v>
      </c>
      <c r="O323" s="443"/>
      <c r="P323" s="444"/>
      <c r="Q323" s="444"/>
      <c r="R323" s="444"/>
      <c r="S323" s="444"/>
      <c r="T323" s="445"/>
      <c r="U323" s="260"/>
      <c r="V323" s="260"/>
    </row>
    <row r="324" spans="1:22" ht="38.25" customHeight="1">
      <c r="A324" s="238" t="s">
        <v>160</v>
      </c>
      <c r="B324" s="432" t="s">
        <v>538</v>
      </c>
      <c r="C324" s="432"/>
      <c r="D324" s="432"/>
      <c r="E324" s="239" t="s">
        <v>539</v>
      </c>
      <c r="F324" s="239" t="s">
        <v>540</v>
      </c>
      <c r="G324" s="238" t="s">
        <v>541</v>
      </c>
      <c r="H324" s="238" t="s">
        <v>542</v>
      </c>
      <c r="I324" s="238" t="s">
        <v>543</v>
      </c>
      <c r="J324" s="239" t="s">
        <v>544</v>
      </c>
      <c r="K324" s="239" t="s">
        <v>545</v>
      </c>
      <c r="L324" s="433" t="s">
        <v>546</v>
      </c>
      <c r="M324" s="434"/>
      <c r="N324" s="433" t="s">
        <v>547</v>
      </c>
      <c r="O324" s="434"/>
      <c r="P324" s="238" t="s">
        <v>548</v>
      </c>
      <c r="Q324" s="238" t="s">
        <v>515</v>
      </c>
      <c r="R324" s="238" t="s">
        <v>516</v>
      </c>
      <c r="S324" s="238" t="s">
        <v>517</v>
      </c>
      <c r="T324" s="238" t="s">
        <v>518</v>
      </c>
      <c r="U324" s="238" t="s">
        <v>549</v>
      </c>
      <c r="V324" s="238" t="s">
        <v>550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521</v>
      </c>
      <c r="M325" s="238" t="s">
        <v>522</v>
      </c>
      <c r="N325" s="238" t="s">
        <v>521</v>
      </c>
      <c r="O325" s="238" t="s">
        <v>522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523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524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525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526</v>
      </c>
      <c r="T340" s="259" t="s">
        <v>527</v>
      </c>
      <c r="U340" s="259"/>
      <c r="V340" s="259"/>
    </row>
    <row r="341" spans="1:22"/>
    <row r="342" spans="1:22"/>
    <row r="343" spans="1:22"/>
    <row r="344" spans="1:22" ht="12.75" customHeight="1">
      <c r="A344" s="435" t="s">
        <v>503</v>
      </c>
      <c r="B344" s="435"/>
      <c r="C344" s="438"/>
      <c r="D344" s="446"/>
      <c r="E344" s="446"/>
      <c r="F344" s="446"/>
      <c r="G344" s="446"/>
      <c r="H344" s="446"/>
      <c r="I344" s="446"/>
      <c r="J344" s="446"/>
      <c r="K344" s="446"/>
      <c r="L344" s="446"/>
      <c r="M344" s="446"/>
      <c r="N344" s="446"/>
      <c r="O344" s="446"/>
      <c r="P344" s="446"/>
      <c r="Q344" s="446"/>
      <c r="R344" s="446"/>
      <c r="S344" s="446"/>
      <c r="T344" s="439"/>
      <c r="U344" s="246"/>
      <c r="V344" s="246"/>
    </row>
    <row r="345" spans="1:22" ht="12.75" customHeight="1">
      <c r="A345" s="435" t="s">
        <v>529</v>
      </c>
      <c r="B345" s="435"/>
      <c r="C345" s="436"/>
      <c r="D345" s="436"/>
      <c r="E345" s="436"/>
      <c r="F345" s="436"/>
      <c r="G345" s="436"/>
      <c r="H345" s="437" t="s">
        <v>531</v>
      </c>
      <c r="I345" s="437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246"/>
      <c r="V345" s="246"/>
    </row>
    <row r="346" spans="1:22" ht="25.5" customHeight="1">
      <c r="A346" s="435" t="s">
        <v>532</v>
      </c>
      <c r="B346" s="435"/>
      <c r="C346" s="438"/>
      <c r="D346" s="439"/>
      <c r="E346" s="248" t="s">
        <v>534</v>
      </c>
      <c r="F346" s="440"/>
      <c r="G346" s="441"/>
      <c r="H346" s="441"/>
      <c r="I346" s="442"/>
      <c r="J346" s="248" t="s">
        <v>536</v>
      </c>
      <c r="K346" s="440"/>
      <c r="L346" s="441"/>
      <c r="M346" s="442"/>
      <c r="N346" s="247" t="s">
        <v>537</v>
      </c>
      <c r="O346" s="443"/>
      <c r="P346" s="444"/>
      <c r="Q346" s="444"/>
      <c r="R346" s="444"/>
      <c r="S346" s="444"/>
      <c r="T346" s="445"/>
      <c r="U346" s="260"/>
      <c r="V346" s="260"/>
    </row>
    <row r="347" spans="1:22" ht="38.25" customHeight="1">
      <c r="A347" s="238" t="s">
        <v>160</v>
      </c>
      <c r="B347" s="432" t="s">
        <v>538</v>
      </c>
      <c r="C347" s="432"/>
      <c r="D347" s="432"/>
      <c r="E347" s="239" t="s">
        <v>539</v>
      </c>
      <c r="F347" s="239" t="s">
        <v>540</v>
      </c>
      <c r="G347" s="238" t="s">
        <v>541</v>
      </c>
      <c r="H347" s="238" t="s">
        <v>542</v>
      </c>
      <c r="I347" s="238" t="s">
        <v>543</v>
      </c>
      <c r="J347" s="239" t="s">
        <v>544</v>
      </c>
      <c r="K347" s="239" t="s">
        <v>545</v>
      </c>
      <c r="L347" s="433" t="s">
        <v>546</v>
      </c>
      <c r="M347" s="434"/>
      <c r="N347" s="433" t="s">
        <v>547</v>
      </c>
      <c r="O347" s="434"/>
      <c r="P347" s="238" t="s">
        <v>548</v>
      </c>
      <c r="Q347" s="238" t="s">
        <v>515</v>
      </c>
      <c r="R347" s="238" t="s">
        <v>516</v>
      </c>
      <c r="S347" s="238" t="s">
        <v>517</v>
      </c>
      <c r="T347" s="238" t="s">
        <v>518</v>
      </c>
      <c r="U347" s="238" t="s">
        <v>549</v>
      </c>
      <c r="V347" s="238" t="s">
        <v>550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521</v>
      </c>
      <c r="M348" s="238" t="s">
        <v>522</v>
      </c>
      <c r="N348" s="238" t="s">
        <v>521</v>
      </c>
      <c r="O348" s="238" t="s">
        <v>522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523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524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525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526</v>
      </c>
      <c r="T363" s="259" t="s">
        <v>527</v>
      </c>
      <c r="U363" s="259"/>
      <c r="V363" s="259"/>
    </row>
    <row r="364" spans="1:22"/>
    <row r="365" spans="1:22"/>
    <row r="366" spans="1:22"/>
    <row r="367" spans="1:22" ht="12.75" customHeight="1">
      <c r="A367" s="435" t="s">
        <v>503</v>
      </c>
      <c r="B367" s="435"/>
      <c r="C367" s="438"/>
      <c r="D367" s="446"/>
      <c r="E367" s="446"/>
      <c r="F367" s="446"/>
      <c r="G367" s="446"/>
      <c r="H367" s="446"/>
      <c r="I367" s="446"/>
      <c r="J367" s="446"/>
      <c r="K367" s="446"/>
      <c r="L367" s="446"/>
      <c r="M367" s="446"/>
      <c r="N367" s="446"/>
      <c r="O367" s="446"/>
      <c r="P367" s="446"/>
      <c r="Q367" s="446"/>
      <c r="R367" s="446"/>
      <c r="S367" s="446"/>
      <c r="T367" s="439"/>
      <c r="U367" s="246"/>
      <c r="V367" s="246"/>
    </row>
    <row r="368" spans="1:22" ht="12.75" customHeight="1">
      <c r="A368" s="435" t="s">
        <v>529</v>
      </c>
      <c r="B368" s="435"/>
      <c r="C368" s="436"/>
      <c r="D368" s="436"/>
      <c r="E368" s="436"/>
      <c r="F368" s="436"/>
      <c r="G368" s="436"/>
      <c r="H368" s="437" t="s">
        <v>531</v>
      </c>
      <c r="I368" s="437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246"/>
      <c r="V368" s="246"/>
    </row>
    <row r="369" spans="1:22" ht="25.5" customHeight="1">
      <c r="A369" s="435" t="s">
        <v>532</v>
      </c>
      <c r="B369" s="435"/>
      <c r="C369" s="438"/>
      <c r="D369" s="439"/>
      <c r="E369" s="248" t="s">
        <v>534</v>
      </c>
      <c r="F369" s="440"/>
      <c r="G369" s="441"/>
      <c r="H369" s="441"/>
      <c r="I369" s="442"/>
      <c r="J369" s="248" t="s">
        <v>536</v>
      </c>
      <c r="K369" s="440"/>
      <c r="L369" s="441"/>
      <c r="M369" s="442"/>
      <c r="N369" s="247" t="s">
        <v>537</v>
      </c>
      <c r="O369" s="443"/>
      <c r="P369" s="444"/>
      <c r="Q369" s="444"/>
      <c r="R369" s="444"/>
      <c r="S369" s="444"/>
      <c r="T369" s="445"/>
      <c r="U369" s="260"/>
      <c r="V369" s="260"/>
    </row>
    <row r="370" spans="1:22" ht="38.25" customHeight="1">
      <c r="A370" s="238" t="s">
        <v>160</v>
      </c>
      <c r="B370" s="432" t="s">
        <v>538</v>
      </c>
      <c r="C370" s="432"/>
      <c r="D370" s="432"/>
      <c r="E370" s="239" t="s">
        <v>539</v>
      </c>
      <c r="F370" s="239" t="s">
        <v>540</v>
      </c>
      <c r="G370" s="238" t="s">
        <v>541</v>
      </c>
      <c r="H370" s="238" t="s">
        <v>542</v>
      </c>
      <c r="I370" s="238" t="s">
        <v>543</v>
      </c>
      <c r="J370" s="239" t="s">
        <v>544</v>
      </c>
      <c r="K370" s="239" t="s">
        <v>545</v>
      </c>
      <c r="L370" s="433" t="s">
        <v>546</v>
      </c>
      <c r="M370" s="434"/>
      <c r="N370" s="433" t="s">
        <v>547</v>
      </c>
      <c r="O370" s="434"/>
      <c r="P370" s="238" t="s">
        <v>548</v>
      </c>
      <c r="Q370" s="238" t="s">
        <v>515</v>
      </c>
      <c r="R370" s="238" t="s">
        <v>516</v>
      </c>
      <c r="S370" s="238" t="s">
        <v>517</v>
      </c>
      <c r="T370" s="238" t="s">
        <v>518</v>
      </c>
      <c r="U370" s="238" t="s">
        <v>549</v>
      </c>
      <c r="V370" s="238" t="s">
        <v>550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521</v>
      </c>
      <c r="M371" s="238" t="s">
        <v>522</v>
      </c>
      <c r="N371" s="238" t="s">
        <v>521</v>
      </c>
      <c r="O371" s="238" t="s">
        <v>522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523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524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525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526</v>
      </c>
      <c r="T386" s="259" t="s">
        <v>527</v>
      </c>
      <c r="U386" s="259"/>
      <c r="V386" s="259"/>
    </row>
    <row r="387" spans="1:22"/>
    <row r="388" spans="1:22"/>
    <row r="389" spans="1:22"/>
    <row r="390" spans="1:22" ht="12.75" customHeight="1">
      <c r="A390" s="435" t="s">
        <v>503</v>
      </c>
      <c r="B390" s="435"/>
      <c r="C390" s="438"/>
      <c r="D390" s="446"/>
      <c r="E390" s="446"/>
      <c r="F390" s="446"/>
      <c r="G390" s="446"/>
      <c r="H390" s="446"/>
      <c r="I390" s="446"/>
      <c r="J390" s="446"/>
      <c r="K390" s="446"/>
      <c r="L390" s="446"/>
      <c r="M390" s="446"/>
      <c r="N390" s="446"/>
      <c r="O390" s="446"/>
      <c r="P390" s="446"/>
      <c r="Q390" s="446"/>
      <c r="R390" s="446"/>
      <c r="S390" s="446"/>
      <c r="T390" s="439"/>
      <c r="U390" s="246"/>
      <c r="V390" s="246"/>
    </row>
    <row r="391" spans="1:22" ht="12.75" customHeight="1">
      <c r="A391" s="435" t="s">
        <v>529</v>
      </c>
      <c r="B391" s="435"/>
      <c r="C391" s="436"/>
      <c r="D391" s="436"/>
      <c r="E391" s="436"/>
      <c r="F391" s="436"/>
      <c r="G391" s="436"/>
      <c r="H391" s="437" t="s">
        <v>531</v>
      </c>
      <c r="I391" s="437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246"/>
      <c r="V391" s="246"/>
    </row>
    <row r="392" spans="1:22" ht="25.5" customHeight="1">
      <c r="A392" s="435" t="s">
        <v>532</v>
      </c>
      <c r="B392" s="435"/>
      <c r="C392" s="438"/>
      <c r="D392" s="439"/>
      <c r="E392" s="248" t="s">
        <v>534</v>
      </c>
      <c r="F392" s="440"/>
      <c r="G392" s="441"/>
      <c r="H392" s="441"/>
      <c r="I392" s="442"/>
      <c r="J392" s="248" t="s">
        <v>536</v>
      </c>
      <c r="K392" s="440"/>
      <c r="L392" s="441"/>
      <c r="M392" s="442"/>
      <c r="N392" s="247" t="s">
        <v>537</v>
      </c>
      <c r="O392" s="443"/>
      <c r="P392" s="444"/>
      <c r="Q392" s="444"/>
      <c r="R392" s="444"/>
      <c r="S392" s="444"/>
      <c r="T392" s="445"/>
      <c r="U392" s="260"/>
      <c r="V392" s="260"/>
    </row>
    <row r="393" spans="1:22" ht="38.25" customHeight="1">
      <c r="A393" s="238" t="s">
        <v>160</v>
      </c>
      <c r="B393" s="432" t="s">
        <v>538</v>
      </c>
      <c r="C393" s="432"/>
      <c r="D393" s="432"/>
      <c r="E393" s="239" t="s">
        <v>539</v>
      </c>
      <c r="F393" s="239" t="s">
        <v>540</v>
      </c>
      <c r="G393" s="238" t="s">
        <v>541</v>
      </c>
      <c r="H393" s="238" t="s">
        <v>542</v>
      </c>
      <c r="I393" s="238" t="s">
        <v>543</v>
      </c>
      <c r="J393" s="239" t="s">
        <v>544</v>
      </c>
      <c r="K393" s="239" t="s">
        <v>545</v>
      </c>
      <c r="L393" s="433" t="s">
        <v>546</v>
      </c>
      <c r="M393" s="434"/>
      <c r="N393" s="433" t="s">
        <v>547</v>
      </c>
      <c r="O393" s="434"/>
      <c r="P393" s="238" t="s">
        <v>548</v>
      </c>
      <c r="Q393" s="238" t="s">
        <v>515</v>
      </c>
      <c r="R393" s="238" t="s">
        <v>516</v>
      </c>
      <c r="S393" s="238" t="s">
        <v>517</v>
      </c>
      <c r="T393" s="238" t="s">
        <v>518</v>
      </c>
      <c r="U393" s="238" t="s">
        <v>549</v>
      </c>
      <c r="V393" s="238" t="s">
        <v>550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521</v>
      </c>
      <c r="M394" s="238" t="s">
        <v>522</v>
      </c>
      <c r="N394" s="238" t="s">
        <v>521</v>
      </c>
      <c r="O394" s="238" t="s">
        <v>522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523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524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525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526</v>
      </c>
      <c r="T409" s="259" t="s">
        <v>527</v>
      </c>
      <c r="U409" s="259"/>
      <c r="V409" s="259"/>
    </row>
    <row r="410" spans="1:22"/>
    <row r="411" spans="1:22"/>
    <row r="412" spans="1:22"/>
    <row r="413" spans="1:22" ht="12.75" customHeight="1">
      <c r="A413" s="435" t="s">
        <v>503</v>
      </c>
      <c r="B413" s="435"/>
      <c r="C413" s="438"/>
      <c r="D413" s="446"/>
      <c r="E413" s="446"/>
      <c r="F413" s="446"/>
      <c r="G413" s="446"/>
      <c r="H413" s="446"/>
      <c r="I413" s="446"/>
      <c r="J413" s="446"/>
      <c r="K413" s="446"/>
      <c r="L413" s="446"/>
      <c r="M413" s="446"/>
      <c r="N413" s="446"/>
      <c r="O413" s="446"/>
      <c r="P413" s="446"/>
      <c r="Q413" s="446"/>
      <c r="R413" s="446"/>
      <c r="S413" s="446"/>
      <c r="T413" s="439"/>
      <c r="U413" s="246"/>
      <c r="V413" s="246"/>
    </row>
    <row r="414" spans="1:22" ht="12.75" customHeight="1">
      <c r="A414" s="435" t="s">
        <v>529</v>
      </c>
      <c r="B414" s="435"/>
      <c r="C414" s="436"/>
      <c r="D414" s="436"/>
      <c r="E414" s="436"/>
      <c r="F414" s="436"/>
      <c r="G414" s="436"/>
      <c r="H414" s="437" t="s">
        <v>531</v>
      </c>
      <c r="I414" s="437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246"/>
      <c r="V414" s="246"/>
    </row>
    <row r="415" spans="1:22" ht="25.5" customHeight="1">
      <c r="A415" s="435" t="s">
        <v>532</v>
      </c>
      <c r="B415" s="435"/>
      <c r="C415" s="438"/>
      <c r="D415" s="439"/>
      <c r="E415" s="248" t="s">
        <v>534</v>
      </c>
      <c r="F415" s="440"/>
      <c r="G415" s="441"/>
      <c r="H415" s="441"/>
      <c r="I415" s="442"/>
      <c r="J415" s="248" t="s">
        <v>536</v>
      </c>
      <c r="K415" s="440"/>
      <c r="L415" s="441"/>
      <c r="M415" s="442"/>
      <c r="N415" s="247" t="s">
        <v>537</v>
      </c>
      <c r="O415" s="443"/>
      <c r="P415" s="444"/>
      <c r="Q415" s="444"/>
      <c r="R415" s="444"/>
      <c r="S415" s="444"/>
      <c r="T415" s="445"/>
      <c r="U415" s="260"/>
      <c r="V415" s="260"/>
    </row>
    <row r="416" spans="1:22" ht="38.25" customHeight="1">
      <c r="A416" s="238" t="s">
        <v>160</v>
      </c>
      <c r="B416" s="432" t="s">
        <v>538</v>
      </c>
      <c r="C416" s="432"/>
      <c r="D416" s="432"/>
      <c r="E416" s="239" t="s">
        <v>539</v>
      </c>
      <c r="F416" s="239" t="s">
        <v>540</v>
      </c>
      <c r="G416" s="238" t="s">
        <v>541</v>
      </c>
      <c r="H416" s="238" t="s">
        <v>542</v>
      </c>
      <c r="I416" s="238" t="s">
        <v>543</v>
      </c>
      <c r="J416" s="239" t="s">
        <v>544</v>
      </c>
      <c r="K416" s="239" t="s">
        <v>545</v>
      </c>
      <c r="L416" s="433" t="s">
        <v>546</v>
      </c>
      <c r="M416" s="434"/>
      <c r="N416" s="433" t="s">
        <v>547</v>
      </c>
      <c r="O416" s="434"/>
      <c r="P416" s="238" t="s">
        <v>548</v>
      </c>
      <c r="Q416" s="238" t="s">
        <v>515</v>
      </c>
      <c r="R416" s="238" t="s">
        <v>516</v>
      </c>
      <c r="S416" s="238" t="s">
        <v>517</v>
      </c>
      <c r="T416" s="238" t="s">
        <v>518</v>
      </c>
      <c r="U416" s="238" t="s">
        <v>549</v>
      </c>
      <c r="V416" s="238" t="s">
        <v>550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521</v>
      </c>
      <c r="M417" s="238" t="s">
        <v>522</v>
      </c>
      <c r="N417" s="238" t="s">
        <v>521</v>
      </c>
      <c r="O417" s="238" t="s">
        <v>522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523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524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525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526</v>
      </c>
      <c r="T432" s="259" t="s">
        <v>527</v>
      </c>
      <c r="U432" s="259"/>
      <c r="V432" s="259"/>
    </row>
    <row r="433" spans="1:22"/>
    <row r="434" spans="1:22"/>
    <row r="435" spans="1:22"/>
    <row r="436" spans="1:22" ht="12.75" customHeight="1">
      <c r="A436" s="435" t="s">
        <v>503</v>
      </c>
      <c r="B436" s="435"/>
      <c r="C436" s="438"/>
      <c r="D436" s="446"/>
      <c r="E436" s="446"/>
      <c r="F436" s="446"/>
      <c r="G436" s="446"/>
      <c r="H436" s="446"/>
      <c r="I436" s="446"/>
      <c r="J436" s="446"/>
      <c r="K436" s="446"/>
      <c r="L436" s="446"/>
      <c r="M436" s="446"/>
      <c r="N436" s="446"/>
      <c r="O436" s="446"/>
      <c r="P436" s="446"/>
      <c r="Q436" s="446"/>
      <c r="R436" s="446"/>
      <c r="S436" s="446"/>
      <c r="T436" s="439"/>
      <c r="U436" s="246"/>
      <c r="V436" s="246"/>
    </row>
    <row r="437" spans="1:22" ht="12.75" customHeight="1">
      <c r="A437" s="435" t="s">
        <v>529</v>
      </c>
      <c r="B437" s="435"/>
      <c r="C437" s="436"/>
      <c r="D437" s="436"/>
      <c r="E437" s="436"/>
      <c r="F437" s="436"/>
      <c r="G437" s="436"/>
      <c r="H437" s="437" t="s">
        <v>531</v>
      </c>
      <c r="I437" s="437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246"/>
      <c r="V437" s="246"/>
    </row>
    <row r="438" spans="1:22" ht="25.5" customHeight="1">
      <c r="A438" s="435" t="s">
        <v>532</v>
      </c>
      <c r="B438" s="435"/>
      <c r="C438" s="438"/>
      <c r="D438" s="439"/>
      <c r="E438" s="248" t="s">
        <v>534</v>
      </c>
      <c r="F438" s="440"/>
      <c r="G438" s="441"/>
      <c r="H438" s="441"/>
      <c r="I438" s="442"/>
      <c r="J438" s="248" t="s">
        <v>536</v>
      </c>
      <c r="K438" s="440"/>
      <c r="L438" s="441"/>
      <c r="M438" s="442"/>
      <c r="N438" s="247" t="s">
        <v>537</v>
      </c>
      <c r="O438" s="443"/>
      <c r="P438" s="444"/>
      <c r="Q438" s="444"/>
      <c r="R438" s="444"/>
      <c r="S438" s="444"/>
      <c r="T438" s="445"/>
      <c r="U438" s="260"/>
      <c r="V438" s="260"/>
    </row>
    <row r="439" spans="1:22" ht="38.25" customHeight="1">
      <c r="A439" s="238" t="s">
        <v>160</v>
      </c>
      <c r="B439" s="432" t="s">
        <v>538</v>
      </c>
      <c r="C439" s="432"/>
      <c r="D439" s="432"/>
      <c r="E439" s="239" t="s">
        <v>539</v>
      </c>
      <c r="F439" s="239" t="s">
        <v>540</v>
      </c>
      <c r="G439" s="238" t="s">
        <v>541</v>
      </c>
      <c r="H439" s="238" t="s">
        <v>542</v>
      </c>
      <c r="I439" s="238" t="s">
        <v>543</v>
      </c>
      <c r="J439" s="239" t="s">
        <v>544</v>
      </c>
      <c r="K439" s="239" t="s">
        <v>545</v>
      </c>
      <c r="L439" s="433" t="s">
        <v>546</v>
      </c>
      <c r="M439" s="434"/>
      <c r="N439" s="433" t="s">
        <v>547</v>
      </c>
      <c r="O439" s="434"/>
      <c r="P439" s="238" t="s">
        <v>548</v>
      </c>
      <c r="Q439" s="238" t="s">
        <v>515</v>
      </c>
      <c r="R439" s="238" t="s">
        <v>516</v>
      </c>
      <c r="S439" s="238" t="s">
        <v>517</v>
      </c>
      <c r="T439" s="238" t="s">
        <v>518</v>
      </c>
      <c r="U439" s="238" t="s">
        <v>549</v>
      </c>
      <c r="V439" s="238" t="s">
        <v>550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521</v>
      </c>
      <c r="M440" s="238" t="s">
        <v>522</v>
      </c>
      <c r="N440" s="238" t="s">
        <v>521</v>
      </c>
      <c r="O440" s="238" t="s">
        <v>522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523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524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525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526</v>
      </c>
      <c r="T455" s="259" t="s">
        <v>527</v>
      </c>
      <c r="U455" s="259"/>
      <c r="V455" s="259"/>
    </row>
    <row r="456" spans="1:22"/>
    <row r="457" spans="1:22"/>
    <row r="458" spans="1:22"/>
    <row r="459" spans="1:22" ht="12.75" customHeight="1">
      <c r="A459" s="435" t="s">
        <v>503</v>
      </c>
      <c r="B459" s="435"/>
      <c r="C459" s="438"/>
      <c r="D459" s="446"/>
      <c r="E459" s="446"/>
      <c r="F459" s="446"/>
      <c r="G459" s="446"/>
      <c r="H459" s="446"/>
      <c r="I459" s="446"/>
      <c r="J459" s="446"/>
      <c r="K459" s="446"/>
      <c r="L459" s="446"/>
      <c r="M459" s="446"/>
      <c r="N459" s="446"/>
      <c r="O459" s="446"/>
      <c r="P459" s="446"/>
      <c r="Q459" s="446"/>
      <c r="R459" s="446"/>
      <c r="S459" s="446"/>
      <c r="T459" s="439"/>
      <c r="U459" s="246"/>
      <c r="V459" s="246"/>
    </row>
    <row r="460" spans="1:22" ht="12.75" customHeight="1">
      <c r="A460" s="435" t="s">
        <v>529</v>
      </c>
      <c r="B460" s="435"/>
      <c r="C460" s="436"/>
      <c r="D460" s="436"/>
      <c r="E460" s="436"/>
      <c r="F460" s="436"/>
      <c r="G460" s="436"/>
      <c r="H460" s="437" t="s">
        <v>531</v>
      </c>
      <c r="I460" s="437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246"/>
      <c r="V460" s="246"/>
    </row>
    <row r="461" spans="1:22" ht="25.5" customHeight="1">
      <c r="A461" s="435" t="s">
        <v>532</v>
      </c>
      <c r="B461" s="435"/>
      <c r="C461" s="438"/>
      <c r="D461" s="439"/>
      <c r="E461" s="248" t="s">
        <v>534</v>
      </c>
      <c r="F461" s="440"/>
      <c r="G461" s="441"/>
      <c r="H461" s="441"/>
      <c r="I461" s="442"/>
      <c r="J461" s="248" t="s">
        <v>536</v>
      </c>
      <c r="K461" s="440"/>
      <c r="L461" s="441"/>
      <c r="M461" s="442"/>
      <c r="N461" s="247" t="s">
        <v>537</v>
      </c>
      <c r="O461" s="443"/>
      <c r="P461" s="444"/>
      <c r="Q461" s="444"/>
      <c r="R461" s="444"/>
      <c r="S461" s="444"/>
      <c r="T461" s="445"/>
      <c r="U461" s="260"/>
      <c r="V461" s="260"/>
    </row>
    <row r="462" spans="1:22" ht="38.25" customHeight="1">
      <c r="A462" s="238" t="s">
        <v>160</v>
      </c>
      <c r="B462" s="432" t="s">
        <v>538</v>
      </c>
      <c r="C462" s="432"/>
      <c r="D462" s="432"/>
      <c r="E462" s="239" t="s">
        <v>539</v>
      </c>
      <c r="F462" s="239" t="s">
        <v>540</v>
      </c>
      <c r="G462" s="238" t="s">
        <v>541</v>
      </c>
      <c r="H462" s="238" t="s">
        <v>542</v>
      </c>
      <c r="I462" s="238" t="s">
        <v>543</v>
      </c>
      <c r="J462" s="239" t="s">
        <v>544</v>
      </c>
      <c r="K462" s="239" t="s">
        <v>545</v>
      </c>
      <c r="L462" s="433" t="s">
        <v>546</v>
      </c>
      <c r="M462" s="434"/>
      <c r="N462" s="433" t="s">
        <v>547</v>
      </c>
      <c r="O462" s="434"/>
      <c r="P462" s="238" t="s">
        <v>548</v>
      </c>
      <c r="Q462" s="238" t="s">
        <v>515</v>
      </c>
      <c r="R462" s="238" t="s">
        <v>516</v>
      </c>
      <c r="S462" s="238" t="s">
        <v>517</v>
      </c>
      <c r="T462" s="238" t="s">
        <v>518</v>
      </c>
      <c r="U462" s="238" t="s">
        <v>549</v>
      </c>
      <c r="V462" s="238" t="s">
        <v>550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521</v>
      </c>
      <c r="M463" s="238" t="s">
        <v>522</v>
      </c>
      <c r="N463" s="238" t="s">
        <v>521</v>
      </c>
      <c r="O463" s="238" t="s">
        <v>522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523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524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525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526</v>
      </c>
      <c r="T478" s="259" t="s">
        <v>527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48" t="s">
        <v>4</v>
      </c>
      <c r="B1" s="448" t="s">
        <v>551</v>
      </c>
      <c r="C1" s="448" t="s">
        <v>552</v>
      </c>
      <c r="D1" s="457" t="s">
        <v>553</v>
      </c>
      <c r="E1" s="457" t="s">
        <v>554</v>
      </c>
      <c r="F1" s="459" t="s">
        <v>555</v>
      </c>
      <c r="G1" s="448" t="s">
        <v>28</v>
      </c>
      <c r="H1" s="448" t="s">
        <v>556</v>
      </c>
      <c r="I1" s="448" t="s">
        <v>557</v>
      </c>
      <c r="J1" s="448" t="s">
        <v>558</v>
      </c>
      <c r="K1" s="448" t="s">
        <v>559</v>
      </c>
      <c r="L1" s="448" t="s">
        <v>560</v>
      </c>
      <c r="M1" s="448" t="s">
        <v>561</v>
      </c>
      <c r="N1" s="448" t="s">
        <v>562</v>
      </c>
      <c r="O1" s="448" t="s">
        <v>563</v>
      </c>
      <c r="P1" s="448" t="s">
        <v>564</v>
      </c>
      <c r="Q1" s="448" t="s">
        <v>565</v>
      </c>
      <c r="R1" s="450" t="s">
        <v>566</v>
      </c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2"/>
    </row>
    <row r="2" spans="1:29" ht="42" customHeight="1">
      <c r="A2" s="449"/>
      <c r="B2" s="449"/>
      <c r="C2" s="449"/>
      <c r="D2" s="458"/>
      <c r="E2" s="458"/>
      <c r="F2" s="460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3" t="s">
        <v>567</v>
      </c>
      <c r="M103" s="454"/>
      <c r="N103" s="236">
        <f>SUM(P3:P102)</f>
        <v>0</v>
      </c>
      <c r="O103" s="237"/>
      <c r="P103" s="237"/>
    </row>
    <row r="104" spans="1:29">
      <c r="L104" s="455" t="s">
        <v>568</v>
      </c>
      <c r="M104" s="456"/>
      <c r="N104" s="236">
        <f>SUM(N3:N102)</f>
        <v>0</v>
      </c>
      <c r="O104" s="237"/>
      <c r="P104" s="237"/>
    </row>
    <row r="105" spans="1:29">
      <c r="L105" s="455" t="s">
        <v>569</v>
      </c>
      <c r="M105" s="456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68</v>
      </c>
      <c r="C2" s="485">
        <f>BasicInput!$D$27</f>
        <v>3000000</v>
      </c>
      <c r="D2" s="485"/>
      <c r="E2" s="485"/>
      <c r="F2" s="485"/>
      <c r="G2" s="485"/>
    </row>
    <row r="3" spans="2:7">
      <c r="B3" s="202" t="s">
        <v>69</v>
      </c>
      <c r="C3" s="495">
        <f>BasicInput!$F$27</f>
        <v>0</v>
      </c>
      <c r="D3" s="496"/>
      <c r="E3" s="496"/>
      <c r="F3" s="496"/>
      <c r="G3" s="496"/>
    </row>
    <row r="4" spans="2:7">
      <c r="B4" s="202" t="s">
        <v>70</v>
      </c>
      <c r="C4" s="497">
        <f>BasicInput!$E$27</f>
        <v>240</v>
      </c>
      <c r="D4" s="496"/>
      <c r="E4" s="496"/>
      <c r="F4" s="496"/>
      <c r="G4" s="496"/>
    </row>
    <row r="5" spans="2:7" ht="12" customHeight="1"/>
    <row r="6" spans="2:7">
      <c r="B6" s="202" t="s">
        <v>72</v>
      </c>
      <c r="C6" s="498" t="s">
        <v>31</v>
      </c>
      <c r="D6" s="499"/>
      <c r="E6" s="499"/>
      <c r="F6" s="499"/>
      <c r="G6" s="500"/>
    </row>
    <row r="7" spans="2:7">
      <c r="B7" s="203" t="s">
        <v>73</v>
      </c>
      <c r="C7" s="492" t="s">
        <v>74</v>
      </c>
      <c r="D7" s="492"/>
      <c r="E7" s="492"/>
      <c r="F7" s="493"/>
      <c r="G7" s="494"/>
    </row>
    <row r="8" spans="2:7">
      <c r="B8" s="204" t="s">
        <v>75</v>
      </c>
      <c r="C8" s="485">
        <f>BasicInput!$I$39</f>
        <v>0</v>
      </c>
      <c r="D8" s="485"/>
      <c r="E8" s="485"/>
      <c r="F8" s="485"/>
      <c r="G8" s="485"/>
    </row>
    <row r="9" spans="2:7">
      <c r="B9" s="204" t="s">
        <v>76</v>
      </c>
      <c r="C9" s="485">
        <f>BasicInput!$J$39</f>
        <v>0</v>
      </c>
      <c r="D9" s="485"/>
      <c r="E9" s="485"/>
      <c r="F9" s="485"/>
      <c r="G9" s="485"/>
    </row>
    <row r="10" spans="2:7">
      <c r="B10" s="204" t="s">
        <v>570</v>
      </c>
      <c r="C10" s="486"/>
      <c r="D10" s="487"/>
      <c r="E10" s="487"/>
      <c r="F10" s="487"/>
      <c r="G10" s="488"/>
    </row>
    <row r="11" spans="2:7">
      <c r="B11" s="204" t="s">
        <v>77</v>
      </c>
      <c r="C11" s="489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90"/>
      <c r="E11" s="490"/>
      <c r="F11" s="490"/>
      <c r="G11" s="491"/>
    </row>
    <row r="12" spans="2:7" ht="12" customHeight="1"/>
    <row r="13" spans="2:7">
      <c r="B13" s="203" t="s">
        <v>78</v>
      </c>
      <c r="C13" s="492" t="s">
        <v>74</v>
      </c>
      <c r="D13" s="492"/>
      <c r="E13" s="492"/>
      <c r="F13" s="493"/>
      <c r="G13" s="494"/>
    </row>
    <row r="14" spans="2:7">
      <c r="B14" s="204" t="s">
        <v>571</v>
      </c>
      <c r="C14" s="485">
        <f>'ExistingLoans&amp;Facilities&amp;RTR'!$N$103</f>
        <v>0</v>
      </c>
      <c r="D14" s="485"/>
      <c r="E14" s="485"/>
      <c r="F14" s="485"/>
      <c r="G14" s="485"/>
    </row>
    <row r="15" spans="2:7">
      <c r="B15" s="204" t="s">
        <v>80</v>
      </c>
      <c r="C15" s="485">
        <f>'ExistingLoans&amp;Facilities&amp;RTR'!$N$105</f>
        <v>0</v>
      </c>
      <c r="D15" s="485"/>
      <c r="E15" s="485"/>
      <c r="F15" s="485"/>
      <c r="G15" s="485"/>
    </row>
    <row r="16" spans="2:7" ht="12" customHeight="1"/>
    <row r="17" spans="2:11">
      <c r="B17" s="475" t="s">
        <v>81</v>
      </c>
      <c r="C17" s="475"/>
      <c r="D17" s="475"/>
      <c r="E17" s="475"/>
      <c r="F17" s="475"/>
      <c r="G17" s="475"/>
    </row>
    <row r="18" spans="2:11">
      <c r="B18" s="205" t="s">
        <v>82</v>
      </c>
      <c r="C18" s="206" t="s">
        <v>83</v>
      </c>
      <c r="D18" s="206" t="s">
        <v>86</v>
      </c>
      <c r="E18" s="206" t="s">
        <v>84</v>
      </c>
      <c r="F18" s="206" t="s">
        <v>85</v>
      </c>
      <c r="G18" s="206" t="s">
        <v>87</v>
      </c>
    </row>
    <row r="19" spans="2:11">
      <c r="B19" s="477" t="s">
        <v>572</v>
      </c>
      <c r="C19" s="477"/>
      <c r="D19" s="477"/>
      <c r="E19" s="477"/>
      <c r="F19" s="477"/>
      <c r="G19" s="477"/>
    </row>
    <row r="20" spans="2:11">
      <c r="B20" s="204" t="s">
        <v>96</v>
      </c>
      <c r="C20" s="207">
        <v>1</v>
      </c>
      <c r="D20" s="208" t="s">
        <v>99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7" t="s">
        <v>573</v>
      </c>
      <c r="C21" s="477"/>
      <c r="D21" s="477"/>
      <c r="E21" s="477"/>
      <c r="F21" s="477"/>
      <c r="G21" s="477"/>
    </row>
    <row r="22" spans="2:11">
      <c r="B22" s="204" t="s">
        <v>574</v>
      </c>
      <c r="C22" s="207">
        <v>1</v>
      </c>
      <c r="D22" s="208" t="s">
        <v>99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64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575</v>
      </c>
      <c r="C23" s="207">
        <v>1</v>
      </c>
      <c r="D23" s="208" t="s">
        <v>99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65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576</v>
      </c>
      <c r="C24" s="207">
        <v>1</v>
      </c>
      <c r="D24" s="208" t="s">
        <v>99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65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577</v>
      </c>
      <c r="C25" s="207">
        <v>1</v>
      </c>
      <c r="D25" s="208" t="s">
        <v>99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66"/>
      <c r="J25" s="201">
        <f>IF(D25="Monthly",C25*E25*12,C25*E25)</f>
        <v>0</v>
      </c>
      <c r="K25" s="201">
        <f>IF(D25="Monthly",C25*F25*12,C25*F25)</f>
        <v>0</v>
      </c>
    </row>
    <row r="26" spans="2:11">
      <c r="B26" s="477" t="s">
        <v>106</v>
      </c>
      <c r="C26" s="477"/>
      <c r="D26" s="477"/>
      <c r="E26" s="477"/>
      <c r="F26" s="477"/>
      <c r="G26" s="477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107</v>
      </c>
      <c r="C27" s="207">
        <v>1</v>
      </c>
      <c r="D27" s="208" t="s">
        <v>99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108</v>
      </c>
      <c r="C28" s="207">
        <v>1</v>
      </c>
      <c r="D28" s="208" t="s">
        <v>99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109</v>
      </c>
      <c r="C29" s="207">
        <v>0.5</v>
      </c>
      <c r="D29" s="208" t="s">
        <v>99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110</v>
      </c>
      <c r="C30" s="207">
        <v>1</v>
      </c>
      <c r="D30" s="208" t="s">
        <v>99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106</v>
      </c>
      <c r="C31" s="207">
        <v>1</v>
      </c>
      <c r="D31" s="208" t="s">
        <v>99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8" t="s">
        <v>578</v>
      </c>
      <c r="C32" s="478"/>
      <c r="D32" s="478"/>
      <c r="E32" s="478"/>
      <c r="F32" s="478"/>
      <c r="G32" s="478"/>
    </row>
    <row r="33" spans="2:7" ht="12" customHeight="1">
      <c r="B33" s="479" t="s">
        <v>112</v>
      </c>
      <c r="C33" s="480"/>
      <c r="D33" s="480"/>
      <c r="E33" s="480"/>
      <c r="F33" s="480"/>
      <c r="G33" s="481"/>
    </row>
    <row r="34" spans="2:7">
      <c r="B34" s="204" t="s">
        <v>113</v>
      </c>
      <c r="C34" s="210">
        <v>1</v>
      </c>
      <c r="D34" s="208" t="s">
        <v>99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114</v>
      </c>
      <c r="C35" s="210">
        <v>1</v>
      </c>
      <c r="D35" s="208" t="s">
        <v>99</v>
      </c>
      <c r="E35" s="211"/>
      <c r="F35" s="211"/>
      <c r="G35" s="209">
        <f>IF(D35="Monthly",AVERAGE(C35*F35*12,C35*E35*12),AVERAGE(C35*F35,C35*E35))</f>
        <v>0</v>
      </c>
    </row>
    <row r="36" spans="2:7">
      <c r="B36" s="479" t="s">
        <v>579</v>
      </c>
      <c r="C36" s="480"/>
      <c r="D36" s="480"/>
      <c r="E36" s="480"/>
      <c r="F36" s="481"/>
      <c r="G36" s="212">
        <f>IF(SUM(G27:G31)&gt;SUM(G22,G20),SUM(G20,G22,G22,G20,G34:G35),SUM(G20,G22,G27:G31,G34:G35))</f>
        <v>0</v>
      </c>
    </row>
    <row r="37" spans="2:7">
      <c r="B37" s="482" t="s">
        <v>580</v>
      </c>
      <c r="C37" s="483"/>
      <c r="D37" s="483"/>
      <c r="E37" s="483"/>
      <c r="F37" s="483"/>
      <c r="G37" s="484"/>
    </row>
    <row r="38" spans="2:7" ht="12" customHeight="1"/>
    <row r="39" spans="2:7">
      <c r="B39" s="475" t="s">
        <v>117</v>
      </c>
      <c r="C39" s="475"/>
      <c r="D39" s="475"/>
      <c r="E39" s="475"/>
      <c r="F39" s="475"/>
      <c r="G39" s="475"/>
    </row>
    <row r="40" spans="2:7" ht="2.25" customHeight="1">
      <c r="B40" s="470"/>
      <c r="C40" s="471"/>
      <c r="D40" s="471"/>
      <c r="E40" s="471"/>
      <c r="F40" s="471"/>
      <c r="G40" s="472"/>
    </row>
    <row r="41" spans="2:7">
      <c r="B41" s="204" t="s">
        <v>118</v>
      </c>
      <c r="C41" s="476">
        <f>G36/12</f>
        <v>0</v>
      </c>
      <c r="D41" s="474"/>
      <c r="E41" s="474"/>
      <c r="F41" s="474"/>
      <c r="G41" s="474"/>
    </row>
    <row r="42" spans="2:7">
      <c r="B42" s="204" t="s">
        <v>119</v>
      </c>
      <c r="C42" s="467">
        <v>0.8</v>
      </c>
      <c r="D42" s="467"/>
      <c r="E42" s="467"/>
      <c r="F42" s="467"/>
      <c r="G42" s="467"/>
    </row>
    <row r="43" spans="2:7">
      <c r="B43" s="204" t="s">
        <v>581</v>
      </c>
      <c r="C43" s="474">
        <f>C14</f>
        <v>0</v>
      </c>
      <c r="D43" s="474"/>
      <c r="E43" s="474"/>
      <c r="F43" s="474"/>
      <c r="G43" s="474"/>
    </row>
    <row r="44" spans="2:7">
      <c r="B44" s="204" t="s">
        <v>121</v>
      </c>
      <c r="C44" s="474">
        <f>(C41*C42)-C43</f>
        <v>0</v>
      </c>
      <c r="D44" s="474"/>
      <c r="E44" s="474"/>
      <c r="F44" s="474"/>
      <c r="G44" s="474"/>
    </row>
    <row r="45" spans="2:7">
      <c r="B45" s="213" t="s">
        <v>582</v>
      </c>
      <c r="C45" s="469" t="str">
        <f>IF(C44&lt;=0,"Case Not Eligible",(C44/(PMT(C3/12,C4,-100000)))*100000)</f>
        <v>Case Not Eligible</v>
      </c>
      <c r="D45" s="469"/>
      <c r="E45" s="469"/>
      <c r="F45" s="469"/>
      <c r="G45" s="469"/>
    </row>
    <row r="46" spans="2:7" ht="2.25" customHeight="1">
      <c r="B46" s="470"/>
      <c r="C46" s="471"/>
      <c r="D46" s="471"/>
      <c r="E46" s="471"/>
      <c r="F46" s="471"/>
      <c r="G46" s="472"/>
    </row>
    <row r="47" spans="2:7">
      <c r="B47" s="204" t="s">
        <v>123</v>
      </c>
      <c r="C47" s="473">
        <f>+C11</f>
        <v>0</v>
      </c>
      <c r="D47" s="473"/>
      <c r="E47" s="473"/>
      <c r="F47" s="473"/>
      <c r="G47" s="473"/>
    </row>
    <row r="48" spans="2:7">
      <c r="B48" s="204" t="s">
        <v>124</v>
      </c>
      <c r="C48" s="467">
        <f>IF(C6="LAP-Resi",70%,IF(C6="LAP-Resi (Vacant)",65%,IF(C6="LAP-Comm",60%,IF(C6="LAP-Comm (Vacant)",55%,IF(C6="Commerical Purchase",65%,IF(C6="Home Loan",80%,IF(C6="Industrial Property",50%,0)))))))</f>
        <v>0.8</v>
      </c>
      <c r="D48" s="467"/>
      <c r="E48" s="467"/>
      <c r="F48" s="467"/>
      <c r="G48" s="467"/>
    </row>
    <row r="49" spans="2:7">
      <c r="B49" s="213" t="s">
        <v>125</v>
      </c>
      <c r="C49" s="469" t="s">
        <v>583</v>
      </c>
      <c r="D49" s="469"/>
      <c r="E49" s="469"/>
      <c r="F49" s="469"/>
      <c r="G49" s="469"/>
    </row>
    <row r="50" spans="2:7" ht="2.25" customHeight="1">
      <c r="B50" s="470"/>
      <c r="C50" s="471"/>
      <c r="D50" s="471"/>
      <c r="E50" s="471"/>
      <c r="F50" s="471"/>
      <c r="G50" s="472"/>
    </row>
    <row r="51" spans="2:7">
      <c r="B51" s="213" t="s">
        <v>126</v>
      </c>
      <c r="C51" s="469" t="str">
        <f>IF(C45="Case Not Eligible","Case Not Eligible",IF(C49=0,MIN(C45,C2),MIN(C45,C49,C2)))</f>
        <v>Case Not Eligible</v>
      </c>
      <c r="D51" s="469"/>
      <c r="E51" s="469"/>
      <c r="F51" s="469"/>
      <c r="G51" s="469"/>
    </row>
    <row r="52" spans="2:7">
      <c r="B52" s="204" t="s">
        <v>127</v>
      </c>
      <c r="C52" s="473" t="str">
        <f>IF(C51="Case Not Eligible","Case Not Eligible",PMT(C3/12,C4,-C51))</f>
        <v>Case Not Eligible</v>
      </c>
      <c r="D52" s="473"/>
      <c r="E52" s="473"/>
      <c r="F52" s="473"/>
      <c r="G52" s="473"/>
    </row>
    <row r="53" spans="2:7" ht="2.25" customHeight="1">
      <c r="B53" s="470"/>
      <c r="C53" s="471"/>
      <c r="D53" s="471"/>
      <c r="E53" s="471"/>
      <c r="F53" s="471"/>
      <c r="G53" s="472"/>
    </row>
    <row r="54" spans="2:7">
      <c r="B54" s="204" t="s">
        <v>128</v>
      </c>
      <c r="C54" s="467" t="e">
        <f>SUM(PMT(C3/12,C4,-C2),C43)/C41</f>
        <v>#DIV/0!</v>
      </c>
      <c r="D54" s="467"/>
      <c r="E54" s="467"/>
      <c r="F54" s="467"/>
      <c r="G54" s="467"/>
    </row>
    <row r="55" spans="2:7">
      <c r="B55" s="204" t="s">
        <v>129</v>
      </c>
      <c r="C55" s="467" t="e">
        <f>C2/C47</f>
        <v>#DIV/0!</v>
      </c>
      <c r="D55" s="467"/>
      <c r="E55" s="467"/>
      <c r="F55" s="467"/>
      <c r="G55" s="467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584</v>
      </c>
      <c r="C57" s="468" t="e">
        <f>IF(((SUM(F22:F25)-SUM(E22:E25))/SUM(E22:E25))&gt;=-20%,"No Deviation","Deviation Approval required")</f>
        <v>#DIV/0!</v>
      </c>
      <c r="D57" s="468"/>
      <c r="E57" s="468"/>
      <c r="F57" s="468"/>
      <c r="G57" s="468"/>
    </row>
    <row r="58" spans="2:7" ht="12" customHeight="1">
      <c r="B58" s="215" t="s">
        <v>585</v>
      </c>
      <c r="C58" s="46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68"/>
      <c r="E58" s="468"/>
      <c r="F58" s="468"/>
      <c r="G58" s="468"/>
    </row>
    <row r="59" spans="2:7" ht="12.75" customHeight="1">
      <c r="B59" s="215" t="s">
        <v>586</v>
      </c>
      <c r="C59" s="46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68"/>
      <c r="E59" s="468"/>
      <c r="F59" s="468"/>
      <c r="G59" s="468"/>
    </row>
    <row r="60" spans="2:7" ht="12" customHeight="1">
      <c r="B60" s="215" t="s">
        <v>587</v>
      </c>
      <c r="C60" s="461" t="str">
        <f>IF(C2&gt;100000000,"Offering Under this Program for the Applied Loan Amount is Not Permitted"," No Deviation ")</f>
        <v xml:space="preserve"> No Deviation </v>
      </c>
      <c r="D60" s="462"/>
      <c r="E60" s="462"/>
      <c r="F60" s="462"/>
      <c r="G60" s="463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588</v>
      </c>
      <c r="B1" s="518" t="s">
        <v>2043</v>
      </c>
      <c r="C1" s="518"/>
      <c r="D1" s="518"/>
      <c r="E1" s="518"/>
      <c r="H1" s="511" t="s">
        <v>589</v>
      </c>
      <c r="I1" s="511"/>
      <c r="J1" s="511"/>
      <c r="K1" s="511"/>
      <c r="L1" s="511"/>
    </row>
    <row r="2" spans="1:13" s="1" customFormat="1">
      <c r="A2" s="45" t="s">
        <v>590</v>
      </c>
      <c r="B2" s="519">
        <v>43102</v>
      </c>
      <c r="C2" s="519"/>
      <c r="D2" s="519"/>
      <c r="E2" s="519"/>
      <c r="H2" s="170" t="s">
        <v>591</v>
      </c>
      <c r="I2" s="350" t="s">
        <v>592</v>
      </c>
      <c r="J2" s="350"/>
      <c r="K2" s="350" t="s">
        <v>593</v>
      </c>
      <c r="L2" s="350"/>
    </row>
    <row r="3" spans="1:13" s="1" customFormat="1">
      <c r="A3" s="45" t="s">
        <v>594</v>
      </c>
      <c r="B3" s="518" t="s">
        <v>16</v>
      </c>
      <c r="C3" s="518"/>
      <c r="D3" s="518"/>
      <c r="E3" s="518"/>
      <c r="H3" s="3" t="s">
        <v>595</v>
      </c>
      <c r="I3" s="517"/>
      <c r="J3" s="517"/>
      <c r="K3" s="515"/>
      <c r="L3" s="515"/>
    </row>
    <row r="4" spans="1:13" s="1" customFormat="1">
      <c r="A4" s="45" t="s">
        <v>596</v>
      </c>
      <c r="B4" s="518" t="s">
        <v>2044</v>
      </c>
      <c r="C4" s="518"/>
      <c r="D4" s="518"/>
      <c r="E4" s="518"/>
      <c r="H4" s="3" t="s">
        <v>597</v>
      </c>
      <c r="I4" s="517"/>
      <c r="J4" s="517"/>
      <c r="K4" s="515"/>
      <c r="L4" s="515"/>
    </row>
    <row r="5" spans="1:13" s="1" customFormat="1">
      <c r="A5" s="45" t="s">
        <v>598</v>
      </c>
      <c r="B5" s="518" t="s">
        <v>828</v>
      </c>
      <c r="C5" s="518"/>
      <c r="D5" s="518"/>
      <c r="E5" s="518"/>
      <c r="H5" s="3" t="s">
        <v>599</v>
      </c>
      <c r="I5" s="517"/>
      <c r="J5" s="517"/>
      <c r="K5" s="515"/>
      <c r="L5" s="515"/>
    </row>
    <row r="6" spans="1:13" s="1" customFormat="1">
      <c r="A6" s="45" t="s">
        <v>600</v>
      </c>
      <c r="B6" s="518"/>
      <c r="C6" s="518"/>
      <c r="D6" s="518"/>
      <c r="E6" s="518"/>
      <c r="H6" s="3" t="s">
        <v>601</v>
      </c>
      <c r="I6" s="517"/>
      <c r="J6" s="517"/>
      <c r="K6" s="515"/>
      <c r="L6" s="515"/>
    </row>
    <row r="7" spans="1:13" s="1" customFormat="1" ht="25.5">
      <c r="A7" s="45" t="s">
        <v>602</v>
      </c>
      <c r="B7" s="516"/>
      <c r="C7" s="516"/>
      <c r="D7" s="516"/>
      <c r="E7" s="516"/>
      <c r="H7" s="3" t="s">
        <v>603</v>
      </c>
      <c r="I7" s="517"/>
      <c r="J7" s="517"/>
      <c r="K7" s="515"/>
      <c r="L7" s="515"/>
      <c r="M7" s="1" t="s">
        <v>604</v>
      </c>
    </row>
    <row r="8" spans="1:13" s="1" customFormat="1">
      <c r="A8" s="45" t="s">
        <v>605</v>
      </c>
      <c r="B8" s="516" t="s">
        <v>2045</v>
      </c>
      <c r="C8" s="516"/>
      <c r="D8" s="516"/>
      <c r="E8" s="516"/>
      <c r="H8" s="3" t="s">
        <v>606</v>
      </c>
      <c r="I8" s="517"/>
      <c r="J8" s="517"/>
      <c r="K8" s="515"/>
      <c r="L8" s="515"/>
    </row>
    <row r="9" spans="1:13" s="1" customFormat="1">
      <c r="A9" s="45" t="s">
        <v>607</v>
      </c>
      <c r="B9" s="514" t="s">
        <v>2046</v>
      </c>
      <c r="C9" s="514"/>
      <c r="D9" s="514"/>
      <c r="E9" s="514"/>
      <c r="H9" s="3" t="s">
        <v>608</v>
      </c>
      <c r="I9" s="517"/>
      <c r="J9" s="517"/>
      <c r="K9" s="515"/>
      <c r="L9" s="515"/>
    </row>
    <row r="10" spans="1:13" s="1" customFormat="1">
      <c r="A10" s="45" t="s">
        <v>609</v>
      </c>
      <c r="B10" s="514" t="s">
        <v>2047</v>
      </c>
      <c r="C10" s="514"/>
      <c r="D10" s="514"/>
      <c r="E10" s="514"/>
      <c r="H10" s="3" t="s">
        <v>610</v>
      </c>
      <c r="I10" s="517"/>
      <c r="J10" s="517"/>
      <c r="K10" s="515"/>
      <c r="L10" s="515"/>
    </row>
    <row r="11" spans="1:13" s="1" customFormat="1">
      <c r="A11" s="45" t="s">
        <v>611</v>
      </c>
      <c r="B11" s="514" t="s">
        <v>2048</v>
      </c>
      <c r="C11" s="514"/>
      <c r="D11" s="514"/>
      <c r="E11" s="514"/>
      <c r="H11" s="170" t="s">
        <v>612</v>
      </c>
      <c r="I11" s="350" t="s">
        <v>613</v>
      </c>
      <c r="J11" s="350"/>
      <c r="K11" s="350" t="s">
        <v>74</v>
      </c>
      <c r="L11" s="350"/>
    </row>
    <row r="12" spans="1:13" s="1" customFormat="1">
      <c r="H12" s="3" t="s">
        <v>614</v>
      </c>
      <c r="I12" s="420"/>
      <c r="J12" s="420"/>
      <c r="K12" s="515"/>
      <c r="L12" s="515"/>
    </row>
    <row r="13" spans="1:13" s="1" customFormat="1" ht="38.25">
      <c r="A13" s="2" t="s">
        <v>615</v>
      </c>
      <c r="B13" s="2" t="s">
        <v>616</v>
      </c>
      <c r="C13" s="2" t="s">
        <v>617</v>
      </c>
      <c r="D13" s="2" t="s">
        <v>618</v>
      </c>
      <c r="E13" s="2" t="s">
        <v>90</v>
      </c>
      <c r="H13" s="3"/>
      <c r="I13" s="420"/>
      <c r="J13" s="420"/>
      <c r="K13" s="515"/>
      <c r="L13" s="515"/>
    </row>
    <row r="14" spans="1:13" s="1" customFormat="1">
      <c r="A14" s="3" t="s">
        <v>619</v>
      </c>
      <c r="B14" s="194"/>
      <c r="C14" s="194"/>
      <c r="D14" s="195"/>
      <c r="E14" s="195">
        <v>100000</v>
      </c>
      <c r="H14" s="3" t="s">
        <v>620</v>
      </c>
      <c r="I14" s="420"/>
      <c r="J14" s="420"/>
      <c r="K14" s="515"/>
      <c r="L14" s="515"/>
    </row>
    <row r="15" spans="1:13" s="1" customFormat="1" ht="25.5">
      <c r="A15" s="3"/>
      <c r="B15" s="194"/>
      <c r="C15" s="194"/>
      <c r="D15" s="195"/>
      <c r="E15" s="195"/>
      <c r="H15" s="3" t="s">
        <v>621</v>
      </c>
      <c r="I15" s="420"/>
      <c r="J15" s="420"/>
      <c r="K15" s="420"/>
      <c r="L15" s="420"/>
    </row>
    <row r="16" spans="1:13" s="1" customFormat="1">
      <c r="A16" s="170" t="s">
        <v>622</v>
      </c>
      <c r="B16" s="146"/>
      <c r="C16" s="146"/>
      <c r="D16" s="196"/>
      <c r="E16" s="196">
        <f>SUM(E14:E15)</f>
        <v>100000</v>
      </c>
      <c r="H16" s="3" t="s">
        <v>623</v>
      </c>
      <c r="I16" s="420"/>
      <c r="J16" s="420"/>
      <c r="K16" s="420"/>
      <c r="L16" s="420"/>
    </row>
    <row r="17" spans="1:12" s="1" customFormat="1">
      <c r="A17" s="170" t="s">
        <v>624</v>
      </c>
      <c r="B17" s="194"/>
      <c r="C17" s="194"/>
      <c r="D17" s="195"/>
      <c r="E17" s="195"/>
      <c r="H17" s="3" t="s">
        <v>625</v>
      </c>
      <c r="I17" s="420"/>
      <c r="J17" s="420"/>
      <c r="K17" s="420"/>
      <c r="L17" s="420"/>
    </row>
    <row r="18" spans="1:12" s="1" customFormat="1" ht="38.25">
      <c r="A18" s="3" t="s">
        <v>626</v>
      </c>
      <c r="B18" s="194"/>
      <c r="C18" s="194"/>
      <c r="D18" s="195"/>
      <c r="E18" s="195">
        <v>20000</v>
      </c>
      <c r="H18" s="3" t="s">
        <v>627</v>
      </c>
      <c r="I18" s="420" t="s">
        <v>628</v>
      </c>
      <c r="J18" s="420"/>
      <c r="K18" s="420"/>
      <c r="L18" s="420"/>
    </row>
    <row r="19" spans="1:12" s="1" customFormat="1">
      <c r="A19" s="3" t="s">
        <v>629</v>
      </c>
      <c r="B19" s="194"/>
      <c r="C19" s="194"/>
      <c r="D19" s="195"/>
      <c r="E19" s="195"/>
      <c r="H19" s="3" t="s">
        <v>630</v>
      </c>
      <c r="I19" s="351" t="s">
        <v>631</v>
      </c>
      <c r="J19" s="351"/>
      <c r="K19" s="351" t="s">
        <v>632</v>
      </c>
      <c r="L19" s="351"/>
    </row>
    <row r="20" spans="1:12" s="1" customFormat="1">
      <c r="A20" s="3" t="s">
        <v>633</v>
      </c>
      <c r="B20" s="194"/>
      <c r="C20" s="194"/>
      <c r="D20" s="195"/>
      <c r="E20" s="195"/>
      <c r="H20" s="3" t="s">
        <v>634</v>
      </c>
      <c r="I20" s="194"/>
      <c r="J20" s="194"/>
      <c r="K20" s="194"/>
      <c r="L20" s="194"/>
    </row>
    <row r="21" spans="1:12" s="1" customFormat="1">
      <c r="A21" s="3" t="s">
        <v>635</v>
      </c>
      <c r="B21" s="194"/>
      <c r="C21" s="194"/>
      <c r="D21" s="195"/>
      <c r="E21" s="195"/>
      <c r="H21" s="3" t="s">
        <v>636</v>
      </c>
      <c r="I21" s="194"/>
      <c r="J21" s="194"/>
      <c r="K21" s="194"/>
      <c r="L21" s="194"/>
    </row>
    <row r="22" spans="1:12" s="1" customFormat="1">
      <c r="A22" s="3" t="s">
        <v>637</v>
      </c>
      <c r="B22" s="194"/>
      <c r="C22" s="194"/>
      <c r="D22" s="195"/>
      <c r="E22" s="195"/>
    </row>
    <row r="23" spans="1:12" s="1" customFormat="1">
      <c r="A23" s="3" t="s">
        <v>638</v>
      </c>
      <c r="B23" s="194"/>
      <c r="C23" s="194"/>
      <c r="D23" s="195"/>
      <c r="E23" s="195"/>
    </row>
    <row r="24" spans="1:12" s="1" customFormat="1">
      <c r="A24" s="3" t="s">
        <v>639</v>
      </c>
      <c r="B24" s="194"/>
      <c r="C24" s="194"/>
      <c r="D24" s="195"/>
      <c r="E24" s="195"/>
    </row>
    <row r="25" spans="1:12" s="1" customFormat="1">
      <c r="A25" s="3" t="s">
        <v>640</v>
      </c>
      <c r="B25" s="194"/>
      <c r="C25" s="194"/>
      <c r="D25" s="195"/>
      <c r="E25" s="195"/>
    </row>
    <row r="26" spans="1:12" s="1" customFormat="1">
      <c r="A26" s="3" t="s">
        <v>641</v>
      </c>
      <c r="B26" s="194"/>
      <c r="C26" s="194"/>
      <c r="D26" s="195"/>
      <c r="E26" s="195"/>
    </row>
    <row r="27" spans="1:12" s="1" customFormat="1">
      <c r="A27" s="3" t="s">
        <v>642</v>
      </c>
      <c r="B27" s="194"/>
      <c r="C27" s="194"/>
      <c r="D27" s="195"/>
      <c r="E27" s="195"/>
    </row>
    <row r="28" spans="1:12" s="1" customFormat="1">
      <c r="A28" s="3" t="s">
        <v>643</v>
      </c>
      <c r="B28" s="194"/>
      <c r="C28" s="194"/>
      <c r="D28" s="195"/>
      <c r="E28" s="195"/>
    </row>
    <row r="29" spans="1:12" s="1" customFormat="1">
      <c r="A29" s="3" t="s">
        <v>644</v>
      </c>
      <c r="B29" s="194"/>
      <c r="C29" s="194"/>
      <c r="D29" s="195"/>
      <c r="E29" s="195">
        <v>20000</v>
      </c>
    </row>
    <row r="30" spans="1:12" s="1" customFormat="1">
      <c r="A30" s="170" t="s">
        <v>645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646</v>
      </c>
      <c r="B31" s="197"/>
      <c r="C31" s="197"/>
      <c r="D31" s="198"/>
      <c r="E31" s="198">
        <f>E16-E30</f>
        <v>60000</v>
      </c>
    </row>
    <row r="32" spans="1:12" s="1" customFormat="1">
      <c r="A32" s="350" t="s">
        <v>647</v>
      </c>
      <c r="B32" s="350"/>
      <c r="C32" s="350"/>
      <c r="D32" s="350"/>
      <c r="E32" s="350"/>
    </row>
    <row r="33" spans="1:5" s="1" customFormat="1">
      <c r="A33" s="511" t="s">
        <v>648</v>
      </c>
      <c r="B33" s="511"/>
      <c r="C33" s="511" t="s">
        <v>649</v>
      </c>
      <c r="D33" s="511"/>
      <c r="E33" s="170" t="s">
        <v>593</v>
      </c>
    </row>
    <row r="34" spans="1:5" s="1" customFormat="1">
      <c r="A34" s="351" t="s">
        <v>650</v>
      </c>
      <c r="B34" s="351"/>
      <c r="C34" s="420"/>
      <c r="D34" s="420"/>
      <c r="E34" s="195"/>
    </row>
    <row r="35" spans="1:5" s="1" customFormat="1">
      <c r="A35" s="351" t="s">
        <v>651</v>
      </c>
      <c r="B35" s="351"/>
      <c r="C35" s="420"/>
      <c r="D35" s="420"/>
      <c r="E35" s="195"/>
    </row>
    <row r="36" spans="1:5" s="1" customFormat="1">
      <c r="A36" s="351" t="s">
        <v>652</v>
      </c>
      <c r="B36" s="351"/>
      <c r="C36" s="420"/>
      <c r="D36" s="420"/>
      <c r="E36" s="195"/>
    </row>
    <row r="37" spans="1:5" s="1" customFormat="1">
      <c r="A37" s="351" t="s">
        <v>653</v>
      </c>
      <c r="B37" s="351"/>
      <c r="C37" s="420"/>
      <c r="D37" s="420"/>
      <c r="E37" s="195"/>
    </row>
    <row r="38" spans="1:5" s="1" customFormat="1">
      <c r="A38" s="351" t="s">
        <v>183</v>
      </c>
      <c r="B38" s="351"/>
      <c r="C38" s="420"/>
      <c r="D38" s="420"/>
      <c r="E38" s="195"/>
    </row>
    <row r="39" spans="1:5" s="1" customFormat="1">
      <c r="A39" s="350" t="s">
        <v>654</v>
      </c>
      <c r="B39" s="350"/>
      <c r="C39" s="350"/>
      <c r="D39" s="350"/>
      <c r="E39" s="350"/>
    </row>
    <row r="40" spans="1:5" s="1" customFormat="1">
      <c r="A40" s="511" t="s">
        <v>655</v>
      </c>
      <c r="B40" s="511"/>
      <c r="C40" s="511" t="s">
        <v>649</v>
      </c>
      <c r="D40" s="511"/>
      <c r="E40" s="170" t="s">
        <v>593</v>
      </c>
    </row>
    <row r="41" spans="1:5" s="1" customFormat="1">
      <c r="A41" s="351"/>
      <c r="B41" s="351"/>
      <c r="C41" s="420"/>
      <c r="D41" s="420"/>
      <c r="E41" s="195"/>
    </row>
    <row r="42" spans="1:5" s="1" customFormat="1">
      <c r="A42" s="351"/>
      <c r="B42" s="351"/>
      <c r="C42" s="420"/>
      <c r="D42" s="420"/>
      <c r="E42" s="195"/>
    </row>
    <row r="43" spans="1:5" s="1" customFormat="1">
      <c r="A43" s="351"/>
      <c r="B43" s="351"/>
      <c r="C43" s="420"/>
      <c r="D43" s="420"/>
      <c r="E43" s="195"/>
    </row>
    <row r="44" spans="1:5" s="1" customFormat="1">
      <c r="A44" s="511" t="s">
        <v>656</v>
      </c>
      <c r="B44" s="511"/>
      <c r="C44" s="512">
        <f>SUM(E34:E38)+SUM(E41:E43)</f>
        <v>0</v>
      </c>
      <c r="D44" s="512"/>
      <c r="E44" s="512"/>
    </row>
    <row r="45" spans="1:5" s="1" customFormat="1">
      <c r="A45" s="511" t="s">
        <v>657</v>
      </c>
      <c r="B45" s="511"/>
      <c r="C45" s="513">
        <f>E31+C44</f>
        <v>60000</v>
      </c>
      <c r="D45" s="513"/>
      <c r="E45" s="513"/>
    </row>
    <row r="46" spans="1:5" s="1" customFormat="1">
      <c r="A46" s="350" t="s">
        <v>658</v>
      </c>
      <c r="B46" s="350"/>
      <c r="C46" s="350" t="s">
        <v>90</v>
      </c>
      <c r="D46" s="350"/>
      <c r="E46" s="350"/>
    </row>
    <row r="47" spans="1:5" s="1" customFormat="1">
      <c r="A47" s="506" t="s">
        <v>659</v>
      </c>
      <c r="B47" s="506"/>
      <c r="C47" s="507"/>
      <c r="D47" s="507"/>
      <c r="E47" s="507"/>
    </row>
    <row r="48" spans="1:5" s="1" customFormat="1">
      <c r="A48" s="506" t="s">
        <v>660</v>
      </c>
      <c r="B48" s="506"/>
      <c r="C48" s="507"/>
      <c r="D48" s="507"/>
      <c r="E48" s="507"/>
    </row>
    <row r="49" spans="1:8" s="1" customFormat="1">
      <c r="A49" s="506" t="s">
        <v>661</v>
      </c>
      <c r="B49" s="506"/>
      <c r="C49" s="507"/>
      <c r="D49" s="507"/>
      <c r="E49" s="507"/>
    </row>
    <row r="50" spans="1:8" s="1" customFormat="1">
      <c r="A50" s="506" t="s">
        <v>662</v>
      </c>
      <c r="B50" s="506"/>
      <c r="C50" s="507"/>
      <c r="D50" s="507"/>
      <c r="E50" s="507"/>
    </row>
    <row r="51" spans="1:8" s="1" customFormat="1">
      <c r="A51" s="506" t="s">
        <v>663</v>
      </c>
      <c r="B51" s="506"/>
      <c r="C51" s="507"/>
      <c r="D51" s="507"/>
      <c r="E51" s="507"/>
    </row>
    <row r="52" spans="1:8" s="1" customFormat="1">
      <c r="A52" s="506" t="s">
        <v>664</v>
      </c>
      <c r="B52" s="506"/>
      <c r="C52" s="507"/>
      <c r="D52" s="507"/>
      <c r="E52" s="507"/>
    </row>
    <row r="53" spans="1:8" s="1" customFormat="1">
      <c r="A53" s="506" t="s">
        <v>665</v>
      </c>
      <c r="B53" s="506"/>
      <c r="C53" s="507"/>
      <c r="D53" s="507"/>
      <c r="E53" s="507"/>
    </row>
    <row r="54" spans="1:8" s="1" customFormat="1">
      <c r="A54" s="506" t="s">
        <v>666</v>
      </c>
      <c r="B54" s="506"/>
      <c r="C54" s="507"/>
      <c r="D54" s="507"/>
      <c r="E54" s="507"/>
    </row>
    <row r="55" spans="1:8" s="1" customFormat="1">
      <c r="A55" s="506" t="s">
        <v>667</v>
      </c>
      <c r="B55" s="506"/>
      <c r="C55" s="507"/>
      <c r="D55" s="507"/>
      <c r="E55" s="507"/>
    </row>
    <row r="56" spans="1:8" s="1" customFormat="1">
      <c r="A56" s="506" t="s">
        <v>668</v>
      </c>
      <c r="B56" s="506"/>
      <c r="C56" s="507"/>
      <c r="D56" s="507"/>
      <c r="E56" s="507"/>
    </row>
    <row r="57" spans="1:8" s="1" customFormat="1">
      <c r="A57" s="350" t="s">
        <v>669</v>
      </c>
      <c r="B57" s="350"/>
      <c r="C57" s="508">
        <f>SUM(C47:E56)</f>
        <v>0</v>
      </c>
      <c r="D57" s="508"/>
      <c r="E57" s="508"/>
    </row>
    <row r="58" spans="1:8" s="1" customFormat="1">
      <c r="A58" s="509" t="s">
        <v>670</v>
      </c>
      <c r="B58" s="509"/>
      <c r="C58" s="510">
        <f>C45-C57</f>
        <v>60000</v>
      </c>
      <c r="D58" s="510"/>
      <c r="E58" s="510"/>
    </row>
    <row r="59" spans="1:8" s="1" customFormat="1"/>
    <row r="60" spans="1:8" s="1" customFormat="1"/>
    <row r="61" spans="1:8" s="1" customFormat="1">
      <c r="A61" s="501" t="s">
        <v>671</v>
      </c>
      <c r="B61" s="501"/>
      <c r="C61" s="502">
        <f>IFERROR(((C58+C55)*60%-C55)/PMT(BasicInput!$F$27/12,BasicInput!$E$27,-100000),0)*100000</f>
        <v>8640000</v>
      </c>
      <c r="D61" s="502"/>
      <c r="E61" s="502"/>
    </row>
    <row r="62" spans="1:8" s="1" customFormat="1">
      <c r="A62" s="501" t="s">
        <v>672</v>
      </c>
      <c r="B62" s="501"/>
      <c r="C62" s="502">
        <f>BasicInput!D27</f>
        <v>3000000</v>
      </c>
      <c r="D62" s="502"/>
      <c r="E62" s="502"/>
    </row>
    <row r="63" spans="1:8" s="1" customFormat="1">
      <c r="A63" s="501" t="s">
        <v>673</v>
      </c>
      <c r="B63" s="501"/>
      <c r="C63" s="502">
        <f>BasicInput!G27</f>
        <v>3080000</v>
      </c>
      <c r="D63" s="502"/>
      <c r="E63" s="502"/>
    </row>
    <row r="64" spans="1:8" s="1" customFormat="1">
      <c r="A64" s="501" t="s">
        <v>674</v>
      </c>
      <c r="B64" s="501"/>
      <c r="C64" s="503">
        <f>IFERROR((C63+C55)/(C58+C55),0)</f>
        <v>51.333333333333336</v>
      </c>
      <c r="D64" s="503"/>
      <c r="E64" s="503"/>
      <c r="F64" s="504" t="str">
        <f>IF(C63&gt;C61,"Deviation approval required","")</f>
        <v/>
      </c>
      <c r="G64" s="505"/>
      <c r="H64" s="505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675</v>
      </c>
      <c r="B1" s="527"/>
      <c r="C1" s="527"/>
      <c r="D1" s="527"/>
      <c r="E1" s="527"/>
      <c r="F1" s="527"/>
      <c r="G1" s="527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679</v>
      </c>
      <c r="F3" s="10" t="s">
        <v>680</v>
      </c>
      <c r="G3" s="10" t="s">
        <v>681</v>
      </c>
      <c r="H3" s="10" t="s">
        <v>682</v>
      </c>
      <c r="I3" s="10" t="s">
        <v>683</v>
      </c>
      <c r="J3" s="10" t="s">
        <v>684</v>
      </c>
      <c r="K3" s="10" t="s">
        <v>685</v>
      </c>
      <c r="L3" s="10" t="s">
        <v>686</v>
      </c>
      <c r="M3" s="10" t="s">
        <v>687</v>
      </c>
      <c r="N3" s="10" t="s">
        <v>688</v>
      </c>
      <c r="O3" s="10" t="s">
        <v>689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8" t="s">
        <v>38</v>
      </c>
      <c r="B14" s="528"/>
      <c r="C14" s="528"/>
      <c r="D14" s="528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56</v>
      </c>
    </row>
    <row r="17" spans="1:3">
      <c r="A17" s="417" t="s">
        <v>57</v>
      </c>
      <c r="B17" s="419"/>
      <c r="C17" s="10"/>
    </row>
    <row r="18" spans="1:3">
      <c r="A18" s="529" t="s">
        <v>690</v>
      </c>
      <c r="B18" s="530"/>
      <c r="C18" s="143">
        <f>O14</f>
        <v>0</v>
      </c>
    </row>
    <row r="19" spans="1:3">
      <c r="A19" s="520" t="s">
        <v>118</v>
      </c>
      <c r="B19" s="521"/>
      <c r="C19" s="143">
        <f>C18/12</f>
        <v>0</v>
      </c>
    </row>
    <row r="20" spans="1:3">
      <c r="A20" s="520" t="s">
        <v>691</v>
      </c>
      <c r="B20" s="521"/>
      <c r="C20" s="144">
        <f>BasicInput!$D$27</f>
        <v>3000000</v>
      </c>
    </row>
    <row r="21" spans="1:3">
      <c r="A21" s="525" t="s">
        <v>692</v>
      </c>
      <c r="B21" s="526"/>
      <c r="C21" s="12">
        <f>'ExistingLoans&amp;Facilities&amp;RTR'!$N$103</f>
        <v>0</v>
      </c>
    </row>
    <row r="22" spans="1:3">
      <c r="A22" s="525" t="s">
        <v>693</v>
      </c>
      <c r="B22" s="526"/>
      <c r="C22" s="12">
        <f>BasicInput!$G$28</f>
        <v>3080000</v>
      </c>
    </row>
    <row r="23" spans="1:3">
      <c r="A23" s="525" t="s">
        <v>694</v>
      </c>
      <c r="B23" s="526"/>
      <c r="C23" s="12">
        <f>SUMIF(BasicInput!$B$22:$B$26,Validation!$A$38,BasicInput!$G$22:$G$26)</f>
        <v>0</v>
      </c>
    </row>
    <row r="24" spans="1:3">
      <c r="A24" s="520" t="s">
        <v>695</v>
      </c>
      <c r="B24" s="521"/>
      <c r="C24" s="16">
        <f>IF(SUM(C21:C22)=0,0,IFERROR(SUM(C21:C22)/C19,100000%))</f>
        <v>1000</v>
      </c>
    </row>
    <row r="25" spans="1:3" ht="25.5" customHeight="1">
      <c r="A25" s="520" t="s">
        <v>696</v>
      </c>
      <c r="B25" s="521"/>
      <c r="C25" s="16">
        <f>IF(SUM(C21:C23)=0,0,IFERROR(SUM(C21:C23)/C19,100000%))</f>
        <v>1000</v>
      </c>
    </row>
    <row r="26" spans="1:3">
      <c r="A26" s="520" t="s">
        <v>697</v>
      </c>
      <c r="B26" s="521"/>
      <c r="C26" s="16">
        <f>IFERROR(SUMIF(BasicInput!$B$22:$B$26,Validation!$A$38,BasicInput!$G$22:$G$26)/C19,0)</f>
        <v>0</v>
      </c>
    </row>
    <row r="27" spans="1:3">
      <c r="A27" s="520" t="s">
        <v>698</v>
      </c>
      <c r="B27" s="521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0" t="s">
        <v>699</v>
      </c>
      <c r="B28" s="521"/>
      <c r="C28" s="16">
        <f>IFERROR((BasicInput!$D$28+$G$40)/$M$40,0)</f>
        <v>0</v>
      </c>
    </row>
    <row r="29" spans="1:3">
      <c r="A29" s="520" t="s">
        <v>700</v>
      </c>
      <c r="B29" s="521"/>
      <c r="C29" s="16">
        <f>IFERROR((BasicInput!$D$27+$G$40)/$M$40,0)</f>
        <v>0</v>
      </c>
    </row>
    <row r="30" spans="1:3">
      <c r="A30" s="520" t="s">
        <v>701</v>
      </c>
      <c r="B30" s="521"/>
      <c r="C30" s="16">
        <f>IFERROR(SUMIF(BasicInput!$B$22:$B$26,Validation!$A$38,BasicInput!$D$22:$D$26)/$M$40,0)</f>
        <v>0</v>
      </c>
    </row>
    <row r="31" spans="1:3">
      <c r="A31" s="520" t="s">
        <v>702</v>
      </c>
      <c r="B31" s="521"/>
      <c r="C31" s="13">
        <f>MAX($O$40,0)</f>
        <v>0</v>
      </c>
    </row>
    <row r="32" spans="1:3">
      <c r="A32" s="522" t="s">
        <v>703</v>
      </c>
      <c r="B32" s="523"/>
      <c r="C32" s="18">
        <f>MIN(C20,C27,C31)</f>
        <v>0</v>
      </c>
    </row>
    <row r="33" spans="1:16"/>
    <row r="34" spans="1:16" ht="51">
      <c r="A34" s="10" t="s">
        <v>41</v>
      </c>
      <c r="B34" s="10" t="s">
        <v>42</v>
      </c>
      <c r="C34" s="10" t="s">
        <v>43</v>
      </c>
      <c r="D34" s="10" t="s">
        <v>44</v>
      </c>
      <c r="E34" s="10" t="s">
        <v>45</v>
      </c>
      <c r="F34" s="10" t="s">
        <v>46</v>
      </c>
      <c r="G34" s="10" t="s">
        <v>47</v>
      </c>
      <c r="H34" s="10" t="s">
        <v>48</v>
      </c>
      <c r="I34" s="10" t="s">
        <v>49</v>
      </c>
      <c r="J34" s="10" t="s">
        <v>50</v>
      </c>
      <c r="K34" s="10" t="s">
        <v>51</v>
      </c>
      <c r="L34" s="10" t="s">
        <v>52</v>
      </c>
      <c r="M34" s="10" t="s">
        <v>53</v>
      </c>
      <c r="N34" s="10" t="s">
        <v>704</v>
      </c>
      <c r="O34" s="10" t="s">
        <v>705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0" t="s">
        <v>38</v>
      </c>
      <c r="B40" s="524"/>
      <c r="C40" s="524"/>
      <c r="D40" s="524"/>
      <c r="E40" s="524"/>
      <c r="F40" s="524"/>
      <c r="G40" s="13">
        <f>SUM(G35:G39)</f>
        <v>0</v>
      </c>
      <c r="H40" s="520"/>
      <c r="I40" s="524"/>
      <c r="J40" s="524"/>
      <c r="K40" s="524"/>
      <c r="L40" s="521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706</v>
      </c>
      <c r="B1" s="527"/>
      <c r="C1" s="527"/>
      <c r="D1" s="527"/>
      <c r="E1" s="527"/>
      <c r="F1" s="527"/>
      <c r="G1" s="527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4</v>
      </c>
      <c r="B3" s="10" t="s">
        <v>503</v>
      </c>
      <c r="C3" s="10" t="s">
        <v>529</v>
      </c>
      <c r="D3" s="10" t="s">
        <v>707</v>
      </c>
      <c r="E3" s="10" t="s">
        <v>534</v>
      </c>
      <c r="F3" s="10" t="s">
        <v>536</v>
      </c>
      <c r="G3" s="10" t="s">
        <v>549</v>
      </c>
      <c r="H3" s="10" t="s">
        <v>550</v>
      </c>
      <c r="I3" s="10" t="s">
        <v>708</v>
      </c>
      <c r="J3" s="10" t="s">
        <v>515</v>
      </c>
      <c r="K3" s="10" t="s">
        <v>709</v>
      </c>
      <c r="L3" s="10" t="s">
        <v>517</v>
      </c>
      <c r="M3" s="10" t="s">
        <v>518</v>
      </c>
      <c r="N3" s="10" t="s">
        <v>710</v>
      </c>
      <c r="O3" s="10" t="s">
        <v>527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8" t="s">
        <v>38</v>
      </c>
      <c r="B24" s="528"/>
      <c r="C24" s="528"/>
      <c r="D24" s="528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56</v>
      </c>
    </row>
    <row r="27" spans="1:15">
      <c r="A27" s="417" t="s">
        <v>57</v>
      </c>
      <c r="B27" s="419"/>
      <c r="C27" s="10"/>
    </row>
    <row r="28" spans="1:15">
      <c r="A28" s="520" t="s">
        <v>711</v>
      </c>
      <c r="B28" s="521"/>
      <c r="C28" s="143">
        <f>SUMIF($K$4:$K$23,"Yes",$I$4:$I$23)*50%</f>
        <v>0</v>
      </c>
    </row>
    <row r="29" spans="1:15">
      <c r="A29" s="520" t="s">
        <v>691</v>
      </c>
      <c r="B29" s="521"/>
      <c r="C29" s="144">
        <f>BasicInput!$D$27</f>
        <v>3000000</v>
      </c>
    </row>
    <row r="30" spans="1:15">
      <c r="A30" s="525" t="s">
        <v>692</v>
      </c>
      <c r="B30" s="526"/>
      <c r="C30" s="12">
        <f>'ExistingLoans&amp;Facilities&amp;RTR'!$N$103</f>
        <v>0</v>
      </c>
    </row>
    <row r="31" spans="1:15">
      <c r="A31" s="525" t="s">
        <v>693</v>
      </c>
      <c r="B31" s="526"/>
      <c r="C31" s="12">
        <f>BasicInput!$G$28</f>
        <v>3080000</v>
      </c>
    </row>
    <row r="32" spans="1:15">
      <c r="A32" s="525" t="s">
        <v>694</v>
      </c>
      <c r="B32" s="526"/>
      <c r="C32" s="12">
        <f>SUMIF(BasicInput!$B$22:$B$26,Validation!$A$38,BasicInput!$G$22:$G$26)</f>
        <v>0</v>
      </c>
    </row>
    <row r="33" spans="1:16">
      <c r="A33" s="520" t="s">
        <v>695</v>
      </c>
      <c r="B33" s="521"/>
      <c r="C33" s="16">
        <f>IF(SUM(C30:C31)=0,0,IFERROR(SUM(C30:C31)/C28,100000%))</f>
        <v>1000</v>
      </c>
    </row>
    <row r="34" spans="1:16">
      <c r="A34" s="520" t="s">
        <v>696</v>
      </c>
      <c r="B34" s="521"/>
      <c r="C34" s="16">
        <f>IF(SUM(C30:C32)=0,0,IFERROR(SUM(C30:C32)/C28,100000%))</f>
        <v>1000</v>
      </c>
    </row>
    <row r="35" spans="1:16">
      <c r="A35" s="520" t="s">
        <v>697</v>
      </c>
      <c r="B35" s="521"/>
      <c r="C35" s="16">
        <f>IFERROR(SUMIF(BasicInput!$B$22:$B$26,Validation!$A$38,BasicInput!$G$22:$G$26)/C28,0)</f>
        <v>0</v>
      </c>
    </row>
    <row r="36" spans="1:16">
      <c r="A36" s="520" t="s">
        <v>698</v>
      </c>
      <c r="B36" s="521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0" t="s">
        <v>699</v>
      </c>
      <c r="B37" s="521"/>
      <c r="C37" s="16">
        <f>IFERROR((BasicInput!$D$28+$G$49)/$M$49,0)</f>
        <v>0</v>
      </c>
    </row>
    <row r="38" spans="1:16">
      <c r="A38" s="520" t="s">
        <v>700</v>
      </c>
      <c r="B38" s="521"/>
      <c r="C38" s="16">
        <f>IFERROR((BasicInput!$D$27+$G$49)/$M$49,0)</f>
        <v>0</v>
      </c>
    </row>
    <row r="39" spans="1:16">
      <c r="A39" s="520" t="s">
        <v>701</v>
      </c>
      <c r="B39" s="521"/>
      <c r="C39" s="16">
        <f>IFERROR(SUMIF(BasicInput!$B$22:$B$26,Validation!$A$38,BasicInput!$D$22:$D$26)/$M$49,0)</f>
        <v>0</v>
      </c>
    </row>
    <row r="40" spans="1:16">
      <c r="A40" s="520" t="s">
        <v>702</v>
      </c>
      <c r="B40" s="521"/>
      <c r="C40" s="13">
        <f>MAX($O$49,0)</f>
        <v>0</v>
      </c>
    </row>
    <row r="41" spans="1:16">
      <c r="A41" s="522" t="s">
        <v>703</v>
      </c>
      <c r="B41" s="523"/>
      <c r="C41" s="18">
        <f>MIN(C29,C36,C40)</f>
        <v>0</v>
      </c>
    </row>
    <row r="42" spans="1:16"/>
    <row r="43" spans="1:16" ht="51">
      <c r="A43" s="10" t="s">
        <v>41</v>
      </c>
      <c r="B43" s="10" t="s">
        <v>42</v>
      </c>
      <c r="C43" s="10" t="s">
        <v>43</v>
      </c>
      <c r="D43" s="10" t="s">
        <v>44</v>
      </c>
      <c r="E43" s="10" t="s">
        <v>45</v>
      </c>
      <c r="F43" s="10" t="s">
        <v>46</v>
      </c>
      <c r="G43" s="10" t="s">
        <v>47</v>
      </c>
      <c r="H43" s="10" t="s">
        <v>48</v>
      </c>
      <c r="I43" s="10" t="s">
        <v>49</v>
      </c>
      <c r="J43" s="10" t="s">
        <v>50</v>
      </c>
      <c r="K43" s="10" t="s">
        <v>51</v>
      </c>
      <c r="L43" s="10" t="s">
        <v>52</v>
      </c>
      <c r="M43" s="10" t="s">
        <v>53</v>
      </c>
      <c r="N43" s="10" t="s">
        <v>704</v>
      </c>
      <c r="O43" s="10" t="s">
        <v>705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0" t="s">
        <v>38</v>
      </c>
      <c r="B49" s="524"/>
      <c r="C49" s="524"/>
      <c r="D49" s="524"/>
      <c r="E49" s="524"/>
      <c r="F49" s="524"/>
      <c r="G49" s="13">
        <f>SUM(G44:G48)</f>
        <v>0</v>
      </c>
      <c r="H49" s="520"/>
      <c r="I49" s="524"/>
      <c r="J49" s="524"/>
      <c r="K49" s="524"/>
      <c r="L49" s="521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5" t="s">
        <v>712</v>
      </c>
      <c r="B1" s="535"/>
      <c r="C1" s="535"/>
      <c r="D1" s="535"/>
      <c r="E1" s="535"/>
      <c r="F1" s="535"/>
      <c r="G1" s="535"/>
    </row>
    <row r="3" spans="1:7">
      <c r="A3" s="45" t="s">
        <v>713</v>
      </c>
      <c r="B3" s="536" t="str">
        <f>IF(Afford1!B1="","",CONCATENATE(Afford1!B1," &amp; Group"))</f>
        <v>KANHAIYA BHARTI &amp; Group</v>
      </c>
      <c r="C3" s="536"/>
      <c r="D3" s="536"/>
      <c r="E3" s="536"/>
      <c r="F3" s="536"/>
      <c r="G3" s="536"/>
    </row>
    <row r="5" spans="1:7">
      <c r="A5" s="537" t="s">
        <v>714</v>
      </c>
      <c r="B5" s="537"/>
      <c r="C5" s="537"/>
      <c r="D5" s="537"/>
      <c r="E5" s="537"/>
      <c r="F5" s="537"/>
      <c r="G5" s="537"/>
    </row>
    <row r="6" spans="1:7">
      <c r="B6" s="534" t="s">
        <v>715</v>
      </c>
      <c r="C6" s="534"/>
      <c r="D6" s="534"/>
      <c r="E6" s="534"/>
    </row>
    <row r="7" spans="1:7" ht="38.25">
      <c r="A7" s="48" t="s">
        <v>716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717</v>
      </c>
      <c r="G7" s="52" t="s">
        <v>718</v>
      </c>
    </row>
    <row r="8" spans="1:7">
      <c r="A8" s="152" t="s">
        <v>719</v>
      </c>
      <c r="B8" s="531"/>
      <c r="C8" s="532"/>
      <c r="D8" s="532"/>
      <c r="E8" s="533"/>
      <c r="F8" s="153"/>
      <c r="G8" s="153"/>
    </row>
    <row r="9" spans="1:7">
      <c r="A9" s="171" t="s">
        <v>720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721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722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723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724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725</v>
      </c>
      <c r="B14" s="531"/>
      <c r="C14" s="532"/>
      <c r="D14" s="532"/>
      <c r="E14" s="533"/>
      <c r="F14" s="153"/>
      <c r="G14" s="153"/>
    </row>
    <row r="15" spans="1:7">
      <c r="A15" s="60" t="s">
        <v>726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727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728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729</v>
      </c>
      <c r="B18" s="531"/>
      <c r="C18" s="532"/>
      <c r="D18" s="532"/>
      <c r="E18" s="533"/>
      <c r="F18" s="153"/>
      <c r="G18" s="153"/>
    </row>
    <row r="19" spans="1:7">
      <c r="A19" s="60" t="s">
        <v>730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731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732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733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734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735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736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737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738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739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740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741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742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743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744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745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746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747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748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715</v>
      </c>
      <c r="C38" s="534"/>
      <c r="D38" s="534"/>
      <c r="E38" s="534"/>
      <c r="F38" s="64"/>
      <c r="G38" s="64"/>
    </row>
    <row r="39" spans="1:7" ht="38.25">
      <c r="A39" s="48" t="s">
        <v>749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717</v>
      </c>
      <c r="G39" s="52" t="s">
        <v>718</v>
      </c>
    </row>
    <row r="40" spans="1:7">
      <c r="A40" s="152" t="s">
        <v>750</v>
      </c>
      <c r="B40" s="531"/>
      <c r="C40" s="532"/>
      <c r="D40" s="532"/>
      <c r="E40" s="533"/>
      <c r="F40" s="153"/>
      <c r="G40" s="153"/>
    </row>
    <row r="41" spans="1:7">
      <c r="A41" s="60" t="s">
        <v>751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752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753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754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755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756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757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758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759</v>
      </c>
      <c r="B49" s="531"/>
      <c r="C49" s="532"/>
      <c r="D49" s="532"/>
      <c r="E49" s="533"/>
      <c r="F49" s="153"/>
      <c r="G49" s="153"/>
    </row>
    <row r="50" spans="1:7">
      <c r="A50" s="60" t="s">
        <v>760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761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762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763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764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765</v>
      </c>
      <c r="B55" s="531"/>
      <c r="C55" s="532"/>
      <c r="D55" s="532"/>
      <c r="E55" s="533"/>
      <c r="F55" s="153"/>
      <c r="G55" s="153"/>
    </row>
    <row r="56" spans="1:7">
      <c r="A56" s="60" t="s">
        <v>766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767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768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769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770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771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772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773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774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775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776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777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778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779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780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781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782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783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784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785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786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787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788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789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773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790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791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792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793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794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795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796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797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798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799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800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801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802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803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804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805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806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807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808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809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810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811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812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813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814</v>
      </c>
      <c r="B108" s="3"/>
      <c r="C108" s="3"/>
      <c r="D108" s="3"/>
      <c r="E108" s="3"/>
    </row>
    <row r="109" spans="1:7">
      <c r="A109" s="3" t="s">
        <v>575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815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816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817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818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819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820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821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822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782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787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823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38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824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825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826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27700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KANHAIYA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723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724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727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728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731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732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733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735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736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737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738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740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744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745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746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747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752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753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757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763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767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768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769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770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771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772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773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781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783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788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789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773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817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20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30078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SANDHYA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18"/>
      <c r="C3" s="518"/>
      <c r="D3" s="518"/>
      <c r="E3" s="518"/>
      <c r="F3" s="518"/>
      <c r="G3" s="518"/>
    </row>
    <row r="4" spans="1:10">
      <c r="A4" s="45" t="s">
        <v>596</v>
      </c>
      <c r="B4" s="518"/>
      <c r="C4" s="518"/>
      <c r="D4" s="518"/>
      <c r="E4" s="518"/>
      <c r="F4" s="518"/>
      <c r="G4" s="518"/>
    </row>
    <row r="5" spans="1:10">
      <c r="A5" s="45" t="s">
        <v>598</v>
      </c>
      <c r="B5" s="518"/>
      <c r="C5" s="518"/>
      <c r="D5" s="518"/>
      <c r="E5" s="518"/>
      <c r="F5" s="518"/>
      <c r="G5" s="518"/>
    </row>
    <row r="6" spans="1:10">
      <c r="A6" s="45" t="s">
        <v>600</v>
      </c>
      <c r="B6" s="518"/>
      <c r="C6" s="518"/>
      <c r="D6" s="518"/>
      <c r="E6" s="518"/>
      <c r="F6" s="518"/>
      <c r="G6" s="518"/>
    </row>
    <row r="7" spans="1:10" ht="25.5">
      <c r="A7" s="45" t="s">
        <v>602</v>
      </c>
      <c r="B7" s="516"/>
      <c r="C7" s="516"/>
      <c r="D7" s="516"/>
      <c r="E7" s="516"/>
      <c r="F7" s="516"/>
      <c r="G7" s="516"/>
    </row>
    <row r="8" spans="1:10">
      <c r="A8" s="45" t="s">
        <v>830</v>
      </c>
      <c r="B8" s="518"/>
      <c r="C8" s="518"/>
      <c r="D8" s="518"/>
      <c r="E8" s="518"/>
      <c r="F8" s="518"/>
      <c r="G8" s="518"/>
    </row>
    <row r="9" spans="1:10">
      <c r="A9" s="45" t="s">
        <v>831</v>
      </c>
      <c r="B9" s="514"/>
      <c r="C9" s="514"/>
      <c r="D9" s="514"/>
      <c r="E9" s="514"/>
      <c r="F9" s="514"/>
      <c r="G9" s="514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7" t="s">
        <v>834</v>
      </c>
      <c r="B1" s="527"/>
      <c r="C1" s="527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54" t="s">
        <v>56</v>
      </c>
      <c r="C2" s="354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57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835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575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836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837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838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839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573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840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841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842</v>
      </c>
      <c r="B13" s="12">
        <f>BasicInput!$D$49</f>
        <v>0</v>
      </c>
      <c r="C13" s="351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62</v>
      </c>
      <c r="B14" s="12">
        <f>BasicInput!$D$50</f>
        <v>0</v>
      </c>
      <c r="C14" s="351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63</v>
      </c>
      <c r="B15" s="12">
        <f>BasicInput!$D$51</f>
        <v>0</v>
      </c>
      <c r="C15" s="351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843</v>
      </c>
      <c r="B16" s="12">
        <f>BasicInput!$D$52</f>
        <v>0</v>
      </c>
      <c r="C16" s="351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106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65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690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118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691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692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693</v>
      </c>
      <c r="B23" s="12">
        <f>BasicInput!$G$28</f>
        <v>3080000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844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694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695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696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697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698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699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700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701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702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703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41</v>
      </c>
      <c r="B37" s="10" t="s">
        <v>42</v>
      </c>
      <c r="C37" s="10" t="s">
        <v>43</v>
      </c>
      <c r="D37" s="10" t="s">
        <v>44</v>
      </c>
      <c r="E37" s="10" t="s">
        <v>45</v>
      </c>
      <c r="F37" s="10" t="s">
        <v>46</v>
      </c>
      <c r="G37" s="10" t="s">
        <v>47</v>
      </c>
      <c r="H37" s="10" t="s">
        <v>48</v>
      </c>
      <c r="I37" s="10" t="s">
        <v>49</v>
      </c>
      <c r="J37" s="10" t="s">
        <v>50</v>
      </c>
      <c r="K37" s="10" t="s">
        <v>51</v>
      </c>
      <c r="L37" s="10" t="s">
        <v>52</v>
      </c>
      <c r="M37" s="10" t="s">
        <v>53</v>
      </c>
      <c r="N37" s="10" t="s">
        <v>704</v>
      </c>
      <c r="O37" s="10" t="s">
        <v>705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0" t="s">
        <v>38</v>
      </c>
      <c r="B43" s="524"/>
      <c r="C43" s="524"/>
      <c r="D43" s="524"/>
      <c r="E43" s="524"/>
      <c r="F43" s="524"/>
      <c r="G43" s="13">
        <f>SUM(G38:G42)</f>
        <v>0</v>
      </c>
      <c r="H43" s="520"/>
      <c r="I43" s="524"/>
      <c r="J43" s="524"/>
      <c r="K43" s="524"/>
      <c r="L43" s="521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712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713</v>
      </c>
      <c r="B3" s="536" t="str">
        <f>IF(Prime1!B1="","",CONCATENATE(Prime1!B1," &amp; Group"))</f>
        <v>NARENDRA KUMAR VYAS &amp; Group</v>
      </c>
      <c r="C3" s="536"/>
      <c r="D3" s="536"/>
      <c r="E3" s="536"/>
      <c r="F3" s="536"/>
      <c r="G3" s="536"/>
    </row>
    <row r="4" spans="1:11"/>
    <row r="5" spans="1:11">
      <c r="A5" s="537" t="s">
        <v>714</v>
      </c>
      <c r="B5" s="537"/>
      <c r="C5" s="537"/>
      <c r="D5" s="537"/>
      <c r="E5" s="537"/>
      <c r="F5" s="537"/>
      <c r="G5" s="537"/>
    </row>
    <row r="6" spans="1:11">
      <c r="B6" s="534" t="s">
        <v>715</v>
      </c>
      <c r="C6" s="534"/>
      <c r="D6" s="534"/>
      <c r="E6" s="534"/>
    </row>
    <row r="7" spans="1:11" ht="38.25">
      <c r="A7" s="48" t="s">
        <v>716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717</v>
      </c>
      <c r="G7" s="52" t="s">
        <v>718</v>
      </c>
      <c r="I7" s="120"/>
      <c r="J7" s="120"/>
    </row>
    <row r="8" spans="1:11">
      <c r="A8" s="53" t="s">
        <v>845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846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847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848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849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850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851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852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853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854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855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856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857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858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57</v>
      </c>
      <c r="J20" s="127" t="s">
        <v>859</v>
      </c>
      <c r="K20" s="127" t="s">
        <v>859</v>
      </c>
      <c r="L20" s="127" t="s">
        <v>859</v>
      </c>
    </row>
    <row r="21" spans="1:12">
      <c r="A21" s="60" t="s">
        <v>725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860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861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862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863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864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865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866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867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868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869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106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870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871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860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872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862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873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864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860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874</v>
      </c>
      <c r="J31" s="129">
        <f>('ExistingLoans&amp;Facilities&amp;RTR'!$N$103+BasicInput!$G$27)*12/100000</f>
        <v>369.6</v>
      </c>
      <c r="K31" s="129">
        <f>('ExistingLoans&amp;Facilities&amp;RTR'!$N$103+BasicInput!$G$27)*12/100000</f>
        <v>369.6</v>
      </c>
      <c r="L31" s="129">
        <f>('ExistingLoans&amp;Facilities&amp;RTR'!$N$103+BasicInput!$G$27)*12/100000</f>
        <v>369.6</v>
      </c>
    </row>
    <row r="32" spans="1:12">
      <c r="A32" s="60" t="s">
        <v>875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868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876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877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878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879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880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881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882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883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740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741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742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884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885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748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886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887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715</v>
      </c>
      <c r="C50" s="47"/>
      <c r="D50" s="47"/>
      <c r="E50" s="47"/>
      <c r="F50" s="64"/>
      <c r="G50" s="64"/>
    </row>
    <row r="51" spans="1:7" ht="38.25">
      <c r="A51" s="48" t="s">
        <v>749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717</v>
      </c>
      <c r="G51" s="52" t="s">
        <v>718</v>
      </c>
    </row>
    <row r="52" spans="1:7">
      <c r="A52" s="60" t="s">
        <v>888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889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890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891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892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893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894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895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896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897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898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899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900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901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780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902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903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904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905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906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907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908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909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910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911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912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913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914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915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916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917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918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919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920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921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922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923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924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790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925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926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927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928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804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929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930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931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932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933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934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935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936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937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938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939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940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941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942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943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805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944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945</v>
      </c>
      <c r="B1" s="553"/>
      <c r="C1" s="553"/>
      <c r="D1" s="553"/>
      <c r="F1" s="553" t="s">
        <v>946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57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947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948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949</v>
      </c>
      <c r="B3" s="99"/>
      <c r="C3" s="99"/>
      <c r="D3" s="99"/>
      <c r="F3" s="101" t="s">
        <v>950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951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952</v>
      </c>
      <c r="B4" s="104">
        <v>12</v>
      </c>
      <c r="C4" s="104">
        <v>12</v>
      </c>
      <c r="D4" s="104">
        <v>12</v>
      </c>
      <c r="F4" s="101" t="s">
        <v>953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941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954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955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956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860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957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958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959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960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805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961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575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962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963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742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964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965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966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967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754</v>
      </c>
      <c r="B17" s="106"/>
      <c r="C17" s="106"/>
      <c r="D17" s="106"/>
    </row>
    <row r="18" spans="1:4">
      <c r="A18" s="109" t="s">
        <v>968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969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970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971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972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973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974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975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976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977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978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979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980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801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805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944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981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982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983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984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985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986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987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715</v>
      </c>
      <c r="D2" s="555"/>
      <c r="E2" s="556"/>
    </row>
    <row r="3" spans="1:5">
      <c r="A3" s="86" t="s">
        <v>988</v>
      </c>
      <c r="B3" s="90" t="s">
        <v>989</v>
      </c>
      <c r="C3" s="91"/>
      <c r="D3" s="89"/>
      <c r="E3" s="91"/>
    </row>
    <row r="4" spans="1:5">
      <c r="A4" s="86"/>
      <c r="B4" s="89" t="s">
        <v>990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991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992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993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994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995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996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997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998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999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1000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989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1001</v>
      </c>
      <c r="B19" s="90" t="s">
        <v>1002</v>
      </c>
      <c r="C19" s="92"/>
      <c r="D19" s="89"/>
      <c r="E19" s="92"/>
    </row>
    <row r="20" spans="1:5">
      <c r="A20" s="86"/>
      <c r="B20" s="89" t="s">
        <v>1003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1004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1005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1002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1006</v>
      </c>
      <c r="B26" s="90" t="s">
        <v>1007</v>
      </c>
      <c r="C26" s="92"/>
      <c r="D26" s="89"/>
      <c r="E26" s="92"/>
    </row>
    <row r="27" spans="1:5">
      <c r="A27" s="86"/>
      <c r="B27" s="89" t="s">
        <v>1008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1009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1010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1011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1012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1007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1013</v>
      </c>
      <c r="B35" s="86" t="s">
        <v>1014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1015</v>
      </c>
      <c r="B37" s="86" t="s">
        <v>1016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1017</v>
      </c>
      <c r="B39" s="86" t="s">
        <v>1018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1019</v>
      </c>
      <c r="B41" s="86" t="s">
        <v>1020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1021</v>
      </c>
      <c r="B43" s="86" t="s">
        <v>1022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588</v>
      </c>
      <c r="B1" s="518" t="s">
        <v>1023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28025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19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NARENDRA KUMAR VYAS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 ht="15">
      <c r="A15" s="79" t="s">
        <v>845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846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847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848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849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850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851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852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853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854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855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856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863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865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867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889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890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891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893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894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896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897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899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903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904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905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906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909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911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913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914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915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916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919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921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923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1025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31778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ASHA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7" t="s">
        <v>1740</v>
      </c>
      <c r="B1" s="527"/>
      <c r="C1" s="527"/>
      <c r="D1" s="527"/>
      <c r="E1" s="527"/>
      <c r="F1" s="527"/>
      <c r="G1" s="527"/>
      <c r="H1" s="527"/>
      <c r="I1" s="527"/>
      <c r="J1" s="527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">
        <v>1742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1743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0" t="s">
        <v>38</v>
      </c>
      <c r="B14" s="524"/>
      <c r="C14" s="524"/>
      <c r="D14" s="524"/>
      <c r="E14" s="524"/>
      <c r="F14" s="524"/>
      <c r="G14" s="524"/>
      <c r="H14" s="524"/>
      <c r="I14" s="521"/>
      <c r="J14" s="13">
        <f>SUM(J4:J13)</f>
        <v>0</v>
      </c>
      <c r="K14" s="15"/>
    </row>
    <row r="15" spans="1:11">
      <c r="A15" s="412" t="s">
        <v>1744</v>
      </c>
      <c r="B15" s="413"/>
      <c r="C15" s="413"/>
      <c r="D15" s="413"/>
      <c r="E15" s="413"/>
      <c r="F15" s="413"/>
      <c r="G15" s="413"/>
      <c r="H15" s="413"/>
      <c r="I15" s="414"/>
      <c r="J15" s="21"/>
      <c r="K15" s="15"/>
    </row>
    <row r="16" spans="1:11">
      <c r="A16" s="520" t="s">
        <v>1745</v>
      </c>
      <c r="B16" s="524"/>
      <c r="C16" s="524"/>
      <c r="D16" s="524"/>
      <c r="E16" s="524"/>
      <c r="F16" s="524"/>
      <c r="G16" s="524"/>
      <c r="H16" s="524"/>
      <c r="I16" s="521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51" t="s">
        <v>61</v>
      </c>
      <c r="B17" s="351"/>
      <c r="C17" s="351"/>
      <c r="D17" s="351"/>
      <c r="E17" s="351"/>
      <c r="F17" s="351"/>
      <c r="G17" s="351"/>
      <c r="H17" s="351"/>
      <c r="I17" s="351"/>
      <c r="J17" s="12">
        <f>BasicInput!$D$49</f>
        <v>0</v>
      </c>
    </row>
    <row r="18" spans="1:11">
      <c r="A18" s="351" t="s">
        <v>62</v>
      </c>
      <c r="B18" s="351"/>
      <c r="C18" s="351"/>
      <c r="D18" s="351"/>
      <c r="E18" s="351"/>
      <c r="F18" s="351"/>
      <c r="G18" s="351"/>
      <c r="H18" s="351"/>
      <c r="I18" s="351"/>
      <c r="J18" s="12">
        <f>BasicInput!$D$50</f>
        <v>0</v>
      </c>
    </row>
    <row r="19" spans="1:11">
      <c r="A19" s="351" t="s">
        <v>63</v>
      </c>
      <c r="B19" s="351"/>
      <c r="C19" s="351"/>
      <c r="D19" s="351"/>
      <c r="E19" s="351"/>
      <c r="F19" s="351"/>
      <c r="G19" s="351"/>
      <c r="H19" s="351"/>
      <c r="I19" s="351"/>
      <c r="J19" s="12">
        <f>BasicInput!$D$51</f>
        <v>0</v>
      </c>
    </row>
    <row r="20" spans="1:11">
      <c r="A20" s="351" t="s">
        <v>843</v>
      </c>
      <c r="B20" s="351"/>
      <c r="C20" s="351"/>
      <c r="D20" s="351"/>
      <c r="E20" s="351"/>
      <c r="F20" s="351"/>
      <c r="G20" s="351"/>
      <c r="H20" s="351"/>
      <c r="I20" s="351"/>
      <c r="J20" s="12">
        <f>BasicInput!$D$52</f>
        <v>0</v>
      </c>
    </row>
    <row r="21" spans="1:11">
      <c r="A21" s="520" t="s">
        <v>106</v>
      </c>
      <c r="B21" s="524"/>
      <c r="C21" s="524"/>
      <c r="D21" s="524"/>
      <c r="E21" s="524"/>
      <c r="F21" s="524"/>
      <c r="G21" s="524"/>
      <c r="H21" s="524"/>
      <c r="I21" s="521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51" t="s">
        <v>65</v>
      </c>
      <c r="B22" s="351"/>
      <c r="C22" s="351"/>
      <c r="D22" s="351"/>
      <c r="E22" s="351"/>
      <c r="F22" s="351"/>
      <c r="G22" s="351"/>
      <c r="H22" s="351"/>
      <c r="I22" s="351"/>
      <c r="J22" s="12">
        <f>BasicInput!$D$53</f>
        <v>0</v>
      </c>
    </row>
    <row r="23" spans="1:11">
      <c r="A23" s="520" t="s">
        <v>690</v>
      </c>
      <c r="B23" s="524"/>
      <c r="C23" s="524"/>
      <c r="D23" s="524"/>
      <c r="E23" s="524"/>
      <c r="F23" s="524"/>
      <c r="G23" s="524"/>
      <c r="H23" s="524"/>
      <c r="I23" s="521"/>
      <c r="J23" s="13">
        <f>J16+J21+J22</f>
        <v>0</v>
      </c>
    </row>
    <row r="24" spans="1:11">
      <c r="A24" s="520" t="s">
        <v>118</v>
      </c>
      <c r="B24" s="524"/>
      <c r="C24" s="524"/>
      <c r="D24" s="524"/>
      <c r="E24" s="524"/>
      <c r="F24" s="524"/>
      <c r="G24" s="524"/>
      <c r="H24" s="524"/>
      <c r="I24" s="521"/>
      <c r="J24" s="13">
        <f>J23/12</f>
        <v>0</v>
      </c>
    </row>
    <row r="25" spans="1:11">
      <c r="A25" s="520" t="s">
        <v>691</v>
      </c>
      <c r="B25" s="524"/>
      <c r="C25" s="524"/>
      <c r="D25" s="524"/>
      <c r="E25" s="524"/>
      <c r="F25" s="524"/>
      <c r="G25" s="524"/>
      <c r="H25" s="524"/>
      <c r="I25" s="521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1" t="s">
        <v>692</v>
      </c>
      <c r="B26" s="351"/>
      <c r="C26" s="351"/>
      <c r="D26" s="351"/>
      <c r="E26" s="351"/>
      <c r="F26" s="351"/>
      <c r="G26" s="351"/>
      <c r="H26" s="351"/>
      <c r="I26" s="351"/>
      <c r="J26" s="12">
        <f>'ExistingLoans&amp;Facilities&amp;RTR'!$N$103</f>
        <v>0</v>
      </c>
    </row>
    <row r="27" spans="1:11">
      <c r="A27" s="351" t="s">
        <v>693</v>
      </c>
      <c r="B27" s="351"/>
      <c r="C27" s="351"/>
      <c r="D27" s="351"/>
      <c r="E27" s="351"/>
      <c r="F27" s="351"/>
      <c r="G27" s="351"/>
      <c r="H27" s="351"/>
      <c r="I27" s="351"/>
      <c r="J27" s="12">
        <f>BasicInput!$G$28</f>
        <v>3080000</v>
      </c>
    </row>
    <row r="28" spans="1:11">
      <c r="A28" s="351" t="s">
        <v>844</v>
      </c>
      <c r="B28" s="351"/>
      <c r="C28" s="351"/>
      <c r="D28" s="351"/>
      <c r="E28" s="351"/>
      <c r="F28" s="351"/>
      <c r="G28" s="351"/>
      <c r="H28" s="351"/>
      <c r="I28" s="351"/>
      <c r="J28" s="12">
        <f>SUMIF(BasicInput!$B$22:$B$26,Validation!$A$37,BasicInput!$G$22:$G$26)</f>
        <v>0</v>
      </c>
    </row>
    <row r="29" spans="1:11">
      <c r="A29" s="351" t="s">
        <v>694</v>
      </c>
      <c r="B29" s="351"/>
      <c r="C29" s="351"/>
      <c r="D29" s="351"/>
      <c r="E29" s="351"/>
      <c r="F29" s="351"/>
      <c r="G29" s="351"/>
      <c r="H29" s="351"/>
      <c r="I29" s="351"/>
      <c r="J29" s="12">
        <f>SUMIF(BasicInput!$B$22:$B$26,Validation!$A$38,BasicInput!$G$22:$G$26)</f>
        <v>0</v>
      </c>
    </row>
    <row r="30" spans="1:11">
      <c r="A30" s="520" t="s">
        <v>695</v>
      </c>
      <c r="B30" s="524"/>
      <c r="C30" s="524"/>
      <c r="D30" s="524"/>
      <c r="E30" s="524"/>
      <c r="F30" s="524"/>
      <c r="G30" s="524"/>
      <c r="H30" s="524"/>
      <c r="I30" s="521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0" t="s">
        <v>696</v>
      </c>
      <c r="B31" s="524"/>
      <c r="C31" s="524"/>
      <c r="D31" s="524"/>
      <c r="E31" s="524"/>
      <c r="F31" s="524"/>
      <c r="G31" s="524"/>
      <c r="H31" s="524"/>
      <c r="I31" s="521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0" t="s">
        <v>697</v>
      </c>
      <c r="B32" s="524"/>
      <c r="C32" s="524"/>
      <c r="D32" s="524"/>
      <c r="E32" s="524"/>
      <c r="F32" s="524"/>
      <c r="G32" s="524"/>
      <c r="H32" s="524"/>
      <c r="I32" s="521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0" t="s">
        <v>698</v>
      </c>
      <c r="B33" s="524"/>
      <c r="C33" s="524"/>
      <c r="D33" s="524"/>
      <c r="E33" s="524"/>
      <c r="F33" s="524"/>
      <c r="G33" s="524"/>
      <c r="H33" s="524"/>
      <c r="I33" s="521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0" t="s">
        <v>699</v>
      </c>
      <c r="B34" s="524"/>
      <c r="C34" s="524"/>
      <c r="D34" s="524"/>
      <c r="E34" s="524"/>
      <c r="F34" s="524"/>
      <c r="G34" s="524"/>
      <c r="H34" s="524"/>
      <c r="I34" s="521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0" t="s">
        <v>700</v>
      </c>
      <c r="B35" s="524"/>
      <c r="C35" s="524"/>
      <c r="D35" s="524"/>
      <c r="E35" s="524"/>
      <c r="F35" s="524"/>
      <c r="G35" s="524"/>
      <c r="H35" s="524"/>
      <c r="I35" s="521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0" t="s">
        <v>701</v>
      </c>
      <c r="B36" s="524"/>
      <c r="C36" s="524"/>
      <c r="D36" s="524"/>
      <c r="E36" s="524"/>
      <c r="F36" s="524"/>
      <c r="G36" s="524"/>
      <c r="H36" s="524"/>
      <c r="I36" s="521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0" t="s">
        <v>702</v>
      </c>
      <c r="B37" s="524"/>
      <c r="C37" s="524"/>
      <c r="D37" s="524"/>
      <c r="E37" s="524"/>
      <c r="F37" s="524"/>
      <c r="G37" s="524"/>
      <c r="H37" s="524"/>
      <c r="I37" s="521"/>
      <c r="J37" s="13">
        <f>MAX($P$47,0)</f>
        <v>0</v>
      </c>
      <c r="K37" s="15"/>
    </row>
    <row r="38" spans="1:17">
      <c r="A38" s="522" t="s">
        <v>703</v>
      </c>
      <c r="B38" s="565"/>
      <c r="C38" s="565"/>
      <c r="D38" s="565"/>
      <c r="E38" s="565"/>
      <c r="F38" s="565"/>
      <c r="G38" s="565"/>
      <c r="H38" s="565"/>
      <c r="I38" s="523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41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47</v>
      </c>
      <c r="I41" s="10" t="s">
        <v>48</v>
      </c>
      <c r="J41" s="10" t="s">
        <v>49</v>
      </c>
      <c r="K41" s="10" t="s">
        <v>50</v>
      </c>
      <c r="L41" s="10" t="s">
        <v>51</v>
      </c>
      <c r="M41" s="10" t="s">
        <v>52</v>
      </c>
      <c r="N41" s="10" t="s">
        <v>53</v>
      </c>
      <c r="O41" s="10" t="s">
        <v>704</v>
      </c>
      <c r="P41" s="10" t="s">
        <v>705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0" t="s">
        <v>38</v>
      </c>
      <c r="C47" s="524"/>
      <c r="D47" s="524"/>
      <c r="E47" s="524"/>
      <c r="F47" s="524"/>
      <c r="G47" s="524"/>
      <c r="H47" s="13">
        <f>SUM(H42:H46)</f>
        <v>0</v>
      </c>
      <c r="I47" s="520"/>
      <c r="J47" s="524"/>
      <c r="K47" s="524"/>
      <c r="L47" s="524"/>
      <c r="M47" s="521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7" t="s">
        <v>1746</v>
      </c>
      <c r="B1" s="527"/>
      <c r="C1" s="527"/>
      <c r="D1" s="527"/>
      <c r="E1" s="527"/>
      <c r="F1" s="527"/>
      <c r="G1" s="527"/>
      <c r="H1" s="527"/>
      <c r="I1" s="527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1743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0" t="s">
        <v>1747</v>
      </c>
      <c r="B14" s="524"/>
      <c r="C14" s="524"/>
      <c r="D14" s="524"/>
      <c r="E14" s="524"/>
      <c r="F14" s="524"/>
      <c r="G14" s="524"/>
      <c r="H14" s="521"/>
      <c r="I14" s="13">
        <f>SUM(I4:I13)</f>
        <v>0</v>
      </c>
      <c r="J14" s="15"/>
    </row>
    <row r="15" spans="1:10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12">
        <f>BasicInput!$D$49</f>
        <v>0</v>
      </c>
    </row>
    <row r="16" spans="1:10">
      <c r="A16" s="351" t="s">
        <v>62</v>
      </c>
      <c r="B16" s="351"/>
      <c r="C16" s="351"/>
      <c r="D16" s="351"/>
      <c r="E16" s="351"/>
      <c r="F16" s="351"/>
      <c r="G16" s="351"/>
      <c r="H16" s="351"/>
      <c r="I16" s="12">
        <f>BasicInput!$D$50</f>
        <v>0</v>
      </c>
    </row>
    <row r="17" spans="1:10">
      <c r="A17" s="351" t="s">
        <v>63</v>
      </c>
      <c r="B17" s="351"/>
      <c r="C17" s="351"/>
      <c r="D17" s="351"/>
      <c r="E17" s="351"/>
      <c r="F17" s="351"/>
      <c r="G17" s="351"/>
      <c r="H17" s="351"/>
      <c r="I17" s="12">
        <f>BasicInput!$D$51</f>
        <v>0</v>
      </c>
    </row>
    <row r="18" spans="1:10">
      <c r="A18" s="351" t="s">
        <v>843</v>
      </c>
      <c r="B18" s="351"/>
      <c r="C18" s="351"/>
      <c r="D18" s="351"/>
      <c r="E18" s="351"/>
      <c r="F18" s="351"/>
      <c r="G18" s="351"/>
      <c r="H18" s="351"/>
      <c r="I18" s="12">
        <f>BasicInput!$D$52</f>
        <v>0</v>
      </c>
    </row>
    <row r="19" spans="1:10">
      <c r="A19" s="520" t="s">
        <v>106</v>
      </c>
      <c r="B19" s="524"/>
      <c r="C19" s="524"/>
      <c r="D19" s="524"/>
      <c r="E19" s="524"/>
      <c r="F19" s="524"/>
      <c r="G19" s="524"/>
      <c r="H19" s="521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12">
        <f>BasicInput!$D$53</f>
        <v>0</v>
      </c>
    </row>
    <row r="21" spans="1:10">
      <c r="A21" s="520" t="s">
        <v>690</v>
      </c>
      <c r="B21" s="524"/>
      <c r="C21" s="524"/>
      <c r="D21" s="524"/>
      <c r="E21" s="524"/>
      <c r="F21" s="524"/>
      <c r="G21" s="524"/>
      <c r="H21" s="521"/>
      <c r="I21" s="13">
        <f>I14+I19+I20</f>
        <v>0</v>
      </c>
    </row>
    <row r="22" spans="1:10">
      <c r="A22" s="520" t="s">
        <v>118</v>
      </c>
      <c r="B22" s="524"/>
      <c r="C22" s="524"/>
      <c r="D22" s="524"/>
      <c r="E22" s="524"/>
      <c r="F22" s="524"/>
      <c r="G22" s="524"/>
      <c r="H22" s="521"/>
      <c r="I22" s="13">
        <f>I21/12</f>
        <v>0</v>
      </c>
    </row>
    <row r="23" spans="1:10">
      <c r="A23" s="520" t="s">
        <v>691</v>
      </c>
      <c r="B23" s="524"/>
      <c r="C23" s="524"/>
      <c r="D23" s="524"/>
      <c r="E23" s="524"/>
      <c r="F23" s="524"/>
      <c r="G23" s="524"/>
      <c r="H23" s="521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1" t="s">
        <v>692</v>
      </c>
      <c r="B24" s="351"/>
      <c r="C24" s="351"/>
      <c r="D24" s="351"/>
      <c r="E24" s="351"/>
      <c r="F24" s="351"/>
      <c r="G24" s="351"/>
      <c r="H24" s="351"/>
      <c r="I24" s="12">
        <f>'ExistingLoans&amp;Facilities&amp;RTR'!$N$103</f>
        <v>0</v>
      </c>
    </row>
    <row r="25" spans="1:10">
      <c r="A25" s="351" t="s">
        <v>693</v>
      </c>
      <c r="B25" s="351"/>
      <c r="C25" s="351"/>
      <c r="D25" s="351"/>
      <c r="E25" s="351"/>
      <c r="F25" s="351"/>
      <c r="G25" s="351"/>
      <c r="H25" s="351"/>
      <c r="I25" s="12">
        <f>BasicInput!$G$28</f>
        <v>3080000</v>
      </c>
    </row>
    <row r="26" spans="1:10">
      <c r="A26" s="351" t="s">
        <v>844</v>
      </c>
      <c r="B26" s="351"/>
      <c r="C26" s="351"/>
      <c r="D26" s="351"/>
      <c r="E26" s="351"/>
      <c r="F26" s="351"/>
      <c r="G26" s="351"/>
      <c r="H26" s="351"/>
      <c r="I26" s="12">
        <f>SUMIF(BasicInput!$B$22:$B$26,Validation!$A$37,BasicInput!$G$22:$G$26)</f>
        <v>0</v>
      </c>
    </row>
    <row r="27" spans="1:10">
      <c r="A27" s="351" t="s">
        <v>694</v>
      </c>
      <c r="B27" s="351"/>
      <c r="C27" s="351"/>
      <c r="D27" s="351"/>
      <c r="E27" s="351"/>
      <c r="F27" s="351"/>
      <c r="G27" s="351"/>
      <c r="H27" s="351"/>
      <c r="I27" s="12">
        <f>SUMIF(BasicInput!$B$22:$B$26,Validation!$A$38,BasicInput!$G$22:$G$26)</f>
        <v>0</v>
      </c>
    </row>
    <row r="28" spans="1:10">
      <c r="A28" s="520" t="s">
        <v>695</v>
      </c>
      <c r="B28" s="524"/>
      <c r="C28" s="524"/>
      <c r="D28" s="524"/>
      <c r="E28" s="524"/>
      <c r="F28" s="524"/>
      <c r="G28" s="524"/>
      <c r="H28" s="521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0" t="s">
        <v>696</v>
      </c>
      <c r="B29" s="524"/>
      <c r="C29" s="524"/>
      <c r="D29" s="524"/>
      <c r="E29" s="524"/>
      <c r="F29" s="524"/>
      <c r="G29" s="524"/>
      <c r="H29" s="521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0" t="s">
        <v>697</v>
      </c>
      <c r="B30" s="524"/>
      <c r="C30" s="524"/>
      <c r="D30" s="524"/>
      <c r="E30" s="524"/>
      <c r="F30" s="524"/>
      <c r="G30" s="524"/>
      <c r="H30" s="521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0" t="s">
        <v>698</v>
      </c>
      <c r="B31" s="524"/>
      <c r="C31" s="524"/>
      <c r="D31" s="524"/>
      <c r="E31" s="524"/>
      <c r="F31" s="524"/>
      <c r="G31" s="524"/>
      <c r="H31" s="521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0" t="s">
        <v>699</v>
      </c>
      <c r="B32" s="524"/>
      <c r="C32" s="524"/>
      <c r="D32" s="524"/>
      <c r="E32" s="524"/>
      <c r="F32" s="524"/>
      <c r="G32" s="524"/>
      <c r="H32" s="521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1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1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1"/>
      <c r="I35" s="13">
        <f>MAX($P$45,0)</f>
        <v>0</v>
      </c>
      <c r="J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23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7" t="s">
        <v>1748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1743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0" t="s">
        <v>1747</v>
      </c>
      <c r="B14" s="524"/>
      <c r="C14" s="524"/>
      <c r="D14" s="524"/>
      <c r="E14" s="524"/>
      <c r="F14" s="524"/>
      <c r="G14" s="524"/>
      <c r="H14" s="524"/>
      <c r="I14" s="524"/>
      <c r="J14" s="524"/>
      <c r="K14" s="521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12">
        <f>BasicInput!$D$49</f>
        <v>0</v>
      </c>
    </row>
    <row r="16" spans="1:13">
      <c r="A16" s="351" t="s">
        <v>62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12">
        <f>BasicInput!$D$50</f>
        <v>0</v>
      </c>
    </row>
    <row r="17" spans="1:13">
      <c r="A17" s="351" t="s">
        <v>63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12">
        <f>BasicInput!$D$51</f>
        <v>0</v>
      </c>
    </row>
    <row r="18" spans="1:13">
      <c r="A18" s="351" t="s">
        <v>843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12">
        <f>BasicInput!$D$52</f>
        <v>0</v>
      </c>
    </row>
    <row r="19" spans="1:13">
      <c r="A19" s="520" t="s">
        <v>106</v>
      </c>
      <c r="B19" s="524"/>
      <c r="C19" s="524"/>
      <c r="D19" s="524"/>
      <c r="E19" s="524"/>
      <c r="F19" s="524"/>
      <c r="G19" s="524"/>
      <c r="H19" s="524"/>
      <c r="I19" s="524"/>
      <c r="J19" s="524"/>
      <c r="K19" s="521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12">
        <f>BasicInput!$D$53</f>
        <v>0</v>
      </c>
    </row>
    <row r="21" spans="1:13">
      <c r="A21" s="520" t="s">
        <v>690</v>
      </c>
      <c r="B21" s="524"/>
      <c r="C21" s="524"/>
      <c r="D21" s="524"/>
      <c r="E21" s="524"/>
      <c r="F21" s="524"/>
      <c r="G21" s="524"/>
      <c r="H21" s="524"/>
      <c r="I21" s="524"/>
      <c r="J21" s="524"/>
      <c r="K21" s="521"/>
      <c r="L21" s="13">
        <f>L14+L19+L20</f>
        <v>0</v>
      </c>
    </row>
    <row r="22" spans="1:13">
      <c r="A22" s="520" t="s">
        <v>118</v>
      </c>
      <c r="B22" s="524"/>
      <c r="C22" s="524"/>
      <c r="D22" s="524"/>
      <c r="E22" s="524"/>
      <c r="F22" s="524"/>
      <c r="G22" s="524"/>
      <c r="H22" s="524"/>
      <c r="I22" s="524"/>
      <c r="J22" s="524"/>
      <c r="K22" s="521"/>
      <c r="L22" s="13">
        <f>L21/12</f>
        <v>0</v>
      </c>
    </row>
    <row r="23" spans="1:13">
      <c r="A23" s="520" t="s">
        <v>691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1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1" t="s">
        <v>692</v>
      </c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12">
        <f>'ExistingLoans&amp;Facilities&amp;RTR'!$N$103</f>
        <v>0</v>
      </c>
    </row>
    <row r="25" spans="1:13">
      <c r="A25" s="351" t="s">
        <v>693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12">
        <f>BasicInput!$G$28</f>
        <v>3080000</v>
      </c>
    </row>
    <row r="26" spans="1:13">
      <c r="A26" s="351" t="s">
        <v>844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12">
        <f>SUMIF(BasicInput!$B$22:$B$26,Validation!$A$37,BasicInput!$G$22:$G$26)</f>
        <v>0</v>
      </c>
    </row>
    <row r="27" spans="1:13">
      <c r="A27" s="351" t="s">
        <v>694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12">
        <f>SUMIF(BasicInput!$B$22:$B$26,Validation!$A$38,BasicInput!$G$22:$G$26)</f>
        <v>0</v>
      </c>
    </row>
    <row r="28" spans="1:13">
      <c r="A28" s="520" t="s">
        <v>695</v>
      </c>
      <c r="B28" s="524"/>
      <c r="C28" s="524"/>
      <c r="D28" s="524"/>
      <c r="E28" s="524"/>
      <c r="F28" s="524"/>
      <c r="G28" s="524"/>
      <c r="H28" s="524"/>
      <c r="I28" s="524"/>
      <c r="J28" s="524"/>
      <c r="K28" s="521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0" t="s">
        <v>696</v>
      </c>
      <c r="B29" s="524"/>
      <c r="C29" s="524"/>
      <c r="D29" s="524"/>
      <c r="E29" s="524"/>
      <c r="F29" s="524"/>
      <c r="G29" s="524"/>
      <c r="H29" s="524"/>
      <c r="I29" s="524"/>
      <c r="J29" s="524"/>
      <c r="K29" s="521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0" t="s">
        <v>697</v>
      </c>
      <c r="B30" s="524"/>
      <c r="C30" s="524"/>
      <c r="D30" s="524"/>
      <c r="E30" s="524"/>
      <c r="F30" s="524"/>
      <c r="G30" s="524"/>
      <c r="H30" s="524"/>
      <c r="I30" s="524"/>
      <c r="J30" s="524"/>
      <c r="K30" s="521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0" t="s">
        <v>698</v>
      </c>
      <c r="B31" s="524"/>
      <c r="C31" s="524"/>
      <c r="D31" s="524"/>
      <c r="E31" s="524"/>
      <c r="F31" s="524"/>
      <c r="G31" s="524"/>
      <c r="H31" s="524"/>
      <c r="I31" s="524"/>
      <c r="J31" s="524"/>
      <c r="K31" s="521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0" t="s">
        <v>699</v>
      </c>
      <c r="B32" s="524"/>
      <c r="C32" s="524"/>
      <c r="D32" s="524"/>
      <c r="E32" s="524"/>
      <c r="F32" s="524"/>
      <c r="G32" s="524"/>
      <c r="H32" s="524"/>
      <c r="I32" s="524"/>
      <c r="J32" s="524"/>
      <c r="K32" s="521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4"/>
      <c r="I33" s="524"/>
      <c r="J33" s="524"/>
      <c r="K33" s="521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4"/>
      <c r="I34" s="524"/>
      <c r="J34" s="524"/>
      <c r="K34" s="521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4"/>
      <c r="I35" s="524"/>
      <c r="J35" s="524"/>
      <c r="K35" s="521"/>
      <c r="L35" s="13">
        <f>MAX($P$45,0)</f>
        <v>0</v>
      </c>
      <c r="M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3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1749</v>
      </c>
      <c r="C1" s="2" t="s">
        <v>1750</v>
      </c>
      <c r="D1" s="2" t="s">
        <v>1751</v>
      </c>
      <c r="F1" s="2" t="s">
        <v>1752</v>
      </c>
      <c r="G1" s="2" t="s">
        <v>1751</v>
      </c>
      <c r="I1" s="2" t="s">
        <v>828</v>
      </c>
      <c r="J1" s="2" t="s">
        <v>1751</v>
      </c>
      <c r="L1" s="5" t="s">
        <v>1753</v>
      </c>
      <c r="M1" s="5" t="s">
        <v>1754</v>
      </c>
      <c r="N1" s="5" t="s">
        <v>1755</v>
      </c>
      <c r="O1" s="5" t="s">
        <v>1756</v>
      </c>
      <c r="P1" s="5" t="s">
        <v>1757</v>
      </c>
      <c r="Q1" s="5" t="s">
        <v>1758</v>
      </c>
      <c r="R1" s="5" t="s">
        <v>1759</v>
      </c>
      <c r="S1" s="5" t="s">
        <v>1760</v>
      </c>
      <c r="T1" s="5" t="s">
        <v>1761</v>
      </c>
      <c r="U1" s="5" t="s">
        <v>1762</v>
      </c>
      <c r="V1" s="5" t="s">
        <v>1763</v>
      </c>
      <c r="W1" s="5" t="s">
        <v>1764</v>
      </c>
      <c r="X1" s="5" t="s">
        <v>1765</v>
      </c>
      <c r="Y1" s="5" t="s">
        <v>1766</v>
      </c>
      <c r="Z1" s="5" t="s">
        <v>1767</v>
      </c>
      <c r="AA1" s="5" t="s">
        <v>1768</v>
      </c>
    </row>
    <row r="2" spans="1:27" ht="25.5">
      <c r="A2" s="3" t="s">
        <v>1750</v>
      </c>
      <c r="C2" s="3" t="s">
        <v>1769</v>
      </c>
      <c r="D2" s="4">
        <v>6.64</v>
      </c>
      <c r="F2" s="3" t="s">
        <v>1769</v>
      </c>
      <c r="G2" s="4">
        <v>3.95</v>
      </c>
      <c r="I2" s="3" t="s">
        <v>1770</v>
      </c>
      <c r="J2" s="4">
        <v>10.73</v>
      </c>
      <c r="L2" s="1" t="s">
        <v>1771</v>
      </c>
      <c r="M2" s="1" t="s">
        <v>1772</v>
      </c>
      <c r="N2" s="1" t="s">
        <v>1773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1752</v>
      </c>
      <c r="C3" s="3" t="s">
        <v>1774</v>
      </c>
      <c r="D3" s="4">
        <v>5.8</v>
      </c>
      <c r="F3" s="3" t="s">
        <v>1774</v>
      </c>
      <c r="G3" s="4">
        <v>3.95</v>
      </c>
      <c r="I3" s="3" t="s">
        <v>1775</v>
      </c>
      <c r="J3" s="4">
        <v>12.9</v>
      </c>
      <c r="L3" s="1" t="s">
        <v>1771</v>
      </c>
      <c r="M3" s="1" t="s">
        <v>1776</v>
      </c>
      <c r="N3" s="1" t="s">
        <v>1773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828</v>
      </c>
      <c r="C4" s="3" t="s">
        <v>1777</v>
      </c>
      <c r="D4" s="4">
        <v>3.57</v>
      </c>
      <c r="F4" s="3" t="s">
        <v>1777</v>
      </c>
      <c r="G4" s="4">
        <v>3.57</v>
      </c>
      <c r="I4" s="3" t="s">
        <v>1778</v>
      </c>
      <c r="J4" s="4">
        <v>9.65</v>
      </c>
      <c r="L4" s="1" t="s">
        <v>1771</v>
      </c>
      <c r="M4" s="1" t="s">
        <v>1779</v>
      </c>
      <c r="N4" s="1" t="s">
        <v>1773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1780</v>
      </c>
      <c r="D5" s="4">
        <v>9.69</v>
      </c>
      <c r="F5" s="3" t="s">
        <v>1780</v>
      </c>
      <c r="G5" s="4">
        <v>3.95</v>
      </c>
      <c r="I5" s="3" t="s">
        <v>1781</v>
      </c>
      <c r="J5" s="4">
        <v>6.94</v>
      </c>
      <c r="L5" s="1" t="s">
        <v>1771</v>
      </c>
      <c r="M5" s="1" t="s">
        <v>1782</v>
      </c>
      <c r="N5" s="1" t="s">
        <v>1773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1783</v>
      </c>
      <c r="C6" s="3" t="s">
        <v>1784</v>
      </c>
      <c r="D6" s="4">
        <v>6.64</v>
      </c>
      <c r="F6" s="3" t="s">
        <v>1784</v>
      </c>
      <c r="G6" s="4">
        <v>3.95</v>
      </c>
      <c r="I6" s="3" t="s">
        <v>1785</v>
      </c>
      <c r="J6" s="4">
        <v>10.18</v>
      </c>
      <c r="L6" s="1" t="s">
        <v>1771</v>
      </c>
      <c r="M6" s="1" t="s">
        <v>1772</v>
      </c>
      <c r="N6" s="1" t="s">
        <v>1786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1787</v>
      </c>
      <c r="D7" s="4">
        <v>9.42</v>
      </c>
      <c r="F7" s="3" t="s">
        <v>1787</v>
      </c>
      <c r="G7" s="4">
        <v>3.95</v>
      </c>
      <c r="I7" s="3" t="s">
        <v>1788</v>
      </c>
      <c r="J7" s="4">
        <v>13.01</v>
      </c>
      <c r="L7" s="1" t="s">
        <v>1771</v>
      </c>
      <c r="M7" s="1" t="s">
        <v>1776</v>
      </c>
      <c r="N7" s="1" t="s">
        <v>1786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1789</v>
      </c>
      <c r="C8" s="3" t="s">
        <v>1790</v>
      </c>
      <c r="D8" s="4">
        <v>15.98</v>
      </c>
      <c r="F8" s="3" t="s">
        <v>1790</v>
      </c>
      <c r="G8" s="4">
        <v>3.95</v>
      </c>
      <c r="I8" s="3" t="s">
        <v>1791</v>
      </c>
      <c r="J8" s="4">
        <v>9.4499999999999993</v>
      </c>
      <c r="L8" s="1" t="s">
        <v>1771</v>
      </c>
      <c r="M8" s="1" t="s">
        <v>1779</v>
      </c>
      <c r="N8" s="1" t="s">
        <v>1786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1792</v>
      </c>
      <c r="C9" s="3" t="s">
        <v>1793</v>
      </c>
      <c r="D9" s="4">
        <v>6.64</v>
      </c>
      <c r="F9" s="3" t="s">
        <v>1793</v>
      </c>
      <c r="G9" s="4">
        <v>3.95</v>
      </c>
      <c r="I9" s="3" t="s">
        <v>1794</v>
      </c>
      <c r="J9" s="4">
        <v>6.94</v>
      </c>
      <c r="L9" s="1" t="s">
        <v>1771</v>
      </c>
      <c r="M9" s="1" t="s">
        <v>1782</v>
      </c>
      <c r="N9" s="1" t="s">
        <v>1786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1795</v>
      </c>
      <c r="C10" s="3" t="s">
        <v>1796</v>
      </c>
      <c r="D10" s="4">
        <v>8.61</v>
      </c>
      <c r="F10" s="3" t="s">
        <v>1796</v>
      </c>
      <c r="G10" s="4">
        <v>3.95</v>
      </c>
      <c r="I10" s="3" t="s">
        <v>1797</v>
      </c>
      <c r="J10" s="4">
        <v>18.14</v>
      </c>
      <c r="L10" s="1" t="s">
        <v>1771</v>
      </c>
      <c r="M10" s="1" t="s">
        <v>1772</v>
      </c>
      <c r="N10" s="1" t="s">
        <v>1798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1799</v>
      </c>
      <c r="C11" s="3" t="s">
        <v>1800</v>
      </c>
      <c r="D11" s="4">
        <v>9.69</v>
      </c>
      <c r="F11" s="3" t="s">
        <v>1800</v>
      </c>
      <c r="G11" s="4">
        <v>3.95</v>
      </c>
      <c r="I11" s="3" t="s">
        <v>1801</v>
      </c>
      <c r="J11" s="4">
        <v>10.38</v>
      </c>
      <c r="L11" s="1" t="s">
        <v>1771</v>
      </c>
      <c r="M11" s="1" t="s">
        <v>1776</v>
      </c>
      <c r="N11" s="1" t="s">
        <v>1798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1802</v>
      </c>
      <c r="C12" s="3" t="s">
        <v>1803</v>
      </c>
      <c r="D12" s="4">
        <v>12.26</v>
      </c>
      <c r="F12" s="3" t="s">
        <v>1803</v>
      </c>
      <c r="G12" s="4">
        <v>3.95</v>
      </c>
      <c r="I12" s="3" t="s">
        <v>1804</v>
      </c>
      <c r="J12" s="4">
        <v>5.4</v>
      </c>
      <c r="L12" s="1" t="s">
        <v>1771</v>
      </c>
      <c r="M12" s="1" t="s">
        <v>1779</v>
      </c>
      <c r="N12" s="1" t="s">
        <v>1798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1805</v>
      </c>
      <c r="C13" s="3" t="s">
        <v>1806</v>
      </c>
      <c r="D13" s="4">
        <v>6.09</v>
      </c>
      <c r="F13" s="3" t="s">
        <v>1806</v>
      </c>
      <c r="G13" s="4">
        <v>3.95</v>
      </c>
      <c r="I13" s="3" t="s">
        <v>1807</v>
      </c>
      <c r="J13" s="4">
        <v>18.5</v>
      </c>
      <c r="L13" s="1" t="s">
        <v>1771</v>
      </c>
      <c r="M13" s="1" t="s">
        <v>1782</v>
      </c>
      <c r="N13" s="1" t="s">
        <v>1798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1808</v>
      </c>
      <c r="C14" s="3" t="s">
        <v>1809</v>
      </c>
      <c r="D14" s="4">
        <v>6.64</v>
      </c>
      <c r="F14" s="3" t="s">
        <v>1809</v>
      </c>
      <c r="G14" s="4">
        <v>3.95</v>
      </c>
      <c r="I14" s="3" t="s">
        <v>1810</v>
      </c>
      <c r="J14" s="4">
        <v>18.5</v>
      </c>
      <c r="L14" s="1" t="s">
        <v>1771</v>
      </c>
      <c r="M14" s="1" t="s">
        <v>1811</v>
      </c>
      <c r="N14" s="1" t="s">
        <v>1773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1812</v>
      </c>
      <c r="C15" s="3" t="s">
        <v>1813</v>
      </c>
      <c r="D15" s="4">
        <v>7.43</v>
      </c>
      <c r="F15" s="3" t="s">
        <v>1813</v>
      </c>
      <c r="G15" s="4">
        <v>7.43</v>
      </c>
      <c r="I15" s="3" t="s">
        <v>1814</v>
      </c>
      <c r="J15" s="4">
        <v>13.41</v>
      </c>
      <c r="L15" s="1" t="s">
        <v>1771</v>
      </c>
      <c r="M15" s="1" t="s">
        <v>1815</v>
      </c>
      <c r="N15" s="1" t="s">
        <v>1773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1816</v>
      </c>
      <c r="C16" s="3" t="s">
        <v>1817</v>
      </c>
      <c r="D16" s="4">
        <v>10.17</v>
      </c>
      <c r="F16" s="3" t="s">
        <v>1818</v>
      </c>
      <c r="G16" s="4">
        <v>5.43</v>
      </c>
      <c r="I16" s="3" t="s">
        <v>1819</v>
      </c>
      <c r="J16" s="4">
        <v>12.91</v>
      </c>
      <c r="L16" s="1" t="s">
        <v>1771</v>
      </c>
      <c r="M16" s="1" t="s">
        <v>1820</v>
      </c>
      <c r="N16" s="1" t="s">
        <v>1773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1821</v>
      </c>
      <c r="D17" s="4">
        <v>10.17</v>
      </c>
      <c r="F17" s="3" t="s">
        <v>1817</v>
      </c>
      <c r="G17" s="4">
        <v>5.43</v>
      </c>
      <c r="I17" s="3" t="s">
        <v>1822</v>
      </c>
      <c r="J17" s="4">
        <v>12.47</v>
      </c>
      <c r="L17" s="1" t="s">
        <v>1771</v>
      </c>
      <c r="M17" s="1" t="s">
        <v>1823</v>
      </c>
      <c r="N17" s="1" t="s">
        <v>1773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1824</v>
      </c>
      <c r="C18" s="3" t="s">
        <v>1825</v>
      </c>
      <c r="D18" s="4">
        <v>2.7</v>
      </c>
      <c r="F18" s="3" t="s">
        <v>1821</v>
      </c>
      <c r="G18" s="4">
        <v>5.43</v>
      </c>
      <c r="I18" s="3" t="s">
        <v>1826</v>
      </c>
      <c r="J18" s="4">
        <v>12.9</v>
      </c>
      <c r="L18" s="1" t="s">
        <v>1771</v>
      </c>
      <c r="M18" s="1" t="s">
        <v>1811</v>
      </c>
      <c r="N18" s="1" t="s">
        <v>1786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31</v>
      </c>
      <c r="B19" s="1">
        <v>240</v>
      </c>
      <c r="C19" s="3" t="s">
        <v>1827</v>
      </c>
      <c r="D19" s="4">
        <v>8.5</v>
      </c>
      <c r="F19" s="3" t="s">
        <v>1825</v>
      </c>
      <c r="G19" s="4">
        <v>5.43</v>
      </c>
      <c r="I19" s="3" t="s">
        <v>1828</v>
      </c>
      <c r="J19" s="4">
        <v>9.06</v>
      </c>
      <c r="L19" s="1" t="s">
        <v>1771</v>
      </c>
      <c r="M19" s="1" t="s">
        <v>1815</v>
      </c>
      <c r="N19" s="1" t="s">
        <v>1786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1829</v>
      </c>
      <c r="B20" s="1">
        <v>240</v>
      </c>
      <c r="C20" s="3" t="s">
        <v>1830</v>
      </c>
      <c r="D20" s="4">
        <v>10.99</v>
      </c>
      <c r="F20" s="3" t="s">
        <v>1827</v>
      </c>
      <c r="G20" s="4">
        <v>5.43</v>
      </c>
      <c r="I20" s="3" t="s">
        <v>1831</v>
      </c>
      <c r="J20" s="4">
        <v>11.95</v>
      </c>
      <c r="L20" s="1" t="s">
        <v>1771</v>
      </c>
      <c r="M20" s="1" t="s">
        <v>1820</v>
      </c>
      <c r="N20" s="1" t="s">
        <v>1786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1832</v>
      </c>
      <c r="B21" s="1">
        <v>120</v>
      </c>
      <c r="C21" s="3" t="s">
        <v>1833</v>
      </c>
      <c r="D21" s="4">
        <v>9.48</v>
      </c>
      <c r="F21" s="3" t="s">
        <v>1834</v>
      </c>
      <c r="G21" s="4">
        <v>5.04</v>
      </c>
      <c r="I21" s="3" t="s">
        <v>1835</v>
      </c>
      <c r="J21" s="4">
        <v>11.95</v>
      </c>
      <c r="L21" s="1" t="s">
        <v>1771</v>
      </c>
      <c r="M21" s="1" t="s">
        <v>1823</v>
      </c>
      <c r="N21" s="1" t="s">
        <v>1786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1836</v>
      </c>
      <c r="B22" s="1">
        <v>240</v>
      </c>
      <c r="C22" s="3" t="s">
        <v>1837</v>
      </c>
      <c r="D22" s="4">
        <v>9.48</v>
      </c>
      <c r="F22" s="3" t="s">
        <v>1830</v>
      </c>
      <c r="G22" s="4">
        <v>5.04</v>
      </c>
      <c r="I22" s="3" t="s">
        <v>1838</v>
      </c>
      <c r="J22" s="4">
        <v>12.45</v>
      </c>
      <c r="L22" s="1" t="s">
        <v>1771</v>
      </c>
      <c r="M22" s="1" t="s">
        <v>1811</v>
      </c>
      <c r="N22" s="1" t="s">
        <v>1798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1839</v>
      </c>
      <c r="B23" s="1">
        <v>120</v>
      </c>
      <c r="C23" s="3" t="s">
        <v>1840</v>
      </c>
      <c r="D23" s="4">
        <v>8.11</v>
      </c>
      <c r="F23" s="3" t="s">
        <v>1833</v>
      </c>
      <c r="G23" s="4">
        <v>5.31</v>
      </c>
      <c r="I23" s="3" t="s">
        <v>1841</v>
      </c>
      <c r="J23" s="4">
        <v>15.8</v>
      </c>
      <c r="L23" s="1" t="s">
        <v>1771</v>
      </c>
      <c r="M23" s="1" t="s">
        <v>1815</v>
      </c>
      <c r="N23" s="1" t="s">
        <v>1798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1842</v>
      </c>
      <c r="B24" s="1">
        <v>240</v>
      </c>
      <c r="C24" s="3" t="s">
        <v>1843</v>
      </c>
      <c r="D24" s="4">
        <v>8.81</v>
      </c>
      <c r="F24" s="3" t="s">
        <v>1844</v>
      </c>
      <c r="G24" s="4">
        <v>5.31</v>
      </c>
      <c r="I24" s="3" t="s">
        <v>1845</v>
      </c>
      <c r="J24" s="4">
        <v>11</v>
      </c>
      <c r="L24" s="1" t="s">
        <v>1771</v>
      </c>
      <c r="M24" s="1" t="s">
        <v>1820</v>
      </c>
      <c r="N24" s="1" t="s">
        <v>1798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1846</v>
      </c>
      <c r="B25" s="1">
        <v>240</v>
      </c>
      <c r="C25" s="3" t="s">
        <v>1847</v>
      </c>
      <c r="D25" s="4">
        <v>9.48</v>
      </c>
      <c r="F25" s="3" t="s">
        <v>1837</v>
      </c>
      <c r="G25" s="4">
        <v>5.31</v>
      </c>
      <c r="I25" s="3" t="s">
        <v>829</v>
      </c>
      <c r="J25" s="4">
        <v>6.5</v>
      </c>
      <c r="L25" s="1" t="s">
        <v>1771</v>
      </c>
      <c r="M25" s="1" t="s">
        <v>1823</v>
      </c>
      <c r="N25" s="1" t="s">
        <v>1798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1848</v>
      </c>
      <c r="B26" s="1">
        <v>240</v>
      </c>
      <c r="C26" s="3" t="s">
        <v>1849</v>
      </c>
      <c r="D26" s="4">
        <v>7.45</v>
      </c>
      <c r="F26" s="3" t="s">
        <v>1840</v>
      </c>
      <c r="G26" s="4">
        <v>5.31</v>
      </c>
      <c r="I26" s="3" t="s">
        <v>1850</v>
      </c>
      <c r="J26" s="4">
        <v>12.36</v>
      </c>
      <c r="L26" s="1" t="s">
        <v>1771</v>
      </c>
      <c r="M26" s="1" t="s">
        <v>1851</v>
      </c>
      <c r="N26" s="1" t="s">
        <v>1773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1852</v>
      </c>
      <c r="B27" s="1">
        <v>240</v>
      </c>
      <c r="C27" s="3" t="s">
        <v>1853</v>
      </c>
      <c r="D27" s="4">
        <v>7.15</v>
      </c>
      <c r="F27" s="3" t="s">
        <v>1843</v>
      </c>
      <c r="G27" s="4">
        <v>5.31</v>
      </c>
      <c r="I27" s="3" t="s">
        <v>1854</v>
      </c>
      <c r="J27" s="7">
        <v>8.0399999999999991</v>
      </c>
      <c r="L27" s="1" t="s">
        <v>1771</v>
      </c>
      <c r="M27" s="1" t="s">
        <v>1855</v>
      </c>
      <c r="N27" s="1" t="s">
        <v>1773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1856</v>
      </c>
      <c r="B28" s="1">
        <v>240</v>
      </c>
      <c r="C28" s="3" t="s">
        <v>1857</v>
      </c>
      <c r="D28" s="4">
        <v>6.29</v>
      </c>
      <c r="F28" s="3" t="s">
        <v>1847</v>
      </c>
      <c r="G28" s="4">
        <v>5.31</v>
      </c>
      <c r="I28" s="3" t="s">
        <v>1858</v>
      </c>
      <c r="J28" s="4">
        <v>8.75</v>
      </c>
      <c r="L28" s="1" t="s">
        <v>1771</v>
      </c>
      <c r="M28" s="1" t="s">
        <v>1859</v>
      </c>
      <c r="N28" s="1" t="s">
        <v>1773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1860</v>
      </c>
      <c r="B29" s="1">
        <v>120</v>
      </c>
      <c r="C29" s="3" t="s">
        <v>1861</v>
      </c>
      <c r="D29" s="4">
        <v>10.11</v>
      </c>
      <c r="F29" s="3" t="s">
        <v>1849</v>
      </c>
      <c r="G29" s="4">
        <v>5.31</v>
      </c>
      <c r="I29" s="3" t="s">
        <v>1862</v>
      </c>
      <c r="J29" s="4">
        <v>4.66</v>
      </c>
      <c r="L29" s="1" t="s">
        <v>1771</v>
      </c>
      <c r="M29" s="1" t="s">
        <v>1863</v>
      </c>
      <c r="N29" s="1" t="s">
        <v>1773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1864</v>
      </c>
      <c r="B30" s="1">
        <v>120</v>
      </c>
      <c r="C30" s="3" t="s">
        <v>1865</v>
      </c>
      <c r="D30" s="4">
        <v>7.98</v>
      </c>
      <c r="F30" s="3" t="s">
        <v>1853</v>
      </c>
      <c r="G30" s="4">
        <v>5.31</v>
      </c>
      <c r="I30" s="3" t="s">
        <v>1866</v>
      </c>
      <c r="J30" s="4">
        <v>15.78</v>
      </c>
      <c r="L30" s="1" t="s">
        <v>1771</v>
      </c>
      <c r="M30" s="1" t="s">
        <v>1851</v>
      </c>
      <c r="N30" s="1" t="s">
        <v>1786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1867</v>
      </c>
      <c r="B31" s="1">
        <v>240</v>
      </c>
      <c r="C31" s="3" t="s">
        <v>1868</v>
      </c>
      <c r="D31" s="4">
        <v>9.64</v>
      </c>
      <c r="F31" s="3" t="s">
        <v>1857</v>
      </c>
      <c r="G31" s="4">
        <v>5.31</v>
      </c>
      <c r="I31" s="3" t="s">
        <v>1869</v>
      </c>
      <c r="J31" s="4">
        <v>9.4600000000000009</v>
      </c>
      <c r="L31" s="1" t="s">
        <v>1771</v>
      </c>
      <c r="M31" s="1" t="s">
        <v>1855</v>
      </c>
      <c r="N31" s="1" t="s">
        <v>1786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1870</v>
      </c>
      <c r="B32" s="1">
        <v>240</v>
      </c>
      <c r="C32" s="3" t="s">
        <v>1871</v>
      </c>
      <c r="D32" s="4">
        <v>9.1300000000000008</v>
      </c>
      <c r="F32" s="3" t="s">
        <v>1861</v>
      </c>
      <c r="G32" s="4">
        <v>5.31</v>
      </c>
      <c r="I32" s="3" t="s">
        <v>1872</v>
      </c>
      <c r="J32" s="4">
        <v>4.7699999999999996</v>
      </c>
      <c r="L32" s="1" t="s">
        <v>1771</v>
      </c>
      <c r="M32" s="1" t="s">
        <v>1859</v>
      </c>
      <c r="N32" s="1" t="s">
        <v>1786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1873</v>
      </c>
      <c r="B33" s="1">
        <v>240</v>
      </c>
      <c r="C33" s="3" t="s">
        <v>1874</v>
      </c>
      <c r="D33" s="4">
        <v>7.98</v>
      </c>
      <c r="F33" s="3" t="s">
        <v>1865</v>
      </c>
      <c r="G33" s="4">
        <v>7.98</v>
      </c>
      <c r="I33" s="3" t="s">
        <v>1875</v>
      </c>
      <c r="J33" s="4">
        <v>11.22</v>
      </c>
      <c r="L33" s="1" t="s">
        <v>1771</v>
      </c>
      <c r="M33" s="1" t="s">
        <v>1863</v>
      </c>
      <c r="N33" s="1" t="s">
        <v>1786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1876</v>
      </c>
      <c r="B34" s="1">
        <v>180</v>
      </c>
      <c r="C34" s="3" t="s">
        <v>1791</v>
      </c>
      <c r="D34" s="4">
        <v>9.4499999999999993</v>
      </c>
      <c r="F34" s="3" t="s">
        <v>1868</v>
      </c>
      <c r="G34" s="4">
        <v>5.04</v>
      </c>
      <c r="I34" s="3" t="s">
        <v>1877</v>
      </c>
      <c r="J34" s="4">
        <v>10.36</v>
      </c>
      <c r="L34" s="1" t="s">
        <v>1771</v>
      </c>
      <c r="M34" s="1" t="s">
        <v>1851</v>
      </c>
      <c r="N34" s="1" t="s">
        <v>1798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1878</v>
      </c>
      <c r="B35" s="1">
        <v>180</v>
      </c>
      <c r="C35" s="3" t="s">
        <v>1794</v>
      </c>
      <c r="D35" s="4">
        <v>6.94</v>
      </c>
      <c r="F35" s="3" t="s">
        <v>1871</v>
      </c>
      <c r="G35" s="4">
        <v>9.1300000000000008</v>
      </c>
      <c r="I35" s="3" t="s">
        <v>1879</v>
      </c>
      <c r="J35" s="4">
        <v>1.95</v>
      </c>
      <c r="L35" s="1" t="s">
        <v>1771</v>
      </c>
      <c r="M35" s="1" t="s">
        <v>1855</v>
      </c>
      <c r="N35" s="1" t="s">
        <v>1798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1880</v>
      </c>
      <c r="B36" s="1">
        <v>120</v>
      </c>
      <c r="C36" s="3" t="s">
        <v>1881</v>
      </c>
      <c r="D36" s="4">
        <v>8.58</v>
      </c>
      <c r="F36" s="3" t="s">
        <v>1874</v>
      </c>
      <c r="G36" s="4">
        <v>7.98</v>
      </c>
      <c r="I36" s="3" t="s">
        <v>1882</v>
      </c>
      <c r="J36" s="4">
        <v>15.93</v>
      </c>
      <c r="L36" s="1" t="s">
        <v>1771</v>
      </c>
      <c r="M36" s="1" t="s">
        <v>1859</v>
      </c>
      <c r="N36" s="1" t="s">
        <v>1798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1883</v>
      </c>
      <c r="B37" s="1">
        <v>120</v>
      </c>
      <c r="C37" s="3" t="s">
        <v>1884</v>
      </c>
      <c r="D37" s="4">
        <v>7.6</v>
      </c>
      <c r="F37" s="3" t="s">
        <v>1791</v>
      </c>
      <c r="G37" s="4">
        <v>9.4499999999999993</v>
      </c>
      <c r="I37" s="3" t="s">
        <v>1885</v>
      </c>
      <c r="J37" s="4">
        <v>6.5</v>
      </c>
      <c r="L37" s="1" t="s">
        <v>1771</v>
      </c>
      <c r="M37" s="1" t="s">
        <v>1863</v>
      </c>
      <c r="N37" s="1" t="s">
        <v>1798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1886</v>
      </c>
      <c r="B38" s="1">
        <v>240</v>
      </c>
      <c r="C38" s="3" t="s">
        <v>1887</v>
      </c>
      <c r="D38" s="4">
        <v>7.17</v>
      </c>
      <c r="F38" s="3" t="s">
        <v>1794</v>
      </c>
      <c r="G38" s="4">
        <v>6.94</v>
      </c>
      <c r="I38" s="3" t="s">
        <v>1888</v>
      </c>
      <c r="J38" s="4">
        <v>12.7</v>
      </c>
      <c r="L38" s="1" t="s">
        <v>1771</v>
      </c>
      <c r="M38" s="1" t="s">
        <v>1889</v>
      </c>
      <c r="N38" s="1" t="s">
        <v>1773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1890</v>
      </c>
      <c r="D39" s="4">
        <v>6.49</v>
      </c>
      <c r="F39" s="3" t="s">
        <v>1881</v>
      </c>
      <c r="G39" s="4">
        <v>8.58</v>
      </c>
      <c r="I39" s="3" t="s">
        <v>1891</v>
      </c>
      <c r="J39" s="4">
        <v>12.8</v>
      </c>
      <c r="L39" s="1" t="s">
        <v>1771</v>
      </c>
      <c r="M39" s="1" t="s">
        <v>1892</v>
      </c>
      <c r="N39" s="1" t="s">
        <v>1773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1893</v>
      </c>
      <c r="C40" s="3" t="s">
        <v>1894</v>
      </c>
      <c r="D40" s="4">
        <v>7.17</v>
      </c>
      <c r="F40" s="3" t="s">
        <v>1884</v>
      </c>
      <c r="G40" s="4">
        <v>5.04</v>
      </c>
      <c r="I40" s="3" t="s">
        <v>1895</v>
      </c>
      <c r="J40" s="4">
        <v>10.88</v>
      </c>
      <c r="L40" s="1" t="s">
        <v>1771</v>
      </c>
      <c r="M40" s="1" t="s">
        <v>1896</v>
      </c>
      <c r="N40" s="1" t="s">
        <v>1773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1771</v>
      </c>
      <c r="C41" s="3" t="s">
        <v>1897</v>
      </c>
      <c r="D41" s="4">
        <v>4.34</v>
      </c>
      <c r="F41" s="3" t="s">
        <v>1887</v>
      </c>
      <c r="G41" s="4">
        <v>3.95</v>
      </c>
      <c r="I41" s="3" t="s">
        <v>1898</v>
      </c>
      <c r="J41" s="4">
        <v>6.5</v>
      </c>
      <c r="L41" s="1" t="s">
        <v>1771</v>
      </c>
      <c r="M41" s="1" t="s">
        <v>1889</v>
      </c>
      <c r="N41" s="1" t="s">
        <v>1786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1899</v>
      </c>
      <c r="C42" s="3" t="s">
        <v>1900</v>
      </c>
      <c r="D42" s="4">
        <v>5.33</v>
      </c>
      <c r="F42" s="3" t="s">
        <v>1890</v>
      </c>
      <c r="G42" s="4">
        <v>3.95</v>
      </c>
      <c r="I42" s="3" t="s">
        <v>1901</v>
      </c>
      <c r="J42" s="4">
        <v>7.36</v>
      </c>
      <c r="L42" s="1" t="s">
        <v>1771</v>
      </c>
      <c r="M42" s="1" t="s">
        <v>1892</v>
      </c>
      <c r="N42" s="1" t="s">
        <v>1786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1902</v>
      </c>
      <c r="C43" s="3" t="s">
        <v>1903</v>
      </c>
      <c r="D43" s="4">
        <v>9.42</v>
      </c>
      <c r="F43" s="3" t="s">
        <v>1894</v>
      </c>
      <c r="G43" s="4">
        <v>3.95</v>
      </c>
      <c r="I43" s="3" t="s">
        <v>1904</v>
      </c>
      <c r="J43" s="4">
        <v>12.96</v>
      </c>
      <c r="L43" s="1" t="s">
        <v>1771</v>
      </c>
      <c r="M43" s="1" t="s">
        <v>1896</v>
      </c>
      <c r="N43" s="1" t="s">
        <v>1786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869</v>
      </c>
      <c r="C44" s="3" t="s">
        <v>1905</v>
      </c>
      <c r="D44" s="4">
        <v>3.4</v>
      </c>
      <c r="F44" s="3" t="s">
        <v>1897</v>
      </c>
      <c r="G44" s="4">
        <v>3.95</v>
      </c>
      <c r="I44" s="3" t="s">
        <v>1906</v>
      </c>
      <c r="J44" s="4">
        <v>11.09</v>
      </c>
      <c r="L44" s="1" t="s">
        <v>1771</v>
      </c>
      <c r="M44" s="1" t="s">
        <v>1889</v>
      </c>
      <c r="N44" s="1" t="s">
        <v>1798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1907</v>
      </c>
      <c r="C45" s="3" t="s">
        <v>1908</v>
      </c>
      <c r="D45" s="4">
        <v>4.8899999999999997</v>
      </c>
      <c r="F45" s="3" t="s">
        <v>1900</v>
      </c>
      <c r="G45" s="4">
        <v>3.95</v>
      </c>
      <c r="I45" s="3" t="s">
        <v>1909</v>
      </c>
      <c r="J45" s="4">
        <v>9.64</v>
      </c>
      <c r="L45" s="1" t="s">
        <v>1771</v>
      </c>
      <c r="M45" s="1" t="s">
        <v>1892</v>
      </c>
      <c r="N45" s="1" t="s">
        <v>1798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1910</v>
      </c>
      <c r="C46" s="3" t="s">
        <v>1911</v>
      </c>
      <c r="D46" s="4">
        <v>6.64</v>
      </c>
      <c r="F46" s="3" t="s">
        <v>1903</v>
      </c>
      <c r="G46" s="4">
        <v>3.95</v>
      </c>
      <c r="I46" s="3" t="s">
        <v>1912</v>
      </c>
      <c r="J46" s="4">
        <v>6.48</v>
      </c>
      <c r="L46" s="1" t="s">
        <v>1771</v>
      </c>
      <c r="M46" s="1" t="s">
        <v>1896</v>
      </c>
      <c r="N46" s="1" t="s">
        <v>1798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1913</v>
      </c>
      <c r="C47" s="3" t="s">
        <v>1914</v>
      </c>
      <c r="D47" s="4">
        <v>11.15</v>
      </c>
      <c r="F47" s="3" t="s">
        <v>1905</v>
      </c>
      <c r="G47" s="4">
        <v>3.95</v>
      </c>
      <c r="I47" s="3" t="s">
        <v>1915</v>
      </c>
      <c r="J47" s="4">
        <v>8.3800000000000008</v>
      </c>
      <c r="L47" s="1" t="s">
        <v>1899</v>
      </c>
      <c r="M47" s="1" t="s">
        <v>1772</v>
      </c>
      <c r="N47" s="1" t="s">
        <v>1773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1916</v>
      </c>
      <c r="C48" s="3" t="s">
        <v>1917</v>
      </c>
      <c r="D48" s="4">
        <v>7.98</v>
      </c>
      <c r="F48" s="3" t="s">
        <v>1908</v>
      </c>
      <c r="G48" s="4">
        <v>3.95</v>
      </c>
      <c r="I48" s="3" t="s">
        <v>1918</v>
      </c>
      <c r="J48" s="4">
        <v>8.3800000000000008</v>
      </c>
      <c r="L48" s="1" t="s">
        <v>1899</v>
      </c>
      <c r="M48" s="1" t="s">
        <v>1776</v>
      </c>
      <c r="N48" s="1" t="s">
        <v>1773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1919</v>
      </c>
      <c r="C49" s="3" t="s">
        <v>1920</v>
      </c>
      <c r="D49" s="4">
        <v>8.8000000000000007</v>
      </c>
      <c r="F49" s="3" t="s">
        <v>1911</v>
      </c>
      <c r="G49" s="4">
        <v>3.95</v>
      </c>
      <c r="I49" s="3" t="s">
        <v>1921</v>
      </c>
      <c r="J49" s="4">
        <v>13.17</v>
      </c>
      <c r="L49" s="1" t="s">
        <v>1899</v>
      </c>
      <c r="M49" s="1" t="s">
        <v>1779</v>
      </c>
      <c r="N49" s="1" t="s">
        <v>1773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1922</v>
      </c>
      <c r="C50" s="3" t="s">
        <v>1923</v>
      </c>
      <c r="D50" s="4">
        <v>11.15</v>
      </c>
      <c r="F50" s="3" t="s">
        <v>1914</v>
      </c>
      <c r="G50" s="4">
        <v>5.8</v>
      </c>
      <c r="I50" s="3" t="s">
        <v>1924</v>
      </c>
      <c r="J50" s="4">
        <v>18.86</v>
      </c>
      <c r="L50" s="1" t="s">
        <v>1899</v>
      </c>
      <c r="M50" s="1" t="s">
        <v>1782</v>
      </c>
      <c r="N50" s="1" t="s">
        <v>1773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1925</v>
      </c>
      <c r="C51" s="3" t="s">
        <v>1926</v>
      </c>
      <c r="D51" s="4">
        <v>7.6</v>
      </c>
      <c r="F51" s="3" t="s">
        <v>1917</v>
      </c>
      <c r="G51" s="4">
        <v>7.98</v>
      </c>
      <c r="J51" s="8"/>
      <c r="L51" s="1" t="s">
        <v>1899</v>
      </c>
      <c r="M51" s="1" t="s">
        <v>1772</v>
      </c>
      <c r="N51" s="1" t="s">
        <v>1786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1927</v>
      </c>
      <c r="C52" s="3" t="s">
        <v>1928</v>
      </c>
      <c r="D52" s="4">
        <v>8.58</v>
      </c>
      <c r="F52" s="3" t="s">
        <v>1920</v>
      </c>
      <c r="G52" s="4">
        <v>8.8000000000000007</v>
      </c>
      <c r="J52" s="8"/>
      <c r="L52" s="1" t="s">
        <v>1899</v>
      </c>
      <c r="M52" s="1" t="s">
        <v>1776</v>
      </c>
      <c r="N52" s="1" t="s">
        <v>1786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1929</v>
      </c>
      <c r="D53" s="4">
        <v>7.6</v>
      </c>
      <c r="F53" s="3" t="s">
        <v>1923</v>
      </c>
      <c r="G53" s="4">
        <v>5.65</v>
      </c>
      <c r="J53" s="8"/>
      <c r="L53" s="1" t="s">
        <v>1899</v>
      </c>
      <c r="M53" s="1" t="s">
        <v>1779</v>
      </c>
      <c r="N53" s="1" t="s">
        <v>1786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1930</v>
      </c>
      <c r="D54" s="4">
        <v>8.2200000000000006</v>
      </c>
      <c r="F54" s="3" t="s">
        <v>1926</v>
      </c>
      <c r="G54" s="4">
        <v>5.04</v>
      </c>
      <c r="J54" s="8"/>
      <c r="L54" s="1" t="s">
        <v>1899</v>
      </c>
      <c r="M54" s="1" t="s">
        <v>1782</v>
      </c>
      <c r="N54" s="1" t="s">
        <v>1786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1931</v>
      </c>
      <c r="D55" s="4">
        <v>11.78</v>
      </c>
      <c r="F55" s="3" t="s">
        <v>1928</v>
      </c>
      <c r="G55" s="4">
        <v>8.58</v>
      </c>
      <c r="J55" s="8"/>
      <c r="L55" s="1" t="s">
        <v>1899</v>
      </c>
      <c r="M55" s="1" t="s">
        <v>1772</v>
      </c>
      <c r="N55" s="1" t="s">
        <v>1798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26</v>
      </c>
      <c r="C56" s="3" t="s">
        <v>1932</v>
      </c>
      <c r="D56" s="4">
        <v>11.94</v>
      </c>
      <c r="F56" s="3" t="s">
        <v>1929</v>
      </c>
      <c r="G56" s="4">
        <v>5.04</v>
      </c>
      <c r="J56" s="8"/>
      <c r="L56" s="1" t="s">
        <v>1899</v>
      </c>
      <c r="M56" s="1" t="s">
        <v>1776</v>
      </c>
      <c r="N56" s="1" t="s">
        <v>1798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32</v>
      </c>
      <c r="C57" s="3" t="s">
        <v>1933</v>
      </c>
      <c r="D57" s="4">
        <v>10.36</v>
      </c>
      <c r="F57" s="3" t="s">
        <v>1930</v>
      </c>
      <c r="G57" s="4">
        <v>8.2200000000000006</v>
      </c>
      <c r="J57" s="8"/>
      <c r="L57" s="1" t="s">
        <v>1899</v>
      </c>
      <c r="M57" s="1" t="s">
        <v>1779</v>
      </c>
      <c r="N57" s="1" t="s">
        <v>1798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1934</v>
      </c>
      <c r="C58" s="3" t="s">
        <v>1935</v>
      </c>
      <c r="D58" s="4">
        <v>10.62</v>
      </c>
      <c r="F58" s="3" t="s">
        <v>1931</v>
      </c>
      <c r="G58" s="4">
        <v>11.78</v>
      </c>
      <c r="J58" s="8"/>
      <c r="L58" s="1" t="s">
        <v>1899</v>
      </c>
      <c r="M58" s="1" t="s">
        <v>1782</v>
      </c>
      <c r="N58" s="1" t="s">
        <v>1798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1936</v>
      </c>
      <c r="C59" s="3" t="s">
        <v>1937</v>
      </c>
      <c r="D59" s="4">
        <v>8.2799999999999994</v>
      </c>
      <c r="F59" s="3" t="s">
        <v>1932</v>
      </c>
      <c r="G59" s="4">
        <v>11.94</v>
      </c>
      <c r="J59" s="8"/>
      <c r="L59" s="1" t="s">
        <v>1899</v>
      </c>
      <c r="M59" s="1" t="s">
        <v>1811</v>
      </c>
      <c r="N59" s="1" t="s">
        <v>1773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1938</v>
      </c>
      <c r="C60" s="3" t="s">
        <v>1939</v>
      </c>
      <c r="D60" s="4">
        <v>11.57</v>
      </c>
      <c r="F60" s="3" t="s">
        <v>1933</v>
      </c>
      <c r="G60" s="4">
        <v>5.1100000000000003</v>
      </c>
      <c r="J60" s="8"/>
      <c r="L60" s="1" t="s">
        <v>1899</v>
      </c>
      <c r="M60" s="1" t="s">
        <v>1815</v>
      </c>
      <c r="N60" s="1" t="s">
        <v>1773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1940</v>
      </c>
      <c r="C61" s="3" t="s">
        <v>1941</v>
      </c>
      <c r="D61" s="4">
        <v>2.12</v>
      </c>
      <c r="F61" s="3" t="s">
        <v>1935</v>
      </c>
      <c r="G61" s="4">
        <v>10.62</v>
      </c>
      <c r="J61" s="8"/>
      <c r="L61" s="1" t="s">
        <v>1899</v>
      </c>
      <c r="M61" s="1" t="s">
        <v>1820</v>
      </c>
      <c r="N61" s="1" t="s">
        <v>1773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1942</v>
      </c>
      <c r="C62" s="3" t="s">
        <v>1943</v>
      </c>
      <c r="D62" s="4">
        <v>10.36</v>
      </c>
      <c r="F62" s="3" t="s">
        <v>1937</v>
      </c>
      <c r="G62" s="4">
        <v>8.2799999999999994</v>
      </c>
      <c r="J62" s="8"/>
      <c r="L62" s="1" t="s">
        <v>1899</v>
      </c>
      <c r="M62" s="1" t="s">
        <v>1823</v>
      </c>
      <c r="N62" s="1" t="s">
        <v>1773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1944</v>
      </c>
      <c r="C63" s="3" t="s">
        <v>1945</v>
      </c>
      <c r="D63" s="4">
        <v>9.2100000000000009</v>
      </c>
      <c r="F63" s="3" t="s">
        <v>1939</v>
      </c>
      <c r="G63" s="4">
        <v>11.57</v>
      </c>
      <c r="J63" s="8"/>
      <c r="L63" s="1" t="s">
        <v>1899</v>
      </c>
      <c r="M63" s="1" t="s">
        <v>1811</v>
      </c>
      <c r="N63" s="1" t="s">
        <v>1786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1946</v>
      </c>
      <c r="C64" s="3" t="s">
        <v>1947</v>
      </c>
      <c r="D64" s="4">
        <v>10.36</v>
      </c>
      <c r="F64" s="3" t="s">
        <v>1941</v>
      </c>
      <c r="G64" s="4">
        <v>2.12</v>
      </c>
      <c r="J64" s="8"/>
      <c r="L64" s="1" t="s">
        <v>1899</v>
      </c>
      <c r="M64" s="1" t="s">
        <v>1815</v>
      </c>
      <c r="N64" s="1" t="s">
        <v>1786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1948</v>
      </c>
      <c r="C65" s="3" t="s">
        <v>1949</v>
      </c>
      <c r="D65" s="4">
        <v>12.81</v>
      </c>
      <c r="F65" s="3" t="s">
        <v>1943</v>
      </c>
      <c r="G65" s="4">
        <v>5.1100000000000003</v>
      </c>
      <c r="J65" s="8"/>
      <c r="L65" s="1" t="s">
        <v>1899</v>
      </c>
      <c r="M65" s="1" t="s">
        <v>1820</v>
      </c>
      <c r="N65" s="1" t="s">
        <v>1786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1950</v>
      </c>
      <c r="C66" s="3" t="s">
        <v>1951</v>
      </c>
      <c r="D66" s="4">
        <v>7.75</v>
      </c>
      <c r="F66" s="3" t="s">
        <v>1945</v>
      </c>
      <c r="G66" s="4">
        <v>9.2100000000000009</v>
      </c>
      <c r="J66" s="8"/>
      <c r="L66" s="1" t="s">
        <v>1899</v>
      </c>
      <c r="M66" s="1" t="s">
        <v>1823</v>
      </c>
      <c r="N66" s="1" t="s">
        <v>1786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1927</v>
      </c>
      <c r="C67" s="3" t="s">
        <v>1952</v>
      </c>
      <c r="D67" s="4">
        <v>6.6</v>
      </c>
      <c r="F67" s="3" t="s">
        <v>1947</v>
      </c>
      <c r="G67" s="4">
        <v>5.1100000000000003</v>
      </c>
      <c r="J67" s="8"/>
      <c r="L67" s="1" t="s">
        <v>1899</v>
      </c>
      <c r="M67" s="1" t="s">
        <v>1811</v>
      </c>
      <c r="N67" s="1" t="s">
        <v>1798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1889</v>
      </c>
      <c r="C68" s="3" t="s">
        <v>1953</v>
      </c>
      <c r="D68" s="4">
        <v>9.91</v>
      </c>
      <c r="F68" s="3" t="s">
        <v>1949</v>
      </c>
      <c r="G68" s="4">
        <v>12.81</v>
      </c>
      <c r="J68" s="8"/>
      <c r="L68" s="1" t="s">
        <v>1899</v>
      </c>
      <c r="M68" s="1" t="s">
        <v>1815</v>
      </c>
      <c r="N68" s="1" t="s">
        <v>1798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1886</v>
      </c>
      <c r="C69" s="3" t="s">
        <v>1954</v>
      </c>
      <c r="D69" s="4">
        <v>7.13</v>
      </c>
      <c r="F69" s="3" t="s">
        <v>1951</v>
      </c>
      <c r="G69" s="4">
        <v>7.75</v>
      </c>
      <c r="J69" s="8"/>
      <c r="L69" s="1" t="s">
        <v>1899</v>
      </c>
      <c r="M69" s="1" t="s">
        <v>1820</v>
      </c>
      <c r="N69" s="1" t="s">
        <v>1798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1955</v>
      </c>
      <c r="D70" s="4">
        <v>6.61</v>
      </c>
      <c r="F70" s="3" t="s">
        <v>1952</v>
      </c>
      <c r="G70" s="4">
        <v>6.6</v>
      </c>
      <c r="J70" s="8"/>
      <c r="L70" s="1" t="s">
        <v>1899</v>
      </c>
      <c r="M70" s="1" t="s">
        <v>1823</v>
      </c>
      <c r="N70" s="1" t="s">
        <v>1798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1956</v>
      </c>
      <c r="D71" s="4">
        <v>7.6</v>
      </c>
      <c r="F71" s="3" t="s">
        <v>1953</v>
      </c>
      <c r="G71" s="4">
        <v>9.91</v>
      </c>
      <c r="J71" s="8"/>
      <c r="L71" s="1" t="s">
        <v>1899</v>
      </c>
      <c r="M71" s="1" t="s">
        <v>1851</v>
      </c>
      <c r="N71" s="1" t="s">
        <v>1773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42</v>
      </c>
      <c r="C72" s="3" t="s">
        <v>1957</v>
      </c>
      <c r="D72" s="4">
        <v>10.64</v>
      </c>
      <c r="F72" s="3" t="s">
        <v>1954</v>
      </c>
      <c r="G72" s="4">
        <v>7.13</v>
      </c>
      <c r="J72" s="8"/>
      <c r="L72" s="1" t="s">
        <v>1899</v>
      </c>
      <c r="M72" s="1" t="s">
        <v>1855</v>
      </c>
      <c r="N72" s="1" t="s">
        <v>1773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1958</v>
      </c>
      <c r="C73" s="3" t="s">
        <v>1959</v>
      </c>
      <c r="D73" s="4">
        <v>7.13</v>
      </c>
      <c r="F73" s="3" t="s">
        <v>1955</v>
      </c>
      <c r="G73" s="4">
        <v>6.61</v>
      </c>
      <c r="J73" s="8"/>
      <c r="L73" s="1" t="s">
        <v>1899</v>
      </c>
      <c r="M73" s="1" t="s">
        <v>1859</v>
      </c>
      <c r="N73" s="1" t="s">
        <v>1773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1960</v>
      </c>
      <c r="C74" s="3" t="s">
        <v>1961</v>
      </c>
      <c r="D74" s="4">
        <v>7.51</v>
      </c>
      <c r="F74" s="3" t="s">
        <v>1956</v>
      </c>
      <c r="G74" s="4">
        <v>3</v>
      </c>
      <c r="J74" s="8"/>
      <c r="L74" s="1" t="s">
        <v>1899</v>
      </c>
      <c r="M74" s="1" t="s">
        <v>1863</v>
      </c>
      <c r="N74" s="1" t="s">
        <v>1773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1962</v>
      </c>
      <c r="C75" s="3" t="s">
        <v>1963</v>
      </c>
      <c r="D75" s="4">
        <v>7.57</v>
      </c>
      <c r="F75" s="3" t="s">
        <v>1957</v>
      </c>
      <c r="G75" s="4">
        <v>3</v>
      </c>
      <c r="J75" s="8"/>
      <c r="L75" s="1" t="s">
        <v>1899</v>
      </c>
      <c r="M75" s="1" t="s">
        <v>1851</v>
      </c>
      <c r="N75" s="1" t="s">
        <v>1786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1964</v>
      </c>
      <c r="C76" s="3" t="s">
        <v>1965</v>
      </c>
      <c r="D76" s="4">
        <v>9.17</v>
      </c>
      <c r="F76" s="3" t="s">
        <v>1959</v>
      </c>
      <c r="G76" s="4">
        <v>3</v>
      </c>
      <c r="J76" s="8"/>
      <c r="L76" s="1" t="s">
        <v>1899</v>
      </c>
      <c r="M76" s="1" t="s">
        <v>1855</v>
      </c>
      <c r="N76" s="1" t="s">
        <v>1786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1966</v>
      </c>
      <c r="C77" s="3" t="s">
        <v>1967</v>
      </c>
      <c r="D77" s="4">
        <v>9.25</v>
      </c>
      <c r="F77" s="3" t="s">
        <v>1961</v>
      </c>
      <c r="G77" s="4">
        <v>3</v>
      </c>
      <c r="J77" s="8"/>
      <c r="L77" s="1" t="s">
        <v>1899</v>
      </c>
      <c r="M77" s="1" t="s">
        <v>1859</v>
      </c>
      <c r="N77" s="1" t="s">
        <v>1786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1968</v>
      </c>
      <c r="D78" s="4">
        <v>6.67</v>
      </c>
      <c r="F78" s="3" t="s">
        <v>1963</v>
      </c>
      <c r="G78" s="4">
        <v>3</v>
      </c>
      <c r="J78" s="8"/>
      <c r="L78" s="1" t="s">
        <v>1899</v>
      </c>
      <c r="M78" s="1" t="s">
        <v>1863</v>
      </c>
      <c r="N78" s="1" t="s">
        <v>1786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1969</v>
      </c>
      <c r="D79" s="4">
        <v>6.67</v>
      </c>
      <c r="F79" s="3" t="s">
        <v>1965</v>
      </c>
      <c r="G79" s="4">
        <v>3</v>
      </c>
      <c r="J79" s="8"/>
      <c r="L79" s="1" t="s">
        <v>1899</v>
      </c>
      <c r="M79" s="1" t="s">
        <v>1851</v>
      </c>
      <c r="N79" s="1" t="s">
        <v>1798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1970</v>
      </c>
      <c r="C80" s="3" t="s">
        <v>1971</v>
      </c>
      <c r="D80" s="4">
        <v>5</v>
      </c>
      <c r="F80" s="3" t="s">
        <v>1967</v>
      </c>
      <c r="G80" s="4">
        <v>3</v>
      </c>
      <c r="J80" s="8"/>
      <c r="L80" s="1" t="s">
        <v>1899</v>
      </c>
      <c r="M80" s="1" t="s">
        <v>1855</v>
      </c>
      <c r="N80" s="1" t="s">
        <v>1798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1773</v>
      </c>
      <c r="C81" s="3" t="s">
        <v>1972</v>
      </c>
      <c r="D81" s="4">
        <v>8.06</v>
      </c>
      <c r="F81" s="3" t="s">
        <v>1973</v>
      </c>
      <c r="G81" s="4">
        <v>3</v>
      </c>
      <c r="J81" s="8"/>
      <c r="L81" s="1" t="s">
        <v>1899</v>
      </c>
      <c r="M81" s="1" t="s">
        <v>1859</v>
      </c>
      <c r="N81" s="1" t="s">
        <v>1798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1786</v>
      </c>
      <c r="C82" s="3" t="s">
        <v>1974</v>
      </c>
      <c r="D82" s="4">
        <v>11.25</v>
      </c>
      <c r="F82" s="3" t="s">
        <v>1968</v>
      </c>
      <c r="G82" s="4">
        <v>3</v>
      </c>
      <c r="J82" s="8"/>
      <c r="L82" s="1" t="s">
        <v>1899</v>
      </c>
      <c r="M82" s="1" t="s">
        <v>1863</v>
      </c>
      <c r="N82" s="1" t="s">
        <v>1798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1798</v>
      </c>
      <c r="C83" s="3" t="s">
        <v>1975</v>
      </c>
      <c r="D83" s="4">
        <v>11.25</v>
      </c>
      <c r="F83" s="3" t="s">
        <v>1969</v>
      </c>
      <c r="G83" s="4">
        <v>3</v>
      </c>
      <c r="J83" s="8"/>
      <c r="L83" s="1" t="s">
        <v>1899</v>
      </c>
      <c r="M83" s="1" t="s">
        <v>1889</v>
      </c>
      <c r="N83" s="1" t="s">
        <v>1773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1976</v>
      </c>
      <c r="D84" s="4">
        <v>11.58</v>
      </c>
      <c r="F84" s="3" t="s">
        <v>1971</v>
      </c>
      <c r="G84" s="4">
        <v>3</v>
      </c>
      <c r="J84" s="8"/>
      <c r="L84" s="1" t="s">
        <v>1899</v>
      </c>
      <c r="M84" s="1" t="s">
        <v>1892</v>
      </c>
      <c r="N84" s="1" t="s">
        <v>1773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1977</v>
      </c>
      <c r="D85" s="4">
        <v>7.74</v>
      </c>
      <c r="F85" s="3" t="s">
        <v>1972</v>
      </c>
      <c r="G85" s="4">
        <v>3.84</v>
      </c>
      <c r="J85" s="8"/>
      <c r="L85" s="1" t="s">
        <v>1899</v>
      </c>
      <c r="M85" s="1" t="s">
        <v>1896</v>
      </c>
      <c r="N85" s="1" t="s">
        <v>1773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1978</v>
      </c>
      <c r="D86" s="4">
        <v>6.7</v>
      </c>
      <c r="F86" s="3" t="s">
        <v>1974</v>
      </c>
      <c r="G86" s="4">
        <v>3.84</v>
      </c>
      <c r="J86" s="8"/>
      <c r="L86" s="1" t="s">
        <v>1899</v>
      </c>
      <c r="M86" s="1" t="s">
        <v>1889</v>
      </c>
      <c r="N86" s="1" t="s">
        <v>1786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1979</v>
      </c>
      <c r="D87" s="4">
        <v>7.61</v>
      </c>
      <c r="F87" s="3" t="s">
        <v>1975</v>
      </c>
      <c r="G87" s="4">
        <v>3.84</v>
      </c>
      <c r="J87" s="8"/>
      <c r="L87" s="1" t="s">
        <v>1899</v>
      </c>
      <c r="M87" s="1" t="s">
        <v>1892</v>
      </c>
      <c r="N87" s="1" t="s">
        <v>1786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1980</v>
      </c>
      <c r="C88" s="3" t="s">
        <v>1981</v>
      </c>
      <c r="D88" s="4">
        <v>12.07</v>
      </c>
      <c r="F88" s="3" t="s">
        <v>1976</v>
      </c>
      <c r="G88" s="4">
        <v>11.58</v>
      </c>
      <c r="J88" s="8"/>
      <c r="L88" s="1" t="s">
        <v>1899</v>
      </c>
      <c r="M88" s="1" t="s">
        <v>1896</v>
      </c>
      <c r="N88" s="1" t="s">
        <v>1786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1982</v>
      </c>
      <c r="C89" s="3" t="s">
        <v>1983</v>
      </c>
      <c r="D89" s="4">
        <v>7.1</v>
      </c>
      <c r="F89" s="3" t="s">
        <v>1984</v>
      </c>
      <c r="G89" s="4">
        <v>5.04</v>
      </c>
      <c r="J89" s="8"/>
      <c r="L89" s="1" t="s">
        <v>1899</v>
      </c>
      <c r="M89" s="1" t="s">
        <v>1889</v>
      </c>
      <c r="N89" s="1" t="s">
        <v>1798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1985</v>
      </c>
      <c r="C90" s="3" t="s">
        <v>1986</v>
      </c>
      <c r="D90" s="4">
        <v>5.0599999999999996</v>
      </c>
      <c r="F90" s="3" t="s">
        <v>1978</v>
      </c>
      <c r="G90" s="4">
        <v>6.7</v>
      </c>
      <c r="J90" s="8"/>
      <c r="L90" s="1" t="s">
        <v>1899</v>
      </c>
      <c r="M90" s="1" t="s">
        <v>1892</v>
      </c>
      <c r="N90" s="1" t="s">
        <v>1798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1987</v>
      </c>
      <c r="C91" s="3" t="s">
        <v>1988</v>
      </c>
      <c r="D91" s="4">
        <v>5.98</v>
      </c>
      <c r="F91" s="3" t="s">
        <v>1979</v>
      </c>
      <c r="G91" s="4">
        <v>7.61</v>
      </c>
      <c r="J91" s="8"/>
      <c r="L91" s="1" t="s">
        <v>1899</v>
      </c>
      <c r="M91" s="1" t="s">
        <v>1896</v>
      </c>
      <c r="N91" s="1" t="s">
        <v>1798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1989</v>
      </c>
      <c r="C92" s="3" t="s">
        <v>1990</v>
      </c>
      <c r="D92" s="4">
        <v>8.24</v>
      </c>
      <c r="F92" s="3" t="s">
        <v>1983</v>
      </c>
      <c r="G92" s="4">
        <v>7.1</v>
      </c>
      <c r="J92" s="8"/>
      <c r="L92" s="1" t="s">
        <v>1902</v>
      </c>
      <c r="M92" s="1" t="s">
        <v>1772</v>
      </c>
      <c r="N92" s="1" t="s">
        <v>1773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1991</v>
      </c>
      <c r="C93" s="3" t="s">
        <v>1992</v>
      </c>
      <c r="D93" s="4">
        <v>9.4499999999999993</v>
      </c>
      <c r="F93" s="3" t="s">
        <v>1986</v>
      </c>
      <c r="G93" s="4">
        <v>5.0599999999999996</v>
      </c>
      <c r="J93" s="8"/>
      <c r="L93" s="1" t="s">
        <v>1902</v>
      </c>
      <c r="M93" s="1" t="s">
        <v>1776</v>
      </c>
      <c r="N93" s="1" t="s">
        <v>1773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1993</v>
      </c>
      <c r="C94" s="3" t="s">
        <v>1994</v>
      </c>
      <c r="D94" s="4">
        <v>9.01</v>
      </c>
      <c r="F94" s="3" t="s">
        <v>1988</v>
      </c>
      <c r="G94" s="4">
        <v>5.98</v>
      </c>
      <c r="J94" s="8"/>
      <c r="L94" s="1" t="s">
        <v>1902</v>
      </c>
      <c r="M94" s="1" t="s">
        <v>1779</v>
      </c>
      <c r="N94" s="1" t="s">
        <v>1773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1995</v>
      </c>
      <c r="C95" s="3" t="s">
        <v>1996</v>
      </c>
      <c r="D95" s="4">
        <v>12.03</v>
      </c>
      <c r="F95" s="3" t="s">
        <v>1990</v>
      </c>
      <c r="G95" s="4">
        <v>8.24</v>
      </c>
      <c r="J95" s="8"/>
      <c r="L95" s="1" t="s">
        <v>1902</v>
      </c>
      <c r="M95" s="1" t="s">
        <v>1782</v>
      </c>
      <c r="N95" s="1" t="s">
        <v>1773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1997</v>
      </c>
      <c r="C96" s="3" t="s">
        <v>1891</v>
      </c>
      <c r="D96" s="4">
        <v>12.8</v>
      </c>
      <c r="F96" s="3" t="s">
        <v>1992</v>
      </c>
      <c r="G96" s="4">
        <v>9.4499999999999993</v>
      </c>
      <c r="J96" s="8"/>
      <c r="L96" s="1" t="s">
        <v>1902</v>
      </c>
      <c r="M96" s="1" t="s">
        <v>1772</v>
      </c>
      <c r="N96" s="1" t="s">
        <v>1786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1998</v>
      </c>
      <c r="C97" s="3" t="s">
        <v>1999</v>
      </c>
      <c r="D97" s="4">
        <v>8.6999999999999993</v>
      </c>
      <c r="F97" s="3" t="s">
        <v>1994</v>
      </c>
      <c r="G97" s="4">
        <v>9.01</v>
      </c>
      <c r="J97" s="8"/>
      <c r="L97" s="1" t="s">
        <v>1902</v>
      </c>
      <c r="M97" s="1" t="s">
        <v>1776</v>
      </c>
      <c r="N97" s="1" t="s">
        <v>1786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2000</v>
      </c>
      <c r="C98" s="3" t="s">
        <v>2001</v>
      </c>
      <c r="D98" s="4">
        <v>5.26</v>
      </c>
      <c r="F98" s="3" t="s">
        <v>2002</v>
      </c>
      <c r="G98" s="4">
        <v>2.2599999999999998</v>
      </c>
      <c r="J98" s="8"/>
      <c r="L98" s="1" t="s">
        <v>1902</v>
      </c>
      <c r="M98" s="1" t="s">
        <v>1779</v>
      </c>
      <c r="N98" s="1" t="s">
        <v>1786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2003</v>
      </c>
      <c r="C99" s="3" t="s">
        <v>2004</v>
      </c>
      <c r="D99" s="4">
        <v>12.67</v>
      </c>
      <c r="F99" s="3" t="s">
        <v>1996</v>
      </c>
      <c r="G99" s="4">
        <v>12.03</v>
      </c>
      <c r="J99" s="8"/>
      <c r="L99" s="1" t="s">
        <v>1902</v>
      </c>
      <c r="M99" s="1" t="s">
        <v>1782</v>
      </c>
      <c r="N99" s="1" t="s">
        <v>1786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2005</v>
      </c>
      <c r="C100" s="3" t="s">
        <v>2006</v>
      </c>
      <c r="D100" s="4">
        <v>15.87</v>
      </c>
      <c r="F100" s="3" t="s">
        <v>1999</v>
      </c>
      <c r="G100" s="4">
        <v>8.6999999999999993</v>
      </c>
      <c r="J100" s="8"/>
      <c r="L100" s="1" t="s">
        <v>1902</v>
      </c>
      <c r="M100" s="1" t="s">
        <v>1772</v>
      </c>
      <c r="N100" s="1" t="s">
        <v>1798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2007</v>
      </c>
      <c r="C101" s="3" t="s">
        <v>2008</v>
      </c>
      <c r="D101" s="4">
        <v>4.63</v>
      </c>
      <c r="F101" s="3" t="s">
        <v>2001</v>
      </c>
      <c r="G101" s="4">
        <v>5.26</v>
      </c>
      <c r="J101" s="8"/>
      <c r="L101" s="1" t="s">
        <v>1902</v>
      </c>
      <c r="M101" s="1" t="s">
        <v>1776</v>
      </c>
      <c r="N101" s="1" t="s">
        <v>1798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2009</v>
      </c>
      <c r="C102" s="3" t="s">
        <v>2010</v>
      </c>
      <c r="D102" s="4">
        <v>8.6999999999999993</v>
      </c>
      <c r="F102" s="3" t="s">
        <v>2004</v>
      </c>
      <c r="G102" s="4">
        <v>12.67</v>
      </c>
      <c r="J102" s="8"/>
      <c r="L102" s="1" t="s">
        <v>1902</v>
      </c>
      <c r="M102" s="1" t="s">
        <v>1779</v>
      </c>
      <c r="N102" s="1" t="s">
        <v>1798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2011</v>
      </c>
      <c r="C103" s="3" t="s">
        <v>2012</v>
      </c>
      <c r="D103" s="4">
        <v>9.26</v>
      </c>
      <c r="F103" s="3" t="s">
        <v>2006</v>
      </c>
      <c r="G103" s="4">
        <v>15.87</v>
      </c>
      <c r="J103" s="8"/>
      <c r="L103" s="1" t="s">
        <v>1902</v>
      </c>
      <c r="M103" s="1" t="s">
        <v>1782</v>
      </c>
      <c r="N103" s="1" t="s">
        <v>1798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2013</v>
      </c>
      <c r="C104" s="3" t="s">
        <v>2014</v>
      </c>
      <c r="D104" s="4">
        <v>5.72</v>
      </c>
      <c r="F104" s="3" t="s">
        <v>2008</v>
      </c>
      <c r="G104" s="4">
        <v>4.63</v>
      </c>
      <c r="J104" s="8"/>
      <c r="L104" s="1" t="s">
        <v>1902</v>
      </c>
      <c r="M104" s="1" t="s">
        <v>1811</v>
      </c>
      <c r="N104" s="1" t="s">
        <v>1773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1829</v>
      </c>
      <c r="C105" s="3" t="s">
        <v>2015</v>
      </c>
      <c r="D105" s="4">
        <v>6.54</v>
      </c>
      <c r="F105" s="3" t="s">
        <v>2010</v>
      </c>
      <c r="G105" s="4">
        <v>8.6999999999999993</v>
      </c>
      <c r="J105" s="8"/>
      <c r="L105" s="1" t="s">
        <v>1902</v>
      </c>
      <c r="M105" s="1" t="s">
        <v>1815</v>
      </c>
      <c r="N105" s="1" t="s">
        <v>1773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1832</v>
      </c>
      <c r="C106" s="3" t="s">
        <v>2016</v>
      </c>
      <c r="D106" s="4">
        <v>6.54</v>
      </c>
      <c r="F106" s="3" t="s">
        <v>2012</v>
      </c>
      <c r="G106" s="4">
        <v>9.26</v>
      </c>
      <c r="J106" s="8"/>
      <c r="L106" s="1" t="s">
        <v>1902</v>
      </c>
      <c r="M106" s="1" t="s">
        <v>1820</v>
      </c>
      <c r="N106" s="1" t="s">
        <v>1773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2017</v>
      </c>
      <c r="C107" s="3" t="s">
        <v>2018</v>
      </c>
      <c r="D107" s="4">
        <v>9.51</v>
      </c>
      <c r="F107" s="3" t="s">
        <v>2014</v>
      </c>
      <c r="G107" s="4">
        <v>5.72</v>
      </c>
      <c r="J107" s="8"/>
      <c r="L107" s="1" t="s">
        <v>1902</v>
      </c>
      <c r="M107" s="1" t="s">
        <v>1823</v>
      </c>
      <c r="N107" s="1" t="s">
        <v>1773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2019</v>
      </c>
      <c r="C108" s="3" t="s">
        <v>2020</v>
      </c>
      <c r="D108" s="4">
        <v>8.99</v>
      </c>
      <c r="F108" s="3" t="s">
        <v>2015</v>
      </c>
      <c r="G108" s="4">
        <v>6.54</v>
      </c>
      <c r="J108" s="8"/>
      <c r="L108" s="1" t="s">
        <v>1902</v>
      </c>
      <c r="M108" s="1" t="s">
        <v>1811</v>
      </c>
      <c r="N108" s="1" t="s">
        <v>1786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1811</v>
      </c>
      <c r="C109" s="3" t="s">
        <v>2021</v>
      </c>
      <c r="D109" s="4">
        <v>4.2300000000000004</v>
      </c>
      <c r="F109" s="3" t="s">
        <v>2016</v>
      </c>
      <c r="G109" s="4">
        <v>6.54</v>
      </c>
      <c r="J109" s="8"/>
      <c r="L109" s="1" t="s">
        <v>1902</v>
      </c>
      <c r="M109" s="1" t="s">
        <v>1815</v>
      </c>
      <c r="N109" s="1" t="s">
        <v>1786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2022</v>
      </c>
      <c r="C110" s="3" t="s">
        <v>2023</v>
      </c>
      <c r="D110" s="4">
        <v>8.43</v>
      </c>
      <c r="F110" s="3" t="s">
        <v>2018</v>
      </c>
      <c r="G110" s="4">
        <v>4.9000000000000004</v>
      </c>
      <c r="J110" s="8"/>
      <c r="L110" s="1" t="s">
        <v>1902</v>
      </c>
      <c r="M110" s="1" t="s">
        <v>1820</v>
      </c>
      <c r="N110" s="1" t="s">
        <v>1786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2024</v>
      </c>
      <c r="C111" s="3" t="s">
        <v>2025</v>
      </c>
      <c r="D111" s="4">
        <v>9.66</v>
      </c>
      <c r="F111" s="3" t="s">
        <v>2020</v>
      </c>
      <c r="G111" s="4">
        <v>4.9000000000000004</v>
      </c>
      <c r="J111" s="8"/>
      <c r="L111" s="1" t="s">
        <v>1902</v>
      </c>
      <c r="M111" s="1" t="s">
        <v>1823</v>
      </c>
      <c r="N111" s="1" t="s">
        <v>1786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2026</v>
      </c>
      <c r="C112" s="3" t="s">
        <v>2027</v>
      </c>
      <c r="D112" s="4">
        <v>7</v>
      </c>
      <c r="F112" s="3" t="s">
        <v>2021</v>
      </c>
      <c r="G112" s="4">
        <v>4.9000000000000004</v>
      </c>
      <c r="J112" s="8"/>
      <c r="L112" s="1" t="s">
        <v>1902</v>
      </c>
      <c r="M112" s="1" t="s">
        <v>1811</v>
      </c>
      <c r="N112" s="1" t="s">
        <v>1798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2028</v>
      </c>
      <c r="C113" s="3" t="s">
        <v>2029</v>
      </c>
      <c r="D113" s="4">
        <v>8.0399999999999991</v>
      </c>
      <c r="F113" s="3" t="s">
        <v>2023</v>
      </c>
      <c r="G113" s="4">
        <v>4.9000000000000004</v>
      </c>
      <c r="J113" s="8"/>
      <c r="L113" s="1" t="s">
        <v>1902</v>
      </c>
      <c r="M113" s="1" t="s">
        <v>1815</v>
      </c>
      <c r="N113" s="1" t="s">
        <v>1798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2030</v>
      </c>
      <c r="C114" s="3" t="s">
        <v>2031</v>
      </c>
      <c r="D114" s="4">
        <v>12.36</v>
      </c>
      <c r="F114" s="3" t="s">
        <v>2025</v>
      </c>
      <c r="G114" s="4">
        <v>4.9000000000000004</v>
      </c>
      <c r="J114" s="8"/>
      <c r="L114" s="1" t="s">
        <v>1902</v>
      </c>
      <c r="M114" s="1" t="s">
        <v>1820</v>
      </c>
      <c r="N114" s="1" t="s">
        <v>1798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2032</v>
      </c>
      <c r="C115" s="3" t="s">
        <v>2033</v>
      </c>
      <c r="D115" s="4">
        <v>9.51</v>
      </c>
      <c r="F115" s="3" t="s">
        <v>2027</v>
      </c>
      <c r="G115" s="4">
        <v>4.9000000000000004</v>
      </c>
      <c r="J115" s="8"/>
      <c r="L115" s="1" t="s">
        <v>1902</v>
      </c>
      <c r="M115" s="1" t="s">
        <v>1823</v>
      </c>
      <c r="N115" s="1" t="s">
        <v>1798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2034</v>
      </c>
      <c r="D116" s="8"/>
      <c r="F116" s="3" t="s">
        <v>2029</v>
      </c>
      <c r="G116" s="4">
        <v>4.9000000000000004</v>
      </c>
      <c r="J116" s="8"/>
      <c r="L116" s="1" t="s">
        <v>1902</v>
      </c>
      <c r="M116" s="1" t="s">
        <v>1851</v>
      </c>
      <c r="N116" s="1" t="s">
        <v>1773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2035</v>
      </c>
      <c r="D117" s="8"/>
      <c r="F117" s="3" t="s">
        <v>2031</v>
      </c>
      <c r="G117" s="4">
        <v>4.9000000000000004</v>
      </c>
      <c r="J117" s="8"/>
      <c r="L117" s="1" t="s">
        <v>1902</v>
      </c>
      <c r="M117" s="1" t="s">
        <v>1855</v>
      </c>
      <c r="N117" s="1" t="s">
        <v>1773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2036</v>
      </c>
      <c r="D118" s="8"/>
      <c r="F118" s="3" t="s">
        <v>2033</v>
      </c>
      <c r="G118" s="4">
        <v>4.9000000000000004</v>
      </c>
      <c r="J118" s="8"/>
      <c r="L118" s="1" t="s">
        <v>1902</v>
      </c>
      <c r="M118" s="1" t="s">
        <v>1859</v>
      </c>
      <c r="N118" s="1" t="s">
        <v>1773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2037</v>
      </c>
      <c r="D119" s="8"/>
      <c r="G119" s="8"/>
      <c r="J119" s="8"/>
      <c r="L119" s="1" t="s">
        <v>1902</v>
      </c>
      <c r="M119" s="1" t="s">
        <v>1863</v>
      </c>
      <c r="N119" s="1" t="s">
        <v>1773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2038</v>
      </c>
      <c r="D120" s="8"/>
      <c r="G120" s="8"/>
      <c r="J120" s="8"/>
      <c r="L120" s="1" t="s">
        <v>1902</v>
      </c>
      <c r="M120" s="1" t="s">
        <v>1851</v>
      </c>
      <c r="N120" s="1" t="s">
        <v>1786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1902</v>
      </c>
      <c r="M121" s="1" t="s">
        <v>1855</v>
      </c>
      <c r="N121" s="1" t="s">
        <v>1786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1902</v>
      </c>
      <c r="M122" s="1" t="s">
        <v>1859</v>
      </c>
      <c r="N122" s="1" t="s">
        <v>1786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2039</v>
      </c>
      <c r="D123" s="8"/>
      <c r="G123" s="8"/>
      <c r="J123" s="8"/>
      <c r="L123" s="1" t="s">
        <v>1902</v>
      </c>
      <c r="M123" s="1" t="s">
        <v>1863</v>
      </c>
      <c r="N123" s="1" t="s">
        <v>1786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533</v>
      </c>
      <c r="D124" s="8"/>
      <c r="G124" s="8"/>
      <c r="J124" s="8"/>
      <c r="L124" s="1" t="s">
        <v>1902</v>
      </c>
      <c r="M124" s="1" t="s">
        <v>1851</v>
      </c>
      <c r="N124" s="1" t="s">
        <v>1798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2040</v>
      </c>
      <c r="D125" s="8"/>
      <c r="G125" s="8"/>
      <c r="J125" s="8"/>
      <c r="L125" s="1" t="s">
        <v>1902</v>
      </c>
      <c r="M125" s="1" t="s">
        <v>1855</v>
      </c>
      <c r="N125" s="1" t="s">
        <v>1798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2041</v>
      </c>
      <c r="D126" s="8"/>
      <c r="G126" s="8"/>
      <c r="J126" s="8"/>
      <c r="L126" s="1" t="s">
        <v>1902</v>
      </c>
      <c r="M126" s="1" t="s">
        <v>1859</v>
      </c>
      <c r="N126" s="1" t="s">
        <v>1798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2042</v>
      </c>
      <c r="D127" s="8"/>
      <c r="G127" s="8"/>
      <c r="J127" s="8"/>
      <c r="L127" s="1" t="s">
        <v>1902</v>
      </c>
      <c r="M127" s="1" t="s">
        <v>1863</v>
      </c>
      <c r="N127" s="1" t="s">
        <v>1798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1902</v>
      </c>
      <c r="M128" s="1" t="s">
        <v>1889</v>
      </c>
      <c r="N128" s="1" t="s">
        <v>1773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1902</v>
      </c>
      <c r="M129" s="1" t="s">
        <v>1892</v>
      </c>
      <c r="N129" s="1" t="s">
        <v>1773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1902</v>
      </c>
      <c r="M130" s="1" t="s">
        <v>1896</v>
      </c>
      <c r="N130" s="1" t="s">
        <v>1773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1902</v>
      </c>
      <c r="M131" s="1" t="s">
        <v>1889</v>
      </c>
      <c r="N131" s="1" t="s">
        <v>1786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1902</v>
      </c>
      <c r="M132" s="1" t="s">
        <v>1892</v>
      </c>
      <c r="N132" s="1" t="s">
        <v>1786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1902</v>
      </c>
      <c r="M133" s="1" t="s">
        <v>1896</v>
      </c>
      <c r="N133" s="1" t="s">
        <v>1786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1902</v>
      </c>
      <c r="M134" s="1" t="s">
        <v>1889</v>
      </c>
      <c r="N134" s="1" t="s">
        <v>1798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1902</v>
      </c>
      <c r="M135" s="1" t="s">
        <v>1892</v>
      </c>
      <c r="N135" s="1" t="s">
        <v>1798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1902</v>
      </c>
      <c r="M136" s="1" t="s">
        <v>1896</v>
      </c>
      <c r="N136" s="1" t="s">
        <v>1798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869</v>
      </c>
      <c r="M137" s="1" t="s">
        <v>1772</v>
      </c>
      <c r="N137" s="1" t="s">
        <v>1773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869</v>
      </c>
      <c r="M138" s="1" t="s">
        <v>1776</v>
      </c>
      <c r="N138" s="1" t="s">
        <v>1773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869</v>
      </c>
      <c r="M139" s="1" t="s">
        <v>1779</v>
      </c>
      <c r="N139" s="1" t="s">
        <v>1773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869</v>
      </c>
      <c r="M140" s="1" t="s">
        <v>1782</v>
      </c>
      <c r="N140" s="1" t="s">
        <v>1773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869</v>
      </c>
      <c r="M141" s="1" t="s">
        <v>1772</v>
      </c>
      <c r="N141" s="1" t="s">
        <v>1786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869</v>
      </c>
      <c r="M142" s="1" t="s">
        <v>1776</v>
      </c>
      <c r="N142" s="1" t="s">
        <v>1786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869</v>
      </c>
      <c r="M143" s="1" t="s">
        <v>1779</v>
      </c>
      <c r="N143" s="1" t="s">
        <v>1786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869</v>
      </c>
      <c r="M144" s="1" t="s">
        <v>1782</v>
      </c>
      <c r="N144" s="1" t="s">
        <v>1786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869</v>
      </c>
      <c r="M145" s="1" t="s">
        <v>1772</v>
      </c>
      <c r="N145" s="1" t="s">
        <v>1798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869</v>
      </c>
      <c r="M146" s="1" t="s">
        <v>1776</v>
      </c>
      <c r="N146" s="1" t="s">
        <v>1798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869</v>
      </c>
      <c r="M147" s="1" t="s">
        <v>1779</v>
      </c>
      <c r="N147" s="1" t="s">
        <v>1798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869</v>
      </c>
      <c r="M148" s="1" t="s">
        <v>1782</v>
      </c>
      <c r="N148" s="1" t="s">
        <v>1798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869</v>
      </c>
      <c r="M149" s="1" t="s">
        <v>1811</v>
      </c>
      <c r="N149" s="1" t="s">
        <v>1773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869</v>
      </c>
      <c r="M150" s="1" t="s">
        <v>1815</v>
      </c>
      <c r="N150" s="1" t="s">
        <v>1773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869</v>
      </c>
      <c r="M151" s="1" t="s">
        <v>1820</v>
      </c>
      <c r="N151" s="1" t="s">
        <v>1773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869</v>
      </c>
      <c r="M152" s="1" t="s">
        <v>1823</v>
      </c>
      <c r="N152" s="1" t="s">
        <v>1773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869</v>
      </c>
      <c r="M153" s="1" t="s">
        <v>1811</v>
      </c>
      <c r="N153" s="1" t="s">
        <v>1786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869</v>
      </c>
      <c r="M154" s="1" t="s">
        <v>1815</v>
      </c>
      <c r="N154" s="1" t="s">
        <v>1786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869</v>
      </c>
      <c r="M155" s="1" t="s">
        <v>1820</v>
      </c>
      <c r="N155" s="1" t="s">
        <v>1786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869</v>
      </c>
      <c r="M156" s="1" t="s">
        <v>1823</v>
      </c>
      <c r="N156" s="1" t="s">
        <v>1786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869</v>
      </c>
      <c r="M157" s="1" t="s">
        <v>1811</v>
      </c>
      <c r="N157" s="1" t="s">
        <v>1798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869</v>
      </c>
      <c r="M158" s="1" t="s">
        <v>1815</v>
      </c>
      <c r="N158" s="1" t="s">
        <v>1798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869</v>
      </c>
      <c r="M159" s="1" t="s">
        <v>1820</v>
      </c>
      <c r="N159" s="1" t="s">
        <v>1798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869</v>
      </c>
      <c r="M160" s="1" t="s">
        <v>1823</v>
      </c>
      <c r="N160" s="1" t="s">
        <v>1798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869</v>
      </c>
      <c r="M161" s="1" t="s">
        <v>1851</v>
      </c>
      <c r="N161" s="1" t="s">
        <v>1773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869</v>
      </c>
      <c r="M162" s="1" t="s">
        <v>1855</v>
      </c>
      <c r="N162" s="1" t="s">
        <v>1773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869</v>
      </c>
      <c r="M163" s="1" t="s">
        <v>1859</v>
      </c>
      <c r="N163" s="1" t="s">
        <v>1773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869</v>
      </c>
      <c r="M164" s="1" t="s">
        <v>1863</v>
      </c>
      <c r="N164" s="1" t="s">
        <v>1773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869</v>
      </c>
      <c r="M165" s="1" t="s">
        <v>1851</v>
      </c>
      <c r="N165" s="1" t="s">
        <v>1786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869</v>
      </c>
      <c r="M166" s="1" t="s">
        <v>1855</v>
      </c>
      <c r="N166" s="1" t="s">
        <v>1786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869</v>
      </c>
      <c r="M167" s="1" t="s">
        <v>1859</v>
      </c>
      <c r="N167" s="1" t="s">
        <v>1786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869</v>
      </c>
      <c r="M168" s="1" t="s">
        <v>1863</v>
      </c>
      <c r="N168" s="1" t="s">
        <v>1786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869</v>
      </c>
      <c r="M169" s="1" t="s">
        <v>1851</v>
      </c>
      <c r="N169" s="1" t="s">
        <v>1798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869</v>
      </c>
      <c r="M170" s="1" t="s">
        <v>1855</v>
      </c>
      <c r="N170" s="1" t="s">
        <v>1798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869</v>
      </c>
      <c r="M171" s="1" t="s">
        <v>1859</v>
      </c>
      <c r="N171" s="1" t="s">
        <v>1798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869</v>
      </c>
      <c r="M172" s="1" t="s">
        <v>1863</v>
      </c>
      <c r="N172" s="1" t="s">
        <v>1798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869</v>
      </c>
      <c r="M173" s="1" t="s">
        <v>1889</v>
      </c>
      <c r="N173" s="1" t="s">
        <v>1773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869</v>
      </c>
      <c r="M174" s="1" t="s">
        <v>1892</v>
      </c>
      <c r="N174" s="1" t="s">
        <v>1773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869</v>
      </c>
      <c r="M175" s="1" t="s">
        <v>1896</v>
      </c>
      <c r="N175" s="1" t="s">
        <v>1773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869</v>
      </c>
      <c r="M176" s="1" t="s">
        <v>1889</v>
      </c>
      <c r="N176" s="1" t="s">
        <v>1786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869</v>
      </c>
      <c r="M177" s="1" t="s">
        <v>1892</v>
      </c>
      <c r="N177" s="1" t="s">
        <v>1786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869</v>
      </c>
      <c r="M178" s="1" t="s">
        <v>1896</v>
      </c>
      <c r="N178" s="1" t="s">
        <v>1786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869</v>
      </c>
      <c r="M179" s="1" t="s">
        <v>1889</v>
      </c>
      <c r="N179" s="1" t="s">
        <v>1798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869</v>
      </c>
      <c r="M180" s="1" t="s">
        <v>1892</v>
      </c>
      <c r="N180" s="1" t="s">
        <v>1798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869</v>
      </c>
      <c r="M181" s="1" t="s">
        <v>1896</v>
      </c>
      <c r="N181" s="1" t="s">
        <v>1798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1907</v>
      </c>
      <c r="M182" s="1" t="s">
        <v>1772</v>
      </c>
      <c r="N182" s="1" t="s">
        <v>1773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1907</v>
      </c>
      <c r="M183" s="1" t="s">
        <v>1776</v>
      </c>
      <c r="N183" s="1" t="s">
        <v>1773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1907</v>
      </c>
      <c r="M184" s="1" t="s">
        <v>1779</v>
      </c>
      <c r="N184" s="1" t="s">
        <v>1773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1907</v>
      </c>
      <c r="M185" s="1" t="s">
        <v>1782</v>
      </c>
      <c r="N185" s="1" t="s">
        <v>1773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1907</v>
      </c>
      <c r="M186" s="1" t="s">
        <v>1772</v>
      </c>
      <c r="N186" s="1" t="s">
        <v>1786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1907</v>
      </c>
      <c r="M187" s="1" t="s">
        <v>1776</v>
      </c>
      <c r="N187" s="1" t="s">
        <v>1786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1907</v>
      </c>
      <c r="M188" s="1" t="s">
        <v>1779</v>
      </c>
      <c r="N188" s="1" t="s">
        <v>1786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1907</v>
      </c>
      <c r="M189" s="1" t="s">
        <v>1782</v>
      </c>
      <c r="N189" s="1" t="s">
        <v>1786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1907</v>
      </c>
      <c r="M190" s="1" t="s">
        <v>1772</v>
      </c>
      <c r="N190" s="1" t="s">
        <v>1798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1907</v>
      </c>
      <c r="M191" s="1" t="s">
        <v>1776</v>
      </c>
      <c r="N191" s="1" t="s">
        <v>1798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1907</v>
      </c>
      <c r="M192" s="1" t="s">
        <v>1779</v>
      </c>
      <c r="N192" s="1" t="s">
        <v>1798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1907</v>
      </c>
      <c r="M193" s="1" t="s">
        <v>1782</v>
      </c>
      <c r="N193" s="1" t="s">
        <v>1798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1907</v>
      </c>
      <c r="M194" s="1" t="s">
        <v>1811</v>
      </c>
      <c r="N194" s="1" t="s">
        <v>1773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1907</v>
      </c>
      <c r="M195" s="1" t="s">
        <v>1815</v>
      </c>
      <c r="N195" s="1" t="s">
        <v>1773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1907</v>
      </c>
      <c r="M196" s="1" t="s">
        <v>1820</v>
      </c>
      <c r="N196" s="1" t="s">
        <v>1773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1907</v>
      </c>
      <c r="M197" s="1" t="s">
        <v>1823</v>
      </c>
      <c r="N197" s="1" t="s">
        <v>1773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1907</v>
      </c>
      <c r="M198" s="1" t="s">
        <v>1811</v>
      </c>
      <c r="N198" s="1" t="s">
        <v>1786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1907</v>
      </c>
      <c r="M199" s="1" t="s">
        <v>1815</v>
      </c>
      <c r="N199" s="1" t="s">
        <v>1786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1907</v>
      </c>
      <c r="M200" s="1" t="s">
        <v>1820</v>
      </c>
      <c r="N200" s="1" t="s">
        <v>1786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1907</v>
      </c>
      <c r="M201" s="1" t="s">
        <v>1823</v>
      </c>
      <c r="N201" s="1" t="s">
        <v>1786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1907</v>
      </c>
      <c r="M202" s="1" t="s">
        <v>1811</v>
      </c>
      <c r="N202" s="1" t="s">
        <v>1798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1907</v>
      </c>
      <c r="M203" s="1" t="s">
        <v>1815</v>
      </c>
      <c r="N203" s="1" t="s">
        <v>1798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1907</v>
      </c>
      <c r="M204" s="1" t="s">
        <v>1820</v>
      </c>
      <c r="N204" s="1" t="s">
        <v>1798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1907</v>
      </c>
      <c r="M205" s="1" t="s">
        <v>1823</v>
      </c>
      <c r="N205" s="1" t="s">
        <v>1798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1907</v>
      </c>
      <c r="M206" s="1" t="s">
        <v>1851</v>
      </c>
      <c r="N206" s="1" t="s">
        <v>1773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1907</v>
      </c>
      <c r="M207" s="1" t="s">
        <v>1855</v>
      </c>
      <c r="N207" s="1" t="s">
        <v>1773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1907</v>
      </c>
      <c r="M208" s="1" t="s">
        <v>1859</v>
      </c>
      <c r="N208" s="1" t="s">
        <v>1773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1907</v>
      </c>
      <c r="M209" s="1" t="s">
        <v>1863</v>
      </c>
      <c r="N209" s="1" t="s">
        <v>1773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1907</v>
      </c>
      <c r="M210" s="1" t="s">
        <v>1851</v>
      </c>
      <c r="N210" s="1" t="s">
        <v>1786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1907</v>
      </c>
      <c r="M211" s="1" t="s">
        <v>1855</v>
      </c>
      <c r="N211" s="1" t="s">
        <v>1786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1907</v>
      </c>
      <c r="M212" s="1" t="s">
        <v>1859</v>
      </c>
      <c r="N212" s="1" t="s">
        <v>1786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1907</v>
      </c>
      <c r="M213" s="1" t="s">
        <v>1863</v>
      </c>
      <c r="N213" s="1" t="s">
        <v>1786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1907</v>
      </c>
      <c r="M214" s="1" t="s">
        <v>1851</v>
      </c>
      <c r="N214" s="1" t="s">
        <v>1798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1907</v>
      </c>
      <c r="M215" s="1" t="s">
        <v>1855</v>
      </c>
      <c r="N215" s="1" t="s">
        <v>1798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1907</v>
      </c>
      <c r="M216" s="1" t="s">
        <v>1859</v>
      </c>
      <c r="N216" s="1" t="s">
        <v>1798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1907</v>
      </c>
      <c r="M217" s="1" t="s">
        <v>1863</v>
      </c>
      <c r="N217" s="1" t="s">
        <v>1798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1907</v>
      </c>
      <c r="M218" s="1" t="s">
        <v>1889</v>
      </c>
      <c r="N218" s="1" t="s">
        <v>1773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1907</v>
      </c>
      <c r="M219" s="1" t="s">
        <v>1892</v>
      </c>
      <c r="N219" s="1" t="s">
        <v>1773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1907</v>
      </c>
      <c r="M220" s="1" t="s">
        <v>1896</v>
      </c>
      <c r="N220" s="1" t="s">
        <v>1773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1907</v>
      </c>
      <c r="M221" s="1" t="s">
        <v>1889</v>
      </c>
      <c r="N221" s="1" t="s">
        <v>1786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1907</v>
      </c>
      <c r="M222" s="1" t="s">
        <v>1892</v>
      </c>
      <c r="N222" s="1" t="s">
        <v>1786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1907</v>
      </c>
      <c r="M223" s="1" t="s">
        <v>1896</v>
      </c>
      <c r="N223" s="1" t="s">
        <v>1786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1907</v>
      </c>
      <c r="M224" s="1" t="s">
        <v>1889</v>
      </c>
      <c r="N224" s="1" t="s">
        <v>1798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1907</v>
      </c>
      <c r="M225" s="1" t="s">
        <v>1892</v>
      </c>
      <c r="N225" s="1" t="s">
        <v>1798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1907</v>
      </c>
      <c r="M226" s="1" t="s">
        <v>1896</v>
      </c>
      <c r="N226" s="1" t="s">
        <v>1798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1910</v>
      </c>
      <c r="M227" s="1" t="s">
        <v>1772</v>
      </c>
      <c r="N227" s="1" t="s">
        <v>1773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1910</v>
      </c>
      <c r="M228" s="1" t="s">
        <v>1776</v>
      </c>
      <c r="N228" s="1" t="s">
        <v>1773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1910</v>
      </c>
      <c r="M229" s="1" t="s">
        <v>1779</v>
      </c>
      <c r="N229" s="1" t="s">
        <v>1773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1910</v>
      </c>
      <c r="M230" s="1" t="s">
        <v>1782</v>
      </c>
      <c r="N230" s="1" t="s">
        <v>1773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1910</v>
      </c>
      <c r="M231" s="1" t="s">
        <v>1772</v>
      </c>
      <c r="N231" s="1" t="s">
        <v>1786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1910</v>
      </c>
      <c r="M232" s="1" t="s">
        <v>1776</v>
      </c>
      <c r="N232" s="1" t="s">
        <v>1786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1910</v>
      </c>
      <c r="M233" s="1" t="s">
        <v>1779</v>
      </c>
      <c r="N233" s="1" t="s">
        <v>1786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1910</v>
      </c>
      <c r="M234" s="1" t="s">
        <v>1782</v>
      </c>
      <c r="N234" s="1" t="s">
        <v>1786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1910</v>
      </c>
      <c r="M235" s="1" t="s">
        <v>1772</v>
      </c>
      <c r="N235" s="1" t="s">
        <v>1798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1910</v>
      </c>
      <c r="M236" s="1" t="s">
        <v>1776</v>
      </c>
      <c r="N236" s="1" t="s">
        <v>1798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1910</v>
      </c>
      <c r="M237" s="1" t="s">
        <v>1779</v>
      </c>
      <c r="N237" s="1" t="s">
        <v>1798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1910</v>
      </c>
      <c r="M238" s="1" t="s">
        <v>1782</v>
      </c>
      <c r="N238" s="1" t="s">
        <v>1798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1910</v>
      </c>
      <c r="M239" s="1" t="s">
        <v>1811</v>
      </c>
      <c r="N239" s="1" t="s">
        <v>1773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1910</v>
      </c>
      <c r="M240" s="1" t="s">
        <v>1815</v>
      </c>
      <c r="N240" s="1" t="s">
        <v>1773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1910</v>
      </c>
      <c r="M241" s="1" t="s">
        <v>1820</v>
      </c>
      <c r="N241" s="1" t="s">
        <v>1773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1910</v>
      </c>
      <c r="M242" s="1" t="s">
        <v>1823</v>
      </c>
      <c r="N242" s="1" t="s">
        <v>1773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1910</v>
      </c>
      <c r="M243" s="1" t="s">
        <v>1811</v>
      </c>
      <c r="N243" s="1" t="s">
        <v>1786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1910</v>
      </c>
      <c r="M244" s="1" t="s">
        <v>1815</v>
      </c>
      <c r="N244" s="1" t="s">
        <v>1786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1910</v>
      </c>
      <c r="M245" s="1" t="s">
        <v>1820</v>
      </c>
      <c r="N245" s="1" t="s">
        <v>1786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1910</v>
      </c>
      <c r="M246" s="1" t="s">
        <v>1823</v>
      </c>
      <c r="N246" s="1" t="s">
        <v>1786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1910</v>
      </c>
      <c r="M247" s="1" t="s">
        <v>1811</v>
      </c>
      <c r="N247" s="1" t="s">
        <v>1798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1910</v>
      </c>
      <c r="M248" s="1" t="s">
        <v>1815</v>
      </c>
      <c r="N248" s="1" t="s">
        <v>1798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1910</v>
      </c>
      <c r="M249" s="1" t="s">
        <v>1820</v>
      </c>
      <c r="N249" s="1" t="s">
        <v>1798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1910</v>
      </c>
      <c r="M250" s="1" t="s">
        <v>1823</v>
      </c>
      <c r="N250" s="1" t="s">
        <v>1798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1910</v>
      </c>
      <c r="M251" s="1" t="s">
        <v>1851</v>
      </c>
      <c r="N251" s="1" t="s">
        <v>1773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1910</v>
      </c>
      <c r="M252" s="1" t="s">
        <v>1855</v>
      </c>
      <c r="N252" s="1" t="s">
        <v>1773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1910</v>
      </c>
      <c r="M253" s="1" t="s">
        <v>1859</v>
      </c>
      <c r="N253" s="1" t="s">
        <v>1773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1910</v>
      </c>
      <c r="M254" s="1" t="s">
        <v>1863</v>
      </c>
      <c r="N254" s="1" t="s">
        <v>1773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1910</v>
      </c>
      <c r="M255" s="1" t="s">
        <v>1851</v>
      </c>
      <c r="N255" s="1" t="s">
        <v>1786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1910</v>
      </c>
      <c r="M256" s="1" t="s">
        <v>1855</v>
      </c>
      <c r="N256" s="1" t="s">
        <v>1786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1910</v>
      </c>
      <c r="M257" s="1" t="s">
        <v>1859</v>
      </c>
      <c r="N257" s="1" t="s">
        <v>1786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1910</v>
      </c>
      <c r="M258" s="1" t="s">
        <v>1863</v>
      </c>
      <c r="N258" s="1" t="s">
        <v>1786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1910</v>
      </c>
      <c r="M259" s="1" t="s">
        <v>1851</v>
      </c>
      <c r="N259" s="1" t="s">
        <v>1798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1910</v>
      </c>
      <c r="M260" s="1" t="s">
        <v>1855</v>
      </c>
      <c r="N260" s="1" t="s">
        <v>1798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1910</v>
      </c>
      <c r="M261" s="1" t="s">
        <v>1859</v>
      </c>
      <c r="N261" s="1" t="s">
        <v>1798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1910</v>
      </c>
      <c r="M262" s="1" t="s">
        <v>1863</v>
      </c>
      <c r="N262" s="1" t="s">
        <v>1798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1910</v>
      </c>
      <c r="M263" s="1" t="s">
        <v>1889</v>
      </c>
      <c r="N263" s="1" t="s">
        <v>1773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1910</v>
      </c>
      <c r="M264" s="1" t="s">
        <v>1892</v>
      </c>
      <c r="N264" s="1" t="s">
        <v>1773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1910</v>
      </c>
      <c r="M265" s="1" t="s">
        <v>1896</v>
      </c>
      <c r="N265" s="1" t="s">
        <v>1773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1910</v>
      </c>
      <c r="M266" s="1" t="s">
        <v>1889</v>
      </c>
      <c r="N266" s="1" t="s">
        <v>1786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1910</v>
      </c>
      <c r="M267" s="1" t="s">
        <v>1892</v>
      </c>
      <c r="N267" s="1" t="s">
        <v>1786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1910</v>
      </c>
      <c r="M268" s="1" t="s">
        <v>1896</v>
      </c>
      <c r="N268" s="1" t="s">
        <v>1786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1910</v>
      </c>
      <c r="M269" s="1" t="s">
        <v>1889</v>
      </c>
      <c r="N269" s="1" t="s">
        <v>1798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1910</v>
      </c>
      <c r="M270" s="1" t="s">
        <v>1892</v>
      </c>
      <c r="N270" s="1" t="s">
        <v>1798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1910</v>
      </c>
      <c r="M271" s="1" t="s">
        <v>1896</v>
      </c>
      <c r="N271" s="1" t="s">
        <v>1798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1913</v>
      </c>
      <c r="M272" s="1" t="s">
        <v>1772</v>
      </c>
      <c r="N272" s="1" t="s">
        <v>1773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1913</v>
      </c>
      <c r="M273" s="1" t="s">
        <v>1776</v>
      </c>
      <c r="N273" s="1" t="s">
        <v>1773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1913</v>
      </c>
      <c r="M274" s="1" t="s">
        <v>1779</v>
      </c>
      <c r="N274" s="1" t="s">
        <v>1773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1913</v>
      </c>
      <c r="M275" s="1" t="s">
        <v>1782</v>
      </c>
      <c r="N275" s="1" t="s">
        <v>1773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1913</v>
      </c>
      <c r="M276" s="1" t="s">
        <v>1772</v>
      </c>
      <c r="N276" s="1" t="s">
        <v>1786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1913</v>
      </c>
      <c r="M277" s="1" t="s">
        <v>1776</v>
      </c>
      <c r="N277" s="1" t="s">
        <v>1786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1913</v>
      </c>
      <c r="M278" s="1" t="s">
        <v>1779</v>
      </c>
      <c r="N278" s="1" t="s">
        <v>1786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1913</v>
      </c>
      <c r="M279" s="1" t="s">
        <v>1782</v>
      </c>
      <c r="N279" s="1" t="s">
        <v>1786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1913</v>
      </c>
      <c r="M280" s="1" t="s">
        <v>1772</v>
      </c>
      <c r="N280" s="1" t="s">
        <v>1798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1913</v>
      </c>
      <c r="M281" s="1" t="s">
        <v>1776</v>
      </c>
      <c r="N281" s="1" t="s">
        <v>1798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1913</v>
      </c>
      <c r="M282" s="1" t="s">
        <v>1779</v>
      </c>
      <c r="N282" s="1" t="s">
        <v>1798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1913</v>
      </c>
      <c r="M283" s="1" t="s">
        <v>1782</v>
      </c>
      <c r="N283" s="1" t="s">
        <v>1798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1913</v>
      </c>
      <c r="M284" s="1" t="s">
        <v>1811</v>
      </c>
      <c r="N284" s="1" t="s">
        <v>1773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1913</v>
      </c>
      <c r="M285" s="1" t="s">
        <v>1815</v>
      </c>
      <c r="N285" s="1" t="s">
        <v>1773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1913</v>
      </c>
      <c r="M286" s="1" t="s">
        <v>1820</v>
      </c>
      <c r="N286" s="1" t="s">
        <v>1773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1913</v>
      </c>
      <c r="M287" s="1" t="s">
        <v>1823</v>
      </c>
      <c r="N287" s="1" t="s">
        <v>1773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1913</v>
      </c>
      <c r="M288" s="1" t="s">
        <v>1811</v>
      </c>
      <c r="N288" s="1" t="s">
        <v>1786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1913</v>
      </c>
      <c r="M289" s="1" t="s">
        <v>1815</v>
      </c>
      <c r="N289" s="1" t="s">
        <v>1786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1913</v>
      </c>
      <c r="M290" s="1" t="s">
        <v>1820</v>
      </c>
      <c r="N290" s="1" t="s">
        <v>1786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1913</v>
      </c>
      <c r="M291" s="1" t="s">
        <v>1823</v>
      </c>
      <c r="N291" s="1" t="s">
        <v>1786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1913</v>
      </c>
      <c r="M292" s="1" t="s">
        <v>1811</v>
      </c>
      <c r="N292" s="1" t="s">
        <v>1798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1913</v>
      </c>
      <c r="M293" s="1" t="s">
        <v>1815</v>
      </c>
      <c r="N293" s="1" t="s">
        <v>1798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1913</v>
      </c>
      <c r="M294" s="1" t="s">
        <v>1820</v>
      </c>
      <c r="N294" s="1" t="s">
        <v>1798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1913</v>
      </c>
      <c r="M295" s="1" t="s">
        <v>1823</v>
      </c>
      <c r="N295" s="1" t="s">
        <v>1798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1913</v>
      </c>
      <c r="M296" s="1" t="s">
        <v>1851</v>
      </c>
      <c r="N296" s="1" t="s">
        <v>1773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1913</v>
      </c>
      <c r="M297" s="1" t="s">
        <v>1855</v>
      </c>
      <c r="N297" s="1" t="s">
        <v>1773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1913</v>
      </c>
      <c r="M298" s="1" t="s">
        <v>1859</v>
      </c>
      <c r="N298" s="1" t="s">
        <v>1773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1913</v>
      </c>
      <c r="M299" s="1" t="s">
        <v>1863</v>
      </c>
      <c r="N299" s="1" t="s">
        <v>1773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1913</v>
      </c>
      <c r="M300" s="1" t="s">
        <v>1851</v>
      </c>
      <c r="N300" s="1" t="s">
        <v>1786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1913</v>
      </c>
      <c r="M301" s="1" t="s">
        <v>1855</v>
      </c>
      <c r="N301" s="1" t="s">
        <v>1786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1913</v>
      </c>
      <c r="M302" s="1" t="s">
        <v>1859</v>
      </c>
      <c r="N302" s="1" t="s">
        <v>1786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1913</v>
      </c>
      <c r="M303" s="1" t="s">
        <v>1863</v>
      </c>
      <c r="N303" s="1" t="s">
        <v>1786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1913</v>
      </c>
      <c r="M304" s="1" t="s">
        <v>1851</v>
      </c>
      <c r="N304" s="1" t="s">
        <v>1798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1913</v>
      </c>
      <c r="M305" s="1" t="s">
        <v>1855</v>
      </c>
      <c r="N305" s="1" t="s">
        <v>1798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1913</v>
      </c>
      <c r="M306" s="1" t="s">
        <v>1859</v>
      </c>
      <c r="N306" s="1" t="s">
        <v>1798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1913</v>
      </c>
      <c r="M307" s="1" t="s">
        <v>1863</v>
      </c>
      <c r="N307" s="1" t="s">
        <v>1798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1913</v>
      </c>
      <c r="M308" s="1" t="s">
        <v>1889</v>
      </c>
      <c r="N308" s="1" t="s">
        <v>1773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1913</v>
      </c>
      <c r="M309" s="1" t="s">
        <v>1892</v>
      </c>
      <c r="N309" s="1" t="s">
        <v>1773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1913</v>
      </c>
      <c r="M310" s="1" t="s">
        <v>1896</v>
      </c>
      <c r="N310" s="1" t="s">
        <v>1773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1913</v>
      </c>
      <c r="M311" s="1" t="s">
        <v>1889</v>
      </c>
      <c r="N311" s="1" t="s">
        <v>1786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1913</v>
      </c>
      <c r="M312" s="1" t="s">
        <v>1892</v>
      </c>
      <c r="N312" s="1" t="s">
        <v>1786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1913</v>
      </c>
      <c r="M313" s="1" t="s">
        <v>1896</v>
      </c>
      <c r="N313" s="1" t="s">
        <v>1786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1913</v>
      </c>
      <c r="M314" s="1" t="s">
        <v>1889</v>
      </c>
      <c r="N314" s="1" t="s">
        <v>1798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1913</v>
      </c>
      <c r="M315" s="1" t="s">
        <v>1892</v>
      </c>
      <c r="N315" s="1" t="s">
        <v>1798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1913</v>
      </c>
      <c r="M316" s="1" t="s">
        <v>1896</v>
      </c>
      <c r="N316" s="1" t="s">
        <v>1798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1916</v>
      </c>
      <c r="M317" s="1" t="s">
        <v>1772</v>
      </c>
      <c r="N317" s="1" t="s">
        <v>1773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1916</v>
      </c>
      <c r="M318" s="1" t="s">
        <v>1776</v>
      </c>
      <c r="N318" s="1" t="s">
        <v>1773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1916</v>
      </c>
      <c r="M319" s="1" t="s">
        <v>1779</v>
      </c>
      <c r="N319" s="1" t="s">
        <v>1773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1916</v>
      </c>
      <c r="M320" s="1" t="s">
        <v>1782</v>
      </c>
      <c r="N320" s="1" t="s">
        <v>1773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1916</v>
      </c>
      <c r="M321" s="1" t="s">
        <v>1772</v>
      </c>
      <c r="N321" s="1" t="s">
        <v>1786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1916</v>
      </c>
      <c r="M322" s="1" t="s">
        <v>1776</v>
      </c>
      <c r="N322" s="1" t="s">
        <v>1786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1916</v>
      </c>
      <c r="M323" s="1" t="s">
        <v>1779</v>
      </c>
      <c r="N323" s="1" t="s">
        <v>1786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1916</v>
      </c>
      <c r="M324" s="1" t="s">
        <v>1782</v>
      </c>
      <c r="N324" s="1" t="s">
        <v>1786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1916</v>
      </c>
      <c r="M325" s="1" t="s">
        <v>1772</v>
      </c>
      <c r="N325" s="1" t="s">
        <v>1798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1916</v>
      </c>
      <c r="M326" s="1" t="s">
        <v>1776</v>
      </c>
      <c r="N326" s="1" t="s">
        <v>1798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1916</v>
      </c>
      <c r="M327" s="1" t="s">
        <v>1779</v>
      </c>
      <c r="N327" s="1" t="s">
        <v>1798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1916</v>
      </c>
      <c r="M328" s="1" t="s">
        <v>1782</v>
      </c>
      <c r="N328" s="1" t="s">
        <v>1798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1916</v>
      </c>
      <c r="M329" s="1" t="s">
        <v>1811</v>
      </c>
      <c r="N329" s="1" t="s">
        <v>1773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1916</v>
      </c>
      <c r="M330" s="1" t="s">
        <v>1815</v>
      </c>
      <c r="N330" s="1" t="s">
        <v>1773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1916</v>
      </c>
      <c r="M331" s="1" t="s">
        <v>1820</v>
      </c>
      <c r="N331" s="1" t="s">
        <v>1773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1916</v>
      </c>
      <c r="M332" s="1" t="s">
        <v>1823</v>
      </c>
      <c r="N332" s="1" t="s">
        <v>1773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1916</v>
      </c>
      <c r="M333" s="1" t="s">
        <v>1811</v>
      </c>
      <c r="N333" s="1" t="s">
        <v>1786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1916</v>
      </c>
      <c r="M334" s="1" t="s">
        <v>1815</v>
      </c>
      <c r="N334" s="1" t="s">
        <v>1786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1916</v>
      </c>
      <c r="M335" s="1" t="s">
        <v>1820</v>
      </c>
      <c r="N335" s="1" t="s">
        <v>1786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1916</v>
      </c>
      <c r="M336" s="1" t="s">
        <v>1823</v>
      </c>
      <c r="N336" s="1" t="s">
        <v>1786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1916</v>
      </c>
      <c r="M337" s="1" t="s">
        <v>1811</v>
      </c>
      <c r="N337" s="1" t="s">
        <v>1798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1916</v>
      </c>
      <c r="M338" s="1" t="s">
        <v>1815</v>
      </c>
      <c r="N338" s="1" t="s">
        <v>1798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1916</v>
      </c>
      <c r="M339" s="1" t="s">
        <v>1820</v>
      </c>
      <c r="N339" s="1" t="s">
        <v>1798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1916</v>
      </c>
      <c r="M340" s="1" t="s">
        <v>1823</v>
      </c>
      <c r="N340" s="1" t="s">
        <v>1798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1916</v>
      </c>
      <c r="M341" s="1" t="s">
        <v>1851</v>
      </c>
      <c r="N341" s="1" t="s">
        <v>1773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1916</v>
      </c>
      <c r="M342" s="1" t="s">
        <v>1855</v>
      </c>
      <c r="N342" s="1" t="s">
        <v>1773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1916</v>
      </c>
      <c r="M343" s="1" t="s">
        <v>1859</v>
      </c>
      <c r="N343" s="1" t="s">
        <v>1773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1916</v>
      </c>
      <c r="M344" s="1" t="s">
        <v>1863</v>
      </c>
      <c r="N344" s="1" t="s">
        <v>1773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1916</v>
      </c>
      <c r="M345" s="1" t="s">
        <v>1851</v>
      </c>
      <c r="N345" s="1" t="s">
        <v>1786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1916</v>
      </c>
      <c r="M346" s="1" t="s">
        <v>1855</v>
      </c>
      <c r="N346" s="1" t="s">
        <v>1786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1916</v>
      </c>
      <c r="M347" s="1" t="s">
        <v>1859</v>
      </c>
      <c r="N347" s="1" t="s">
        <v>1786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1916</v>
      </c>
      <c r="M348" s="1" t="s">
        <v>1863</v>
      </c>
      <c r="N348" s="1" t="s">
        <v>1786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1916</v>
      </c>
      <c r="M349" s="1" t="s">
        <v>1851</v>
      </c>
      <c r="N349" s="1" t="s">
        <v>1798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1916</v>
      </c>
      <c r="M350" s="1" t="s">
        <v>1855</v>
      </c>
      <c r="N350" s="1" t="s">
        <v>1798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1916</v>
      </c>
      <c r="M351" s="1" t="s">
        <v>1859</v>
      </c>
      <c r="N351" s="1" t="s">
        <v>1798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1916</v>
      </c>
      <c r="M352" s="1" t="s">
        <v>1863</v>
      </c>
      <c r="N352" s="1" t="s">
        <v>1798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1916</v>
      </c>
      <c r="M353" s="1" t="s">
        <v>1889</v>
      </c>
      <c r="N353" s="1" t="s">
        <v>1773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1916</v>
      </c>
      <c r="M354" s="1" t="s">
        <v>1892</v>
      </c>
      <c r="N354" s="1" t="s">
        <v>1773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1916</v>
      </c>
      <c r="M355" s="1" t="s">
        <v>1896</v>
      </c>
      <c r="N355" s="1" t="s">
        <v>1773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1916</v>
      </c>
      <c r="M356" s="1" t="s">
        <v>1889</v>
      </c>
      <c r="N356" s="1" t="s">
        <v>1786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1916</v>
      </c>
      <c r="M357" s="1" t="s">
        <v>1892</v>
      </c>
      <c r="N357" s="1" t="s">
        <v>1786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1916</v>
      </c>
      <c r="M358" s="1" t="s">
        <v>1896</v>
      </c>
      <c r="N358" s="1" t="s">
        <v>1786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1916</v>
      </c>
      <c r="M359" s="1" t="s">
        <v>1889</v>
      </c>
      <c r="N359" s="1" t="s">
        <v>1798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1916</v>
      </c>
      <c r="M360" s="1" t="s">
        <v>1892</v>
      </c>
      <c r="N360" s="1" t="s">
        <v>1798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1916</v>
      </c>
      <c r="M361" s="1" t="s">
        <v>1896</v>
      </c>
      <c r="N361" s="1" t="s">
        <v>1798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1919</v>
      </c>
      <c r="M362" s="1" t="s">
        <v>1772</v>
      </c>
      <c r="N362" s="1" t="s">
        <v>1773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1919</v>
      </c>
      <c r="M363" s="1" t="s">
        <v>1776</v>
      </c>
      <c r="N363" s="1" t="s">
        <v>1773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1919</v>
      </c>
      <c r="M364" s="1" t="s">
        <v>1779</v>
      </c>
      <c r="N364" s="1" t="s">
        <v>1773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1919</v>
      </c>
      <c r="M365" s="1" t="s">
        <v>1782</v>
      </c>
      <c r="N365" s="1" t="s">
        <v>1773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1919</v>
      </c>
      <c r="M366" s="1" t="s">
        <v>1772</v>
      </c>
      <c r="N366" s="1" t="s">
        <v>1786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1919</v>
      </c>
      <c r="M367" s="1" t="s">
        <v>1776</v>
      </c>
      <c r="N367" s="1" t="s">
        <v>1786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1919</v>
      </c>
      <c r="M368" s="1" t="s">
        <v>1779</v>
      </c>
      <c r="N368" s="1" t="s">
        <v>1786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1919</v>
      </c>
      <c r="M369" s="1" t="s">
        <v>1782</v>
      </c>
      <c r="N369" s="1" t="s">
        <v>1786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1919</v>
      </c>
      <c r="M370" s="1" t="s">
        <v>1772</v>
      </c>
      <c r="N370" s="1" t="s">
        <v>1798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1919</v>
      </c>
      <c r="M371" s="1" t="s">
        <v>1776</v>
      </c>
      <c r="N371" s="1" t="s">
        <v>1798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1919</v>
      </c>
      <c r="M372" s="1" t="s">
        <v>1779</v>
      </c>
      <c r="N372" s="1" t="s">
        <v>1798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1919</v>
      </c>
      <c r="M373" s="1" t="s">
        <v>1782</v>
      </c>
      <c r="N373" s="1" t="s">
        <v>1798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1919</v>
      </c>
      <c r="M374" s="1" t="s">
        <v>1811</v>
      </c>
      <c r="N374" s="1" t="s">
        <v>1773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1919</v>
      </c>
      <c r="M375" s="1" t="s">
        <v>1815</v>
      </c>
      <c r="N375" s="1" t="s">
        <v>1773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1919</v>
      </c>
      <c r="M376" s="1" t="s">
        <v>1820</v>
      </c>
      <c r="N376" s="1" t="s">
        <v>1773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1919</v>
      </c>
      <c r="M377" s="1" t="s">
        <v>1823</v>
      </c>
      <c r="N377" s="1" t="s">
        <v>1773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1919</v>
      </c>
      <c r="M378" s="1" t="s">
        <v>1811</v>
      </c>
      <c r="N378" s="1" t="s">
        <v>1786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1919</v>
      </c>
      <c r="M379" s="1" t="s">
        <v>1815</v>
      </c>
      <c r="N379" s="1" t="s">
        <v>1786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1919</v>
      </c>
      <c r="M380" s="1" t="s">
        <v>1820</v>
      </c>
      <c r="N380" s="1" t="s">
        <v>1786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1919</v>
      </c>
      <c r="M381" s="1" t="s">
        <v>1823</v>
      </c>
      <c r="N381" s="1" t="s">
        <v>1786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1919</v>
      </c>
      <c r="M382" s="1" t="s">
        <v>1811</v>
      </c>
      <c r="N382" s="1" t="s">
        <v>1798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1919</v>
      </c>
      <c r="M383" s="1" t="s">
        <v>1815</v>
      </c>
      <c r="N383" s="1" t="s">
        <v>1798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1919</v>
      </c>
      <c r="M384" s="1" t="s">
        <v>1820</v>
      </c>
      <c r="N384" s="1" t="s">
        <v>1798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1919</v>
      </c>
      <c r="M385" s="1" t="s">
        <v>1823</v>
      </c>
      <c r="N385" s="1" t="s">
        <v>1798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1919</v>
      </c>
      <c r="M386" s="1" t="s">
        <v>1851</v>
      </c>
      <c r="N386" s="1" t="s">
        <v>1773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1919</v>
      </c>
      <c r="M387" s="1" t="s">
        <v>1855</v>
      </c>
      <c r="N387" s="1" t="s">
        <v>1773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1919</v>
      </c>
      <c r="M388" s="1" t="s">
        <v>1859</v>
      </c>
      <c r="N388" s="1" t="s">
        <v>1773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1919</v>
      </c>
      <c r="M389" s="1" t="s">
        <v>1863</v>
      </c>
      <c r="N389" s="1" t="s">
        <v>1773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1919</v>
      </c>
      <c r="M390" s="1" t="s">
        <v>1851</v>
      </c>
      <c r="N390" s="1" t="s">
        <v>1786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1919</v>
      </c>
      <c r="M391" s="1" t="s">
        <v>1855</v>
      </c>
      <c r="N391" s="1" t="s">
        <v>1786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1919</v>
      </c>
      <c r="M392" s="1" t="s">
        <v>1859</v>
      </c>
      <c r="N392" s="1" t="s">
        <v>1786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1919</v>
      </c>
      <c r="M393" s="1" t="s">
        <v>1863</v>
      </c>
      <c r="N393" s="1" t="s">
        <v>1786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1919</v>
      </c>
      <c r="M394" s="1" t="s">
        <v>1851</v>
      </c>
      <c r="N394" s="1" t="s">
        <v>1798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1919</v>
      </c>
      <c r="M395" s="1" t="s">
        <v>1855</v>
      </c>
      <c r="N395" s="1" t="s">
        <v>1798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1919</v>
      </c>
      <c r="M396" s="1" t="s">
        <v>1859</v>
      </c>
      <c r="N396" s="1" t="s">
        <v>1798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1919</v>
      </c>
      <c r="M397" s="1" t="s">
        <v>1863</v>
      </c>
      <c r="N397" s="1" t="s">
        <v>1798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1919</v>
      </c>
      <c r="M398" s="1" t="s">
        <v>1889</v>
      </c>
      <c r="N398" s="1" t="s">
        <v>1773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1919</v>
      </c>
      <c r="M399" s="1" t="s">
        <v>1892</v>
      </c>
      <c r="N399" s="1" t="s">
        <v>1773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1919</v>
      </c>
      <c r="M400" s="1" t="s">
        <v>1896</v>
      </c>
      <c r="N400" s="1" t="s">
        <v>1773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1919</v>
      </c>
      <c r="M401" s="1" t="s">
        <v>1889</v>
      </c>
      <c r="N401" s="1" t="s">
        <v>1786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1919</v>
      </c>
      <c r="M402" s="1" t="s">
        <v>1892</v>
      </c>
      <c r="N402" s="1" t="s">
        <v>1786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1919</v>
      </c>
      <c r="M403" s="1" t="s">
        <v>1896</v>
      </c>
      <c r="N403" s="1" t="s">
        <v>1786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1919</v>
      </c>
      <c r="M404" s="1" t="s">
        <v>1889</v>
      </c>
      <c r="N404" s="1" t="s">
        <v>1798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1919</v>
      </c>
      <c r="M405" s="1" t="s">
        <v>1892</v>
      </c>
      <c r="N405" s="1" t="s">
        <v>1798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1919</v>
      </c>
      <c r="M406" s="1" t="s">
        <v>1896</v>
      </c>
      <c r="N406" s="1" t="s">
        <v>1798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1922</v>
      </c>
      <c r="M407" s="1" t="s">
        <v>1772</v>
      </c>
      <c r="N407" s="1" t="s">
        <v>1773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1922</v>
      </c>
      <c r="M408" s="1" t="s">
        <v>1776</v>
      </c>
      <c r="N408" s="1" t="s">
        <v>1773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1922</v>
      </c>
      <c r="M409" s="1" t="s">
        <v>1779</v>
      </c>
      <c r="N409" s="1" t="s">
        <v>1773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1922</v>
      </c>
      <c r="M410" s="1" t="s">
        <v>1782</v>
      </c>
      <c r="N410" s="1" t="s">
        <v>1773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1922</v>
      </c>
      <c r="M411" s="1" t="s">
        <v>1772</v>
      </c>
      <c r="N411" s="1" t="s">
        <v>1786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1922</v>
      </c>
      <c r="M412" s="1" t="s">
        <v>1776</v>
      </c>
      <c r="N412" s="1" t="s">
        <v>1786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1922</v>
      </c>
      <c r="M413" s="1" t="s">
        <v>1779</v>
      </c>
      <c r="N413" s="1" t="s">
        <v>1786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1922</v>
      </c>
      <c r="M414" s="1" t="s">
        <v>1782</v>
      </c>
      <c r="N414" s="1" t="s">
        <v>1786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1922</v>
      </c>
      <c r="M415" s="1" t="s">
        <v>1772</v>
      </c>
      <c r="N415" s="1" t="s">
        <v>1798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1922</v>
      </c>
      <c r="M416" s="1" t="s">
        <v>1776</v>
      </c>
      <c r="N416" s="1" t="s">
        <v>1798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1922</v>
      </c>
      <c r="M417" s="1" t="s">
        <v>1779</v>
      </c>
      <c r="N417" s="1" t="s">
        <v>1798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1922</v>
      </c>
      <c r="M418" s="1" t="s">
        <v>1782</v>
      </c>
      <c r="N418" s="1" t="s">
        <v>1798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1922</v>
      </c>
      <c r="M419" s="1" t="s">
        <v>1811</v>
      </c>
      <c r="N419" s="1" t="s">
        <v>1773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1922</v>
      </c>
      <c r="M420" s="1" t="s">
        <v>1815</v>
      </c>
      <c r="N420" s="1" t="s">
        <v>1773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1922</v>
      </c>
      <c r="M421" s="1" t="s">
        <v>1820</v>
      </c>
      <c r="N421" s="1" t="s">
        <v>1773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1922</v>
      </c>
      <c r="M422" s="1" t="s">
        <v>1823</v>
      </c>
      <c r="N422" s="1" t="s">
        <v>1773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1922</v>
      </c>
      <c r="M423" s="1" t="s">
        <v>1811</v>
      </c>
      <c r="N423" s="1" t="s">
        <v>1786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1922</v>
      </c>
      <c r="M424" s="1" t="s">
        <v>1815</v>
      </c>
      <c r="N424" s="1" t="s">
        <v>1786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1922</v>
      </c>
      <c r="M425" s="1" t="s">
        <v>1820</v>
      </c>
      <c r="N425" s="1" t="s">
        <v>1786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1922</v>
      </c>
      <c r="M426" s="1" t="s">
        <v>1823</v>
      </c>
      <c r="N426" s="1" t="s">
        <v>1786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1922</v>
      </c>
      <c r="M427" s="1" t="s">
        <v>1811</v>
      </c>
      <c r="N427" s="1" t="s">
        <v>1798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1922</v>
      </c>
      <c r="M428" s="1" t="s">
        <v>1815</v>
      </c>
      <c r="N428" s="1" t="s">
        <v>1798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1922</v>
      </c>
      <c r="M429" s="1" t="s">
        <v>1820</v>
      </c>
      <c r="N429" s="1" t="s">
        <v>1798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1922</v>
      </c>
      <c r="M430" s="1" t="s">
        <v>1823</v>
      </c>
      <c r="N430" s="1" t="s">
        <v>1798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1922</v>
      </c>
      <c r="M431" s="1" t="s">
        <v>1851</v>
      </c>
      <c r="N431" s="1" t="s">
        <v>1773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1922</v>
      </c>
      <c r="M432" s="1" t="s">
        <v>1855</v>
      </c>
      <c r="N432" s="1" t="s">
        <v>1773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1922</v>
      </c>
      <c r="M433" s="1" t="s">
        <v>1859</v>
      </c>
      <c r="N433" s="1" t="s">
        <v>1773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1922</v>
      </c>
      <c r="M434" s="1" t="s">
        <v>1863</v>
      </c>
      <c r="N434" s="1" t="s">
        <v>1773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1922</v>
      </c>
      <c r="M435" s="1" t="s">
        <v>1851</v>
      </c>
      <c r="N435" s="1" t="s">
        <v>1786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1922</v>
      </c>
      <c r="M436" s="1" t="s">
        <v>1855</v>
      </c>
      <c r="N436" s="1" t="s">
        <v>1786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1922</v>
      </c>
      <c r="M437" s="1" t="s">
        <v>1859</v>
      </c>
      <c r="N437" s="1" t="s">
        <v>1786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1922</v>
      </c>
      <c r="M438" s="1" t="s">
        <v>1863</v>
      </c>
      <c r="N438" s="1" t="s">
        <v>1786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1922</v>
      </c>
      <c r="M439" s="1" t="s">
        <v>1851</v>
      </c>
      <c r="N439" s="1" t="s">
        <v>1798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1922</v>
      </c>
      <c r="M440" s="1" t="s">
        <v>1855</v>
      </c>
      <c r="N440" s="1" t="s">
        <v>1798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1922</v>
      </c>
      <c r="M441" s="1" t="s">
        <v>1859</v>
      </c>
      <c r="N441" s="1" t="s">
        <v>1798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1922</v>
      </c>
      <c r="M442" s="1" t="s">
        <v>1863</v>
      </c>
      <c r="N442" s="1" t="s">
        <v>1798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1922</v>
      </c>
      <c r="M443" s="1" t="s">
        <v>1889</v>
      </c>
      <c r="N443" s="1" t="s">
        <v>1773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1922</v>
      </c>
      <c r="M444" s="1" t="s">
        <v>1892</v>
      </c>
      <c r="N444" s="1" t="s">
        <v>1773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1922</v>
      </c>
      <c r="M445" s="1" t="s">
        <v>1896</v>
      </c>
      <c r="N445" s="1" t="s">
        <v>1773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1922</v>
      </c>
      <c r="M446" s="1" t="s">
        <v>1889</v>
      </c>
      <c r="N446" s="1" t="s">
        <v>1786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1922</v>
      </c>
      <c r="M447" s="1" t="s">
        <v>1892</v>
      </c>
      <c r="N447" s="1" t="s">
        <v>1786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1922</v>
      </c>
      <c r="M448" s="1" t="s">
        <v>1896</v>
      </c>
      <c r="N448" s="1" t="s">
        <v>1786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1922</v>
      </c>
      <c r="M449" s="1" t="s">
        <v>1889</v>
      </c>
      <c r="N449" s="1" t="s">
        <v>1798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1922</v>
      </c>
      <c r="M450" s="1" t="s">
        <v>1892</v>
      </c>
      <c r="N450" s="1" t="s">
        <v>1798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1922</v>
      </c>
      <c r="M451" s="1" t="s">
        <v>1896</v>
      </c>
      <c r="N451" s="1" t="s">
        <v>1798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1925</v>
      </c>
      <c r="M452" s="1" t="s">
        <v>1772</v>
      </c>
      <c r="N452" s="1" t="s">
        <v>1773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1925</v>
      </c>
      <c r="M453" s="1" t="s">
        <v>1776</v>
      </c>
      <c r="N453" s="1" t="s">
        <v>1773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1925</v>
      </c>
      <c r="M454" s="1" t="s">
        <v>1779</v>
      </c>
      <c r="N454" s="1" t="s">
        <v>1773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1925</v>
      </c>
      <c r="M455" s="1" t="s">
        <v>1782</v>
      </c>
      <c r="N455" s="1" t="s">
        <v>1773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1925</v>
      </c>
      <c r="M456" s="1" t="s">
        <v>1772</v>
      </c>
      <c r="N456" s="1" t="s">
        <v>1786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1925</v>
      </c>
      <c r="M457" s="1" t="s">
        <v>1776</v>
      </c>
      <c r="N457" s="1" t="s">
        <v>1786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1925</v>
      </c>
      <c r="M458" s="1" t="s">
        <v>1779</v>
      </c>
      <c r="N458" s="1" t="s">
        <v>1786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1925</v>
      </c>
      <c r="M459" s="1" t="s">
        <v>1782</v>
      </c>
      <c r="N459" s="1" t="s">
        <v>1786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1925</v>
      </c>
      <c r="M460" s="1" t="s">
        <v>1772</v>
      </c>
      <c r="N460" s="1" t="s">
        <v>1798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1925</v>
      </c>
      <c r="M461" s="1" t="s">
        <v>1776</v>
      </c>
      <c r="N461" s="1" t="s">
        <v>1798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1925</v>
      </c>
      <c r="M462" s="1" t="s">
        <v>1779</v>
      </c>
      <c r="N462" s="1" t="s">
        <v>1798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1925</v>
      </c>
      <c r="M463" s="1" t="s">
        <v>1782</v>
      </c>
      <c r="N463" s="1" t="s">
        <v>1798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1925</v>
      </c>
      <c r="M464" s="1" t="s">
        <v>1811</v>
      </c>
      <c r="N464" s="1" t="s">
        <v>1773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1925</v>
      </c>
      <c r="M465" s="1" t="s">
        <v>1815</v>
      </c>
      <c r="N465" s="1" t="s">
        <v>1773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1925</v>
      </c>
      <c r="M466" s="1" t="s">
        <v>1820</v>
      </c>
      <c r="N466" s="1" t="s">
        <v>1773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1925</v>
      </c>
      <c r="M467" s="1" t="s">
        <v>1823</v>
      </c>
      <c r="N467" s="1" t="s">
        <v>1773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1925</v>
      </c>
      <c r="M468" s="1" t="s">
        <v>1811</v>
      </c>
      <c r="N468" s="1" t="s">
        <v>1786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1925</v>
      </c>
      <c r="M469" s="1" t="s">
        <v>1815</v>
      </c>
      <c r="N469" s="1" t="s">
        <v>1786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1925</v>
      </c>
      <c r="M470" s="1" t="s">
        <v>1820</v>
      </c>
      <c r="N470" s="1" t="s">
        <v>1786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1925</v>
      </c>
      <c r="M471" s="1" t="s">
        <v>1823</v>
      </c>
      <c r="N471" s="1" t="s">
        <v>1786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1925</v>
      </c>
      <c r="M472" s="1" t="s">
        <v>1811</v>
      </c>
      <c r="N472" s="1" t="s">
        <v>1798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1925</v>
      </c>
      <c r="M473" s="1" t="s">
        <v>1815</v>
      </c>
      <c r="N473" s="1" t="s">
        <v>1798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1925</v>
      </c>
      <c r="M474" s="1" t="s">
        <v>1820</v>
      </c>
      <c r="N474" s="1" t="s">
        <v>1798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1925</v>
      </c>
      <c r="M475" s="1" t="s">
        <v>1823</v>
      </c>
      <c r="N475" s="1" t="s">
        <v>1798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1925</v>
      </c>
      <c r="M476" s="1" t="s">
        <v>1851</v>
      </c>
      <c r="N476" s="1" t="s">
        <v>1773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1925</v>
      </c>
      <c r="M477" s="1" t="s">
        <v>1855</v>
      </c>
      <c r="N477" s="1" t="s">
        <v>1773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1925</v>
      </c>
      <c r="M478" s="1" t="s">
        <v>1859</v>
      </c>
      <c r="N478" s="1" t="s">
        <v>1773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1925</v>
      </c>
      <c r="M479" s="1" t="s">
        <v>1863</v>
      </c>
      <c r="N479" s="1" t="s">
        <v>1773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1925</v>
      </c>
      <c r="M480" s="1" t="s">
        <v>1851</v>
      </c>
      <c r="N480" s="1" t="s">
        <v>1786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1925</v>
      </c>
      <c r="M481" s="1" t="s">
        <v>1855</v>
      </c>
      <c r="N481" s="1" t="s">
        <v>1786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1925</v>
      </c>
      <c r="M482" s="1" t="s">
        <v>1859</v>
      </c>
      <c r="N482" s="1" t="s">
        <v>1786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1925</v>
      </c>
      <c r="M483" s="1" t="s">
        <v>1863</v>
      </c>
      <c r="N483" s="1" t="s">
        <v>1786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1925</v>
      </c>
      <c r="M484" s="1" t="s">
        <v>1851</v>
      </c>
      <c r="N484" s="1" t="s">
        <v>1798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1925</v>
      </c>
      <c r="M485" s="1" t="s">
        <v>1855</v>
      </c>
      <c r="N485" s="1" t="s">
        <v>1798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1925</v>
      </c>
      <c r="M486" s="1" t="s">
        <v>1859</v>
      </c>
      <c r="N486" s="1" t="s">
        <v>1798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1925</v>
      </c>
      <c r="M487" s="1" t="s">
        <v>1863</v>
      </c>
      <c r="N487" s="1" t="s">
        <v>1798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1925</v>
      </c>
      <c r="M488" s="1" t="s">
        <v>1889</v>
      </c>
      <c r="N488" s="1" t="s">
        <v>1773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1925</v>
      </c>
      <c r="M489" s="1" t="s">
        <v>1892</v>
      </c>
      <c r="N489" s="1" t="s">
        <v>1773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1925</v>
      </c>
      <c r="M490" s="1" t="s">
        <v>1896</v>
      </c>
      <c r="N490" s="1" t="s">
        <v>1773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1925</v>
      </c>
      <c r="M491" s="1" t="s">
        <v>1889</v>
      </c>
      <c r="N491" s="1" t="s">
        <v>1786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1925</v>
      </c>
      <c r="M492" s="1" t="s">
        <v>1892</v>
      </c>
      <c r="N492" s="1" t="s">
        <v>1786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1925</v>
      </c>
      <c r="M493" s="1" t="s">
        <v>1896</v>
      </c>
      <c r="N493" s="1" t="s">
        <v>1786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1925</v>
      </c>
      <c r="M494" s="1" t="s">
        <v>1889</v>
      </c>
      <c r="N494" s="1" t="s">
        <v>1798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1925</v>
      </c>
      <c r="M495" s="1" t="s">
        <v>1892</v>
      </c>
      <c r="N495" s="1" t="s">
        <v>1798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1925</v>
      </c>
      <c r="M496" s="1" t="s">
        <v>1896</v>
      </c>
      <c r="N496" s="1" t="s">
        <v>1798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1927</v>
      </c>
      <c r="M497" s="1" t="s">
        <v>1772</v>
      </c>
      <c r="N497" s="1" t="s">
        <v>1773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1927</v>
      </c>
      <c r="M498" s="1" t="s">
        <v>1776</v>
      </c>
      <c r="N498" s="1" t="s">
        <v>1773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1927</v>
      </c>
      <c r="M499" s="1" t="s">
        <v>1779</v>
      </c>
      <c r="N499" s="1" t="s">
        <v>1773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1927</v>
      </c>
      <c r="M500" s="1" t="s">
        <v>1782</v>
      </c>
      <c r="N500" s="1" t="s">
        <v>1773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1927</v>
      </c>
      <c r="M501" s="1" t="s">
        <v>1772</v>
      </c>
      <c r="N501" s="1" t="s">
        <v>1786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1927</v>
      </c>
      <c r="M502" s="1" t="s">
        <v>1776</v>
      </c>
      <c r="N502" s="1" t="s">
        <v>1786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1927</v>
      </c>
      <c r="M503" s="1" t="s">
        <v>1779</v>
      </c>
      <c r="N503" s="1" t="s">
        <v>1786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1927</v>
      </c>
      <c r="M504" s="1" t="s">
        <v>1782</v>
      </c>
      <c r="N504" s="1" t="s">
        <v>1786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1927</v>
      </c>
      <c r="M505" s="1" t="s">
        <v>1772</v>
      </c>
      <c r="N505" s="1" t="s">
        <v>1798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1927</v>
      </c>
      <c r="M506" s="1" t="s">
        <v>1776</v>
      </c>
      <c r="N506" s="1" t="s">
        <v>1798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1927</v>
      </c>
      <c r="M507" s="1" t="s">
        <v>1779</v>
      </c>
      <c r="N507" s="1" t="s">
        <v>1798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1927</v>
      </c>
      <c r="M508" s="1" t="s">
        <v>1782</v>
      </c>
      <c r="N508" s="1" t="s">
        <v>1798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1927</v>
      </c>
      <c r="M509" s="1" t="s">
        <v>1811</v>
      </c>
      <c r="N509" s="1" t="s">
        <v>1773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1927</v>
      </c>
      <c r="M510" s="1" t="s">
        <v>1815</v>
      </c>
      <c r="N510" s="1" t="s">
        <v>1773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1927</v>
      </c>
      <c r="M511" s="1" t="s">
        <v>1820</v>
      </c>
      <c r="N511" s="1" t="s">
        <v>1773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1927</v>
      </c>
      <c r="M512" s="1" t="s">
        <v>1823</v>
      </c>
      <c r="N512" s="1" t="s">
        <v>1773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1927</v>
      </c>
      <c r="M513" s="1" t="s">
        <v>1811</v>
      </c>
      <c r="N513" s="1" t="s">
        <v>1786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1927</v>
      </c>
      <c r="M514" s="1" t="s">
        <v>1815</v>
      </c>
      <c r="N514" s="1" t="s">
        <v>1786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1927</v>
      </c>
      <c r="M515" s="1" t="s">
        <v>1820</v>
      </c>
      <c r="N515" s="1" t="s">
        <v>1786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1927</v>
      </c>
      <c r="M516" s="1" t="s">
        <v>1823</v>
      </c>
      <c r="N516" s="1" t="s">
        <v>1786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1927</v>
      </c>
      <c r="M517" s="1" t="s">
        <v>1811</v>
      </c>
      <c r="N517" s="1" t="s">
        <v>1798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1927</v>
      </c>
      <c r="M518" s="1" t="s">
        <v>1815</v>
      </c>
      <c r="N518" s="1" t="s">
        <v>1798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1927</v>
      </c>
      <c r="M519" s="1" t="s">
        <v>1820</v>
      </c>
      <c r="N519" s="1" t="s">
        <v>1798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1927</v>
      </c>
      <c r="M520" s="1" t="s">
        <v>1823</v>
      </c>
      <c r="N520" s="1" t="s">
        <v>1798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1927</v>
      </c>
      <c r="M521" s="1" t="s">
        <v>1851</v>
      </c>
      <c r="N521" s="1" t="s">
        <v>1773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1927</v>
      </c>
      <c r="M522" s="1" t="s">
        <v>1855</v>
      </c>
      <c r="N522" s="1" t="s">
        <v>1773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1927</v>
      </c>
      <c r="M523" s="1" t="s">
        <v>1859</v>
      </c>
      <c r="N523" s="1" t="s">
        <v>1773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1927</v>
      </c>
      <c r="M524" s="1" t="s">
        <v>1863</v>
      </c>
      <c r="N524" s="1" t="s">
        <v>1773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1927</v>
      </c>
      <c r="M525" s="1" t="s">
        <v>1851</v>
      </c>
      <c r="N525" s="1" t="s">
        <v>1786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1927</v>
      </c>
      <c r="M526" s="1" t="s">
        <v>1855</v>
      </c>
      <c r="N526" s="1" t="s">
        <v>1786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1927</v>
      </c>
      <c r="M527" s="1" t="s">
        <v>1859</v>
      </c>
      <c r="N527" s="1" t="s">
        <v>1786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1927</v>
      </c>
      <c r="M528" s="1" t="s">
        <v>1863</v>
      </c>
      <c r="N528" s="1" t="s">
        <v>1786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1927</v>
      </c>
      <c r="M529" s="1" t="s">
        <v>1851</v>
      </c>
      <c r="N529" s="1" t="s">
        <v>1798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1927</v>
      </c>
      <c r="M530" s="1" t="s">
        <v>1855</v>
      </c>
      <c r="N530" s="1" t="s">
        <v>1798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1927</v>
      </c>
      <c r="M531" s="1" t="s">
        <v>1859</v>
      </c>
      <c r="N531" s="1" t="s">
        <v>1798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1927</v>
      </c>
      <c r="M532" s="1" t="s">
        <v>1863</v>
      </c>
      <c r="N532" s="1" t="s">
        <v>1798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1927</v>
      </c>
      <c r="M533" s="1" t="s">
        <v>1889</v>
      </c>
      <c r="N533" s="1" t="s">
        <v>1773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1927</v>
      </c>
      <c r="M534" s="1" t="s">
        <v>1892</v>
      </c>
      <c r="N534" s="1" t="s">
        <v>1773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1927</v>
      </c>
      <c r="M535" s="1" t="s">
        <v>1896</v>
      </c>
      <c r="N535" s="1" t="s">
        <v>1773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1927</v>
      </c>
      <c r="M536" s="1" t="s">
        <v>1889</v>
      </c>
      <c r="N536" s="1" t="s">
        <v>1786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1927</v>
      </c>
      <c r="M537" s="1" t="s">
        <v>1892</v>
      </c>
      <c r="N537" s="1" t="s">
        <v>1786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1927</v>
      </c>
      <c r="M538" s="1" t="s">
        <v>1896</v>
      </c>
      <c r="N538" s="1" t="s">
        <v>1786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1927</v>
      </c>
      <c r="M539" s="1" t="s">
        <v>1889</v>
      </c>
      <c r="N539" s="1" t="s">
        <v>1798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1927</v>
      </c>
      <c r="M540" s="1" t="s">
        <v>1892</v>
      </c>
      <c r="N540" s="1" t="s">
        <v>1798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1927</v>
      </c>
      <c r="M541" s="1" t="s">
        <v>1896</v>
      </c>
      <c r="N541" s="1" t="s">
        <v>1798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2026-01-11T13:55:57Z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